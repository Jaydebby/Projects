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6.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17.xml" ContentType="application/vnd.openxmlformats-officedocument.spreadsheetml.pivotCacheRecords+xml"/>
  <Override PartName="/xl/pivotCache/pivotCacheDefinition18.xml" ContentType="application/vnd.openxmlformats-officedocument.spreadsheetml.pivotCacheDefinition+xml"/>
  <Override PartName="/xl/pivotCache/pivotCacheRecords18.xml" ContentType="application/vnd.openxmlformats-officedocument.spreadsheetml.pivotCacheRecords+xml"/>
  <Override PartName="/xl/pivotCache/pivotCacheDefinition19.xml" ContentType="application/vnd.openxmlformats-officedocument.spreadsheetml.pivotCacheDefinition+xml"/>
  <Override PartName="/xl/pivotCache/pivotCacheRecords19.xml" ContentType="application/vnd.openxmlformats-officedocument.spreadsheetml.pivotCacheRecords+xml"/>
  <Override PartName="/xl/pivotCache/pivotCacheDefinition20.xml" ContentType="application/vnd.openxmlformats-officedocument.spreadsheetml.pivotCacheDefinition+xml"/>
  <Override PartName="/xl/pivotCache/pivotCacheRecords20.xml" ContentType="application/vnd.openxmlformats-officedocument.spreadsheetml.pivotCacheRecords+xml"/>
  <Override PartName="/xl/pivotCache/pivotCacheDefinition21.xml" ContentType="application/vnd.openxmlformats-officedocument.spreadsheetml.pivotCacheDefinition+xml"/>
  <Override PartName="/xl/pivotCache/pivotCacheRecords21.xml" ContentType="application/vnd.openxmlformats-officedocument.spreadsheetml.pivotCacheRecords+xml"/>
  <Override PartName="/xl/pivotCache/pivotCacheDefinition22.xml" ContentType="application/vnd.openxmlformats-officedocument.spreadsheetml.pivotCacheDefinition+xml"/>
  <Override PartName="/xl/pivotCache/pivotCacheRecords22.xml" ContentType="application/vnd.openxmlformats-officedocument.spreadsheetml.pivotCacheRecords+xml"/>
  <Override PartName="/xl/pivotCache/pivotCacheDefinition23.xml" ContentType="application/vnd.openxmlformats-officedocument.spreadsheetml.pivotCacheDefinition+xml"/>
  <Override PartName="/xl/pivotCache/pivotCacheRecords23.xml" ContentType="application/vnd.openxmlformats-officedocument.spreadsheetml.pivotCacheRecords+xml"/>
  <Override PartName="/xl/pivotCache/pivotCacheDefinition24.xml" ContentType="application/vnd.openxmlformats-officedocument.spreadsheetml.pivotCacheDefinition+xml"/>
  <Override PartName="/xl/pivotCache/pivotCacheRecords2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drawings/drawing1.xml" ContentType="application/vnd.openxmlformats-officedocument.drawing+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tables/table14.xml" ContentType="application/vnd.openxmlformats-officedocument.spreadsheetml.table+xml"/>
  <Override PartName="/xl/queryTables/queryTable14.xml" ContentType="application/vnd.openxmlformats-officedocument.spreadsheetml.queryTable+xml"/>
  <Override PartName="/xl/tables/table15.xml" ContentType="application/vnd.openxmlformats-officedocument.spreadsheetml.table+xml"/>
  <Override PartName="/xl/queryTables/queryTable15.xml" ContentType="application/vnd.openxmlformats-officedocument.spreadsheetml.queryTable+xml"/>
  <Override PartName="/xl/tables/table16.xml" ContentType="application/vnd.openxmlformats-officedocument.spreadsheetml.table+xml"/>
  <Override PartName="/xl/queryTables/queryTable16.xml" ContentType="application/vnd.openxmlformats-officedocument.spreadsheetml.queryTable+xml"/>
  <Override PartName="/xl/tables/table17.xml" ContentType="application/vnd.openxmlformats-officedocument.spreadsheetml.table+xml"/>
  <Override PartName="/xl/queryTables/queryTable17.xml" ContentType="application/vnd.openxmlformats-officedocument.spreadsheetml.queryTable+xml"/>
  <Override PartName="/xl/tables/table18.xml" ContentType="application/vnd.openxmlformats-officedocument.spreadsheetml.table+xml"/>
  <Override PartName="/xl/queryTables/queryTable18.xml" ContentType="application/vnd.openxmlformats-officedocument.spreadsheetml.queryTable+xml"/>
  <Override PartName="/xl/tables/table19.xml" ContentType="application/vnd.openxmlformats-officedocument.spreadsheetml.table+xml"/>
  <Override PartName="/xl/queryTables/queryTable19.xml" ContentType="application/vnd.openxmlformats-officedocument.spreadsheetml.queryTable+xml"/>
  <Override PartName="/xl/tables/table20.xml" ContentType="application/vnd.openxmlformats-officedocument.spreadsheetml.table+xml"/>
  <Override PartName="/xl/queryTables/queryTable20.xml" ContentType="application/vnd.openxmlformats-officedocument.spreadsheetml.queryTable+xml"/>
  <Override PartName="/xl/tables/table21.xml" ContentType="application/vnd.openxmlformats-officedocument.spreadsheetml.table+xml"/>
  <Override PartName="/xl/queryTables/queryTable21.xml" ContentType="application/vnd.openxmlformats-officedocument.spreadsheetml.queryTable+xml"/>
  <Override PartName="/xl/tables/table22.xml" ContentType="application/vnd.openxmlformats-officedocument.spreadsheetml.table+xml"/>
  <Override PartName="/xl/queryTables/queryTable22.xml" ContentType="application/vnd.openxmlformats-officedocument.spreadsheetml.queryTable+xml"/>
  <Override PartName="/xl/tables/table23.xml" ContentType="application/vnd.openxmlformats-officedocument.spreadsheetml.table+xml"/>
  <Override PartName="/xl/queryTables/queryTable23.xml" ContentType="application/vnd.openxmlformats-officedocument.spreadsheetml.queryTable+xml"/>
  <Override PartName="/xl/tables/table24.xml" ContentType="application/vnd.openxmlformats-officedocument.spreadsheetml.table+xml"/>
  <Override PartName="/xl/queryTables/queryTable24.xml" ContentType="application/vnd.openxmlformats-officedocument.spreadsheetml.queryTable+xml"/>
  <Override PartName="/xl/tables/table25.xml" ContentType="application/vnd.openxmlformats-officedocument.spreadsheetml.table+xml"/>
  <Override PartName="/xl/queryTables/queryTable25.xml" ContentType="application/vnd.openxmlformats-officedocument.spreadsheetml.queryTable+xml"/>
  <Override PartName="/xl/tables/table26.xml" ContentType="application/vnd.openxmlformats-officedocument.spreadsheetml.table+xml"/>
  <Override PartName="/xl/queryTables/queryTable2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charts/chart23.xml" ContentType="application/vnd.openxmlformats-officedocument.drawingml.chart+xml"/>
  <Override PartName="/xl/charts/style22.xml" ContentType="application/vnd.ms-office.chartstyle+xml"/>
  <Override PartName="/xl/charts/colors22.xml" ContentType="application/vnd.ms-office.chartcolorstyle+xml"/>
  <Override PartName="/xl/charts/chart24.xml" ContentType="application/vnd.openxmlformats-officedocument.drawingml.chart+xml"/>
  <Override PartName="/xl/charts/style23.xml" ContentType="application/vnd.ms-office.chartstyle+xml"/>
  <Override PartName="/xl/charts/colors23.xml" ContentType="application/vnd.ms-office.chartcolorstyle+xml"/>
  <Override PartName="/xl/charts/chart25.xml" ContentType="application/vnd.openxmlformats-officedocument.drawingml.chart+xml"/>
  <Override PartName="/xl/charts/style24.xml" ContentType="application/vnd.ms-office.chartstyle+xml"/>
  <Override PartName="/xl/charts/colors24.xml" ContentType="application/vnd.ms-office.chartcolorstyle+xml"/>
  <Override PartName="/xl/charts/chart26.xml" ContentType="application/vnd.openxmlformats-officedocument.drawingml.chart+xml"/>
  <Override PartName="/xl/charts/style25.xml" ContentType="application/vnd.ms-office.chartstyle+xml"/>
  <Override PartName="/xl/charts/colors25.xml" ContentType="application/vnd.ms-office.chartcolorstyle+xml"/>
  <Override PartName="/xl/charts/chart27.xml" ContentType="application/vnd.openxmlformats-officedocument.drawingml.chart+xml"/>
  <Override PartName="/xl/charts/style26.xml" ContentType="application/vnd.ms-office.chartstyle+xml"/>
  <Override PartName="/xl/charts/colors26.xml" ContentType="application/vnd.ms-office.chartcolorstyle+xml"/>
  <Override PartName="/xl/charts/chart28.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3.xml" ContentType="application/vnd.openxmlformats-officedocument.drawing+xml"/>
  <Override PartName="/xl/slicers/slicer2.xml" ContentType="application/vnd.ms-excel.slicer+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charts/chart30.xml" ContentType="application/vnd.openxmlformats-officedocument.drawingml.chart+xml"/>
  <Override PartName="/xl/charts/style29.xml" ContentType="application/vnd.ms-office.chartstyle+xml"/>
  <Override PartName="/xl/charts/colors29.xml" ContentType="application/vnd.ms-office.chartcolorstyle+xml"/>
  <Override PartName="/xl/charts/chart31.xml" ContentType="application/vnd.openxmlformats-officedocument.drawingml.chart+xml"/>
  <Override PartName="/xl/charts/style30.xml" ContentType="application/vnd.ms-office.chartstyle+xml"/>
  <Override PartName="/xl/charts/colors30.xml" ContentType="application/vnd.ms-office.chartcolorstyle+xml"/>
  <Override PartName="/xl/charts/chart32.xml" ContentType="application/vnd.openxmlformats-officedocument.drawingml.chart+xml"/>
  <Override PartName="/xl/charts/style31.xml" ContentType="application/vnd.ms-office.chartstyle+xml"/>
  <Override PartName="/xl/charts/colors31.xml" ContentType="application/vnd.ms-office.chartcolorstyle+xml"/>
  <Override PartName="/xl/charts/chart33.xml" ContentType="application/vnd.openxmlformats-officedocument.drawingml.chart+xml"/>
  <Override PartName="/xl/charts/chart34.xml" ContentType="application/vnd.openxmlformats-officedocument.drawingml.chart+xml"/>
  <Override PartName="/xl/charts/style32.xml" ContentType="application/vnd.ms-office.chartstyle+xml"/>
  <Override PartName="/xl/charts/colors32.xml" ContentType="application/vnd.ms-office.chartcolorstyle+xml"/>
  <Override PartName="/xl/charts/chart35.xml" ContentType="application/vnd.openxmlformats-officedocument.drawingml.chart+xml"/>
  <Override PartName="/xl/charts/style33.xml" ContentType="application/vnd.ms-office.chartstyle+xml"/>
  <Override PartName="/xl/charts/colors33.xml" ContentType="application/vnd.ms-office.chartcolorstyle+xml"/>
  <Override PartName="/xl/charts/chart36.xml" ContentType="application/vnd.openxmlformats-officedocument.drawingml.chart+xml"/>
  <Override PartName="/xl/charts/style34.xml" ContentType="application/vnd.ms-office.chartstyle+xml"/>
  <Override PartName="/xl/charts/colors34.xml" ContentType="application/vnd.ms-office.chartcolorstyle+xml"/>
  <Override PartName="/xl/charts/chart37.xml" ContentType="application/vnd.openxmlformats-officedocument.drawingml.chart+xml"/>
  <Override PartName="/xl/charts/style35.xml" ContentType="application/vnd.ms-office.chartstyle+xml"/>
  <Override PartName="/xl/charts/colors35.xml" ContentType="application/vnd.ms-office.chartcolorstyle+xml"/>
  <Override PartName="/xl/charts/chart38.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4.xml" ContentType="application/vnd.openxmlformats-officedocument.drawing+xml"/>
  <Override PartName="/xl/slicers/slicer3.xml" ContentType="application/vnd.ms-excel.slicer+xml"/>
  <Override PartName="/xl/charts/chart39.xml" ContentType="application/vnd.openxmlformats-officedocument.drawingml.chart+xml"/>
  <Override PartName="/xl/charts/style37.xml" ContentType="application/vnd.ms-office.chartstyle+xml"/>
  <Override PartName="/xl/charts/colors37.xml" ContentType="application/vnd.ms-office.chartcolorstyle+xml"/>
  <Override PartName="/xl/charts/chart40.xml" ContentType="application/vnd.openxmlformats-officedocument.drawingml.chart+xml"/>
  <Override PartName="/xl/charts/style38.xml" ContentType="application/vnd.ms-office.chartstyle+xml"/>
  <Override PartName="/xl/charts/colors38.xml" ContentType="application/vnd.ms-office.chartcolorstyle+xml"/>
  <Override PartName="/xl/charts/chart41.xml" ContentType="application/vnd.openxmlformats-officedocument.drawingml.chart+xml"/>
  <Override PartName="/xl/charts/style39.xml" ContentType="application/vnd.ms-office.chartstyle+xml"/>
  <Override PartName="/xl/charts/colors39.xml" ContentType="application/vnd.ms-office.chartcolorstyle+xml"/>
  <Override PartName="/xl/charts/chart42.xml" ContentType="application/vnd.openxmlformats-officedocument.drawingml.chart+xml"/>
  <Override PartName="/xl/charts/style40.xml" ContentType="application/vnd.ms-office.chartstyle+xml"/>
  <Override PartName="/xl/charts/colors40.xml" ContentType="application/vnd.ms-office.chartcolorstyle+xml"/>
  <Override PartName="/xl/charts/chart43.xml" ContentType="application/vnd.openxmlformats-officedocument.drawingml.chart+xml"/>
  <Override PartName="/xl/charts/style41.xml" ContentType="application/vnd.ms-office.chartstyle+xml"/>
  <Override PartName="/xl/charts/colors41.xml" ContentType="application/vnd.ms-office.chartcolorstyle+xml"/>
  <Override PartName="/xl/drawings/drawing5.xml" ContentType="application/vnd.openxmlformats-officedocument.drawingml.chartshapes+xml"/>
  <Override PartName="/xl/charts/chart44.xml" ContentType="application/vnd.openxmlformats-officedocument.drawingml.chart+xml"/>
  <Override PartName="/xl/charts/style42.xml" ContentType="application/vnd.ms-office.chartstyle+xml"/>
  <Override PartName="/xl/charts/colors42.xml" ContentType="application/vnd.ms-office.chartcolorstyle+xml"/>
  <Override PartName="/xl/charts/chart45.xml" ContentType="application/vnd.openxmlformats-officedocument.drawingml.chart+xml"/>
  <Override PartName="/xl/charts/style43.xml" ContentType="application/vnd.ms-office.chartstyle+xml"/>
  <Override PartName="/xl/charts/colors43.xml" ContentType="application/vnd.ms-office.chartcolorstyle+xml"/>
  <Override PartName="/xl/charts/chart46.xml" ContentType="application/vnd.openxmlformats-officedocument.drawingml.chart+xml"/>
  <Override PartName="/xl/charts/chart47.xml" ContentType="application/vnd.openxmlformats-officedocument.drawingml.chart+xml"/>
  <Override PartName="/xl/charts/style44.xml" ContentType="application/vnd.ms-office.chartstyle+xml"/>
  <Override PartName="/xl/charts/colors44.xml" ContentType="application/vnd.ms-office.chartcolorstyle+xml"/>
  <Override PartName="/xl/charts/chart48.xml" ContentType="application/vnd.openxmlformats-officedocument.drawingml.chart+xml"/>
  <Override PartName="/xl/charts/style45.xml" ContentType="application/vnd.ms-office.chartstyle+xml"/>
  <Override PartName="/xl/charts/colors45.xml" ContentType="application/vnd.ms-office.chartcolorstyle+xml"/>
  <Override PartName="/xl/charts/chart49.xml" ContentType="application/vnd.openxmlformats-officedocument.drawingml.chart+xml"/>
  <Override PartName="/xl/charts/style46.xml" ContentType="application/vnd.ms-office.chartstyle+xml"/>
  <Override PartName="/xl/charts/colors46.xml" ContentType="application/vnd.ms-office.chartcolorstyle+xml"/>
  <Override PartName="/xl/charts/chart50.xml" ContentType="application/vnd.openxmlformats-officedocument.drawingml.chart+xml"/>
  <Override PartName="/xl/charts/style47.xml" ContentType="application/vnd.ms-office.chartstyle+xml"/>
  <Override PartName="/xl/charts/colors47.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DELL\Desktop\JAYB FILES\CIRVEE\Cirvee Project\Excel\Analysis\"/>
    </mc:Choice>
  </mc:AlternateContent>
  <xr:revisionPtr revIDLastSave="0" documentId="13_ncr:1_{32B4DB55-47B0-4483-8BA6-7B1CD2E377DC}" xr6:coauthVersionLast="47" xr6:coauthVersionMax="47" xr10:uidLastSave="{00000000-0000-0000-0000-000000000000}"/>
  <bookViews>
    <workbookView xWindow="-120" yWindow="-120" windowWidth="20730" windowHeight="11040" firstSheet="22" activeTab="27" xr2:uid="{AFE1E87B-A660-44B4-A326-D2C61571613E}"/>
  </bookViews>
  <sheets>
    <sheet name="Average_Income" sheetId="4" r:id="rId1"/>
    <sheet name="Total_employees" sheetId="2" r:id="rId2"/>
    <sheet name="Attr_employee" sheetId="6" r:id="rId3"/>
    <sheet name="Gender" sheetId="7" r:id="rId4"/>
    <sheet name="Average_monthly income" sheetId="8" r:id="rId5"/>
    <sheet name="Workbalance" sheetId="9" r:id="rId6"/>
    <sheet name="Job_satisfication" sheetId="10" r:id="rId7"/>
    <sheet name="Tenure" sheetId="11" r:id="rId8"/>
    <sheet name="Job role vs distance" sheetId="12" r:id="rId9"/>
    <sheet name="Query11" sheetId="13" r:id="rId10"/>
    <sheet name="Attrition rate" sheetId="16" r:id="rId11"/>
    <sheet name="retention rate" sheetId="18" r:id="rId12"/>
    <sheet name="attrition avg income" sheetId="19" r:id="rId13"/>
    <sheet name="department" sheetId="22" r:id="rId14"/>
    <sheet name="martial status" sheetId="23" r:id="rId15"/>
    <sheet name="overtime" sheetId="24" r:id="rId16"/>
    <sheet name="worklife balance" sheetId="25" r:id="rId17"/>
    <sheet name="promotion year" sheetId="27" r:id="rId18"/>
    <sheet name="gender vs age group" sheetId="30" r:id="rId19"/>
    <sheet name="education level" sheetId="31" r:id="rId20"/>
    <sheet name="Query25" sheetId="32" r:id="rId21"/>
    <sheet name="performance rating" sheetId="33" r:id="rId22"/>
    <sheet name="hr_employee_attrition" sheetId="34" r:id="rId23"/>
    <sheet name="Query31" sheetId="36" r:id="rId24"/>
    <sheet name="Sheet1" sheetId="1" r:id="rId25"/>
    <sheet name="Pivotable" sheetId="3" r:id="rId26"/>
    <sheet name="DASHBOARD" sheetId="14" r:id="rId27"/>
    <sheet name="DASHBOARD2" sheetId="20" r:id="rId28"/>
  </sheets>
  <definedNames>
    <definedName name="counte">Pivotable!$B$21</definedName>
    <definedName name="ExternalData_1" localSheetId="2" hidden="1">Attr_employee!$A$1:$B$3</definedName>
    <definedName name="ExternalData_1" localSheetId="12" hidden="1">'attrition avg income'!$A$1:$A$2</definedName>
    <definedName name="ExternalData_1" localSheetId="10" hidden="1">'Attrition rate'!$A$1:$A$2</definedName>
    <definedName name="ExternalData_1" localSheetId="4" hidden="1">'Average_monthly income'!$A$1:$B$3</definedName>
    <definedName name="ExternalData_1" localSheetId="13" hidden="1">department!$A$1:$C$7</definedName>
    <definedName name="ExternalData_1" localSheetId="3" hidden="1">Gender!$A$1:$C$5</definedName>
    <definedName name="ExternalData_1" localSheetId="18" hidden="1">'gender vs age group'!$A$1:$D$86</definedName>
    <definedName name="ExternalData_1" localSheetId="22" hidden="1">hr_employee_attrition!$A$1:$AK$1471</definedName>
    <definedName name="ExternalData_1" localSheetId="8" hidden="1">'Job role vs distance'!$A$1:$F$19</definedName>
    <definedName name="ExternalData_1" localSheetId="6" hidden="1">Job_satisfication!$A$1:$C$5</definedName>
    <definedName name="ExternalData_1" localSheetId="14" hidden="1">'martial status'!$A$1:$D$7</definedName>
    <definedName name="ExternalData_1" localSheetId="15" hidden="1">overtime!$A$1:$C$5</definedName>
    <definedName name="ExternalData_1" localSheetId="21" hidden="1">'performance rating'!$A$1:$D$3</definedName>
    <definedName name="ExternalData_1" localSheetId="17" hidden="1">'promotion year'!$A$1:$D$15</definedName>
    <definedName name="ExternalData_1" localSheetId="9" hidden="1">Query11!$A$1:$C$6</definedName>
    <definedName name="ExternalData_1" localSheetId="20" hidden="1">Query25!$A$1:$C$30</definedName>
    <definedName name="ExternalData_1" localSheetId="23" hidden="1">Query31!$A$1:$D$113</definedName>
    <definedName name="ExternalData_1" localSheetId="11" hidden="1">'retention rate'!$A$1:$A$2</definedName>
    <definedName name="ExternalData_1" localSheetId="7" hidden="1">Tenure!$A$1:$C$5</definedName>
    <definedName name="ExternalData_1" localSheetId="1" hidden="1">Total_employees!$A$1:$A$2</definedName>
    <definedName name="ExternalData_1" localSheetId="5" hidden="1">Workbalance!$A$1:$C$5</definedName>
    <definedName name="ExternalData_1" localSheetId="16" hidden="1">'worklife balance'!$A$1:$D$9</definedName>
    <definedName name="ExternalData_2" localSheetId="0" hidden="1">Average_Income!$A$1:$A$2</definedName>
    <definedName name="ExternalData_2" localSheetId="19" hidden="1">'education level'!$A$1:$C$6</definedName>
    <definedName name="ExternalData_2" localSheetId="6" hidden="1">Job_satisfication!$F$1:$H$5</definedName>
    <definedName name="ExternalData_2" localSheetId="11" hidden="1">'retention rate'!$C$1:$C$2</definedName>
    <definedName name="job">Pivotable!$B$66</definedName>
    <definedName name="retention">Pivotable!$I$117</definedName>
    <definedName name="Slicer_Department">#N/A</definedName>
    <definedName name="Slicer_DistanceStatus">#N/A</definedName>
    <definedName name="Slicer_Gender">#N/A</definedName>
    <definedName name="Slicer_MaritalStatus">#N/A</definedName>
  </definedNames>
  <calcPr calcId="191029"/>
  <pivotCaches>
    <pivotCache cacheId="0" r:id="rId29"/>
    <pivotCache cacheId="1" r:id="rId30"/>
    <pivotCache cacheId="2" r:id="rId31"/>
    <pivotCache cacheId="3" r:id="rId32"/>
    <pivotCache cacheId="4" r:id="rId33"/>
    <pivotCache cacheId="5" r:id="rId34"/>
    <pivotCache cacheId="6" r:id="rId35"/>
    <pivotCache cacheId="7" r:id="rId36"/>
    <pivotCache cacheId="8" r:id="rId37"/>
    <pivotCache cacheId="9" r:id="rId38"/>
    <pivotCache cacheId="10" r:id="rId39"/>
    <pivotCache cacheId="11" r:id="rId40"/>
    <pivotCache cacheId="12" r:id="rId41"/>
    <pivotCache cacheId="13" r:id="rId42"/>
    <pivotCache cacheId="14" r:id="rId43"/>
    <pivotCache cacheId="15" r:id="rId44"/>
    <pivotCache cacheId="16" r:id="rId45"/>
    <pivotCache cacheId="17" r:id="rId46"/>
    <pivotCache cacheId="18" r:id="rId47"/>
    <pivotCache cacheId="19" r:id="rId48"/>
    <pivotCache cacheId="20" r:id="rId49"/>
    <pivotCache cacheId="21" r:id="rId50"/>
    <pivotCache cacheId="22" r:id="rId51"/>
    <pivotCache cacheId="23" r:id="rId52"/>
  </pivotCaches>
  <extLst>
    <ext xmlns:x14="http://schemas.microsoft.com/office/spreadsheetml/2009/9/main" uri="{BBE1A952-AA13-448e-AADC-164F8A28A991}">
      <x14:slicerCaches>
        <x14:slicerCache r:id="rId53"/>
        <x14:slicerCache r:id="rId54"/>
        <x14:slicerCache r:id="rId55"/>
        <x14:slicerCache r:id="rId5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2" i="18" l="1"/>
  <c r="AO2" i="3" a="1"/>
  <c r="AO2" i="3" s="1"/>
  <c r="J3" i="10"/>
  <c r="J4" i="10"/>
  <c r="J5" i="10"/>
  <c r="J2" i="10"/>
  <c r="C2" i="1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751AB3-FAFA-4FA2-9D25-E507B3060AA4}" keepAlive="1" name="Query - hr_employee_attrition" description="Connection to the 'hr_employee_attrition' query in the workbook." type="5" refreshedVersion="7" background="1" saveData="1">
    <dbPr connection="Provider=Microsoft.Mashup.OleDb.1;Data Source=$Workbook$;Location=hr_employee_attrition;Extended Properties=&quot;&quot;" command="SELECT * FROM [hr_employee_attrition]"/>
  </connection>
  <connection id="2" xr16:uid="{270814CA-16D5-4EA7-8283-4C7421E82739}" keepAlive="1" name="Query - Query1" description="Connection to the 'Query1' query in the workbook." type="5" refreshedVersion="7" background="1" saveData="1">
    <dbPr connection="Provider=Microsoft.Mashup.OleDb.1;Data Source=$Workbook$;Location=Query1;Extended Properties=&quot;&quot;" command="SELECT * FROM [Query1]"/>
  </connection>
  <connection id="3" xr16:uid="{8FFE049D-6E2C-43DD-BC8C-189D1AE7D06D}" keepAlive="1" name="Query - Query10" description="Connection to the 'Query10' query in the workbook." type="5" refreshedVersion="7" background="1" saveData="1">
    <dbPr connection="Provider=Microsoft.Mashup.OleDb.1;Data Source=$Workbook$;Location=Query10;Extended Properties=&quot;&quot;" command="SELECT * FROM [Query10]"/>
  </connection>
  <connection id="4" xr16:uid="{0936FAC2-BA43-4E24-8F18-7ECFD928C8D5}" keepAlive="1" name="Query - Query11" description="Connection to the 'Query11' query in the workbook." type="5" refreshedVersion="7" background="1" saveData="1">
    <dbPr connection="Provider=Microsoft.Mashup.OleDb.1;Data Source=$Workbook$;Location=Query11;Extended Properties=&quot;&quot;" command="SELECT * FROM [Query11]"/>
  </connection>
  <connection id="5" xr16:uid="{CB664109-DFF2-4A7E-850F-2A87901837D5}" keepAlive="1" name="Query - Query12" description="Connection to the 'Query12' query in the workbook." type="5" refreshedVersion="7" background="1" saveData="1">
    <dbPr connection="Provider=Microsoft.Mashup.OleDb.1;Data Source=$Workbook$;Location=Query12;Extended Properties=&quot;&quot;" command="SELECT * FROM [Query12]"/>
  </connection>
  <connection id="6" xr16:uid="{2DB23CDB-5375-44D9-8674-3EB22080E23F}" keepAlive="1" name="Query - Query12 (2)" description="Connection to the 'Query12 (2)' query in the workbook." type="5" refreshedVersion="7" background="1" saveData="1">
    <dbPr connection="Provider=Microsoft.Mashup.OleDb.1;Data Source=$Workbook$;Location=&quot;Query12 (2)&quot;;Extended Properties=&quot;&quot;" command="SELECT * FROM [Query12 (2)]"/>
  </connection>
  <connection id="7" xr16:uid="{B4A7840A-4021-4460-B608-475EED6B052A}" keepAlive="1" name="Query - Query13" description="Connection to the 'Query13' query in the workbook." type="5" refreshedVersion="0" background="1">
    <dbPr connection="Provider=Microsoft.Mashup.OleDb.1;Data Source=$Workbook$;Location=Query13;Extended Properties=&quot;&quot;" command="SELECT * FROM [Query13]"/>
  </connection>
  <connection id="8" xr16:uid="{D59AD298-B89C-48BD-8FDD-6F8F61571686}" keepAlive="1" name="Query - Query14" description="Connection to the 'Query14' query in the workbook." type="5" refreshedVersion="7" background="1" saveData="1">
    <dbPr connection="Provider=Microsoft.Mashup.OleDb.1;Data Source=$Workbook$;Location=Query14;Extended Properties=&quot;&quot;" command="SELECT * FROM [Query14]"/>
  </connection>
  <connection id="9" xr16:uid="{709812C9-5105-44F5-B1DB-F10C87AA7C6C}" keepAlive="1" name="Query - Query14 (2)" description="Connection to the 'Query14 (2)' query in the workbook." type="5" refreshedVersion="7" background="1" saveData="1">
    <dbPr connection="Provider=Microsoft.Mashup.OleDb.1;Data Source=$Workbook$;Location=&quot;Query14 (2)&quot;;Extended Properties=&quot;&quot;" command="SELECT * FROM [Query14 (2)]"/>
  </connection>
  <connection id="10" xr16:uid="{88F04952-D59B-435C-981A-EA1D57643903}" keepAlive="1" name="Query - Query14 (3)" description="Connection to the 'Query14 (3)' query in the workbook." type="5" refreshedVersion="7" background="1" saveData="1">
    <dbPr connection="Provider=Microsoft.Mashup.OleDb.1;Data Source=$Workbook$;Location=&quot;Query14 (3)&quot;;Extended Properties=&quot;&quot;" command="SELECT * FROM [Query14 (3)]"/>
  </connection>
  <connection id="11" xr16:uid="{3799AE2E-CC4B-484E-8B19-754F60E4CA30}" keepAlive="1" name="Query - Query15" description="Connection to the 'Query15' query in the workbook." type="5" refreshedVersion="7" background="1" saveData="1">
    <dbPr connection="Provider=Microsoft.Mashup.OleDb.1;Data Source=$Workbook$;Location=Query15;Extended Properties=&quot;&quot;" command="SELECT * FROM [Query15]"/>
  </connection>
  <connection id="12" xr16:uid="{A045B68C-5574-4AAA-AD71-A1FDF4B777AB}" keepAlive="1" name="Query - Query16" description="Connection to the 'Query16' query in the workbook." type="5" refreshedVersion="0" background="1">
    <dbPr connection="Provider=Microsoft.Mashup.OleDb.1;Data Source=$Workbook$;Location=Query16;Extended Properties=&quot;&quot;" command="SELECT * FROM [Query16]"/>
  </connection>
  <connection id="13" xr16:uid="{584458C2-1F9D-45A9-8AC8-77CFCF7F9DE8}" keepAlive="1" name="Query - Query17" description="Connection to the 'Query17' query in the workbook." type="5" refreshedVersion="7" background="1" saveData="1">
    <dbPr connection="Provider=Microsoft.Mashup.OleDb.1;Data Source=$Workbook$;Location=Query17;Extended Properties=&quot;&quot;" command="SELECT * FROM [Query17]"/>
  </connection>
  <connection id="14" xr16:uid="{92273028-43BB-4475-A9DB-395E503F123D}" keepAlive="1" name="Query - Query18" description="Connection to the 'Query18' query in the workbook." type="5" refreshedVersion="7" background="1" saveData="1">
    <dbPr connection="Provider=Microsoft.Mashup.OleDb.1;Data Source=$Workbook$;Location=Query18;Extended Properties=&quot;&quot;" command="SELECT * FROM [Query18]"/>
  </connection>
  <connection id="15" xr16:uid="{36269117-722F-404D-88C0-442C8E7329EA}" keepAlive="1" name="Query - Query19" description="Connection to the 'Query19' query in the workbook." type="5" refreshedVersion="7" background="1" saveData="1">
    <dbPr connection="Provider=Microsoft.Mashup.OleDb.1;Data Source=$Workbook$;Location=Query19;Extended Properties=&quot;&quot;" command="SELECT * FROM [Query19]"/>
  </connection>
  <connection id="16" xr16:uid="{50333031-5825-4965-88FD-E5ADA69C48EF}" keepAlive="1" name="Query - Query2" description="Connection to the 'Query2' query in the workbook." type="5" refreshedVersion="7" background="1" saveData="1">
    <dbPr connection="Provider=Microsoft.Mashup.OleDb.1;Data Source=$Workbook$;Location=Query2;Extended Properties=&quot;&quot;" command="SELECT * FROM [Query2]"/>
  </connection>
  <connection id="17" xr16:uid="{1D9A7789-3DA1-456E-B92E-DBE924D07030}" keepAlive="1" name="Query - Query20" description="Connection to the 'Query20' query in the workbook." type="5" refreshedVersion="7" background="1" saveData="1">
    <dbPr connection="Provider=Microsoft.Mashup.OleDb.1;Data Source=$Workbook$;Location=Query20;Extended Properties=&quot;&quot;" command="SELECT * FROM [Query20]"/>
  </connection>
  <connection id="18" xr16:uid="{B52F8CA4-3C72-449E-AA87-AD8DBD6A65E1}" keepAlive="1" name="Query - Query21" description="Connection to the 'Query21' query in the workbook." type="5" refreshedVersion="0" background="1">
    <dbPr connection="Provider=Microsoft.Mashup.OleDb.1;Data Source=$Workbook$;Location=Query21;Extended Properties=&quot;&quot;" command="SELECT * FROM [Query21]"/>
  </connection>
  <connection id="19" xr16:uid="{1141A95B-5773-4118-920D-BFF6AAA07179}" keepAlive="1" name="Query - Query22" description="Connection to the 'Query22' query in the workbook." type="5" refreshedVersion="7" background="1" saveData="1">
    <dbPr connection="Provider=Microsoft.Mashup.OleDb.1;Data Source=$Workbook$;Location=Query22;Extended Properties=&quot;&quot;" command="SELECT * FROM [Query22]"/>
  </connection>
  <connection id="20" xr16:uid="{3AD17FED-609F-415D-9436-249EE9FC5709}" keepAlive="1" name="Query - Query23" description="Connection to the 'Query23' query in the workbook." type="5" refreshedVersion="7" background="1" saveData="1">
    <dbPr connection="Provider=Microsoft.Mashup.OleDb.1;Data Source=$Workbook$;Location=Query23;Extended Properties=&quot;&quot;" command="SELECT * FROM [Query23]"/>
  </connection>
  <connection id="21" xr16:uid="{8F0FAE9A-FCCC-42F2-BDF7-8A43267F7760}" keepAlive="1" name="Query - Query24" description="Connection to the 'Query24' query in the workbook." type="5" refreshedVersion="7" background="1" saveData="1">
    <dbPr connection="Provider=Microsoft.Mashup.OleDb.1;Data Source=$Workbook$;Location=Query24;Extended Properties=&quot;&quot;" command="SELECT * FROM [Query24]"/>
  </connection>
  <connection id="22" xr16:uid="{A2D6C8D6-CDE7-4FE1-962B-F42C6375383B}" keepAlive="1" name="Query - Query25" description="Connection to the 'Query25' query in the workbook." type="5" refreshedVersion="7" background="1" saveData="1">
    <dbPr connection="Provider=Microsoft.Mashup.OleDb.1;Data Source=$Workbook$;Location=Query25;Extended Properties=&quot;&quot;" command="SELECT * FROM [Query25]"/>
  </connection>
  <connection id="23" xr16:uid="{C0B59763-5A15-4B6B-B8C5-90D674283935}" keepAlive="1" name="Query - Query26" description="Connection to the 'Query26' query in the workbook." type="5" refreshedVersion="7" background="1" saveData="1">
    <dbPr connection="Provider=Microsoft.Mashup.OleDb.1;Data Source=$Workbook$;Location=Query26;Extended Properties=&quot;&quot;" command="SELECT * FROM [Query26]"/>
  </connection>
  <connection id="24" xr16:uid="{7648F392-ABBE-4222-A6AA-4A900D45C10C}" keepAlive="1" name="Query - Query27" description="Connection to the 'Query27' query in the workbook." type="5" refreshedVersion="0" background="1">
    <dbPr connection="Provider=Microsoft.Mashup.OleDb.1;Data Source=$Workbook$;Location=Query27;Extended Properties=&quot;&quot;" command="SELECT * FROM [Query27]"/>
  </connection>
  <connection id="25" xr16:uid="{8CFC599C-279D-47EA-B9EE-D2BFD7AB7FE8}" keepAlive="1" name="Query - Query28" description="Connection to the 'Query28' query in the workbook." type="5" refreshedVersion="0" background="1">
    <dbPr connection="Provider=Microsoft.Mashup.OleDb.1;Data Source=$Workbook$;Location=Query28;Extended Properties=&quot;&quot;" command="SELECT * FROM [Query28]"/>
  </connection>
  <connection id="26" xr16:uid="{80190B28-985B-498D-9C5F-33A34A572000}" keepAlive="1" name="Query - Query29" description="Connection to the 'Query29' query in the workbook." type="5" refreshedVersion="7" background="1" saveData="1">
    <dbPr connection="Provider=Microsoft.Mashup.OleDb.1;Data Source=$Workbook$;Location=Query29;Extended Properties=&quot;&quot;" command="SELECT * FROM [Query29]"/>
  </connection>
  <connection id="27" xr16:uid="{1C256617-FC5A-4076-A6EF-184D9631D652}" keepAlive="1" name="Query - Query3" description="Connection to the 'Query3' query in the workbook." type="5" refreshedVersion="7" background="1" saveData="1">
    <dbPr connection="Provider=Microsoft.Mashup.OleDb.1;Data Source=$Workbook$;Location=Query3;Extended Properties=&quot;&quot;" command="SELECT * FROM [Query3]"/>
  </connection>
  <connection id="28" xr16:uid="{F2CB0644-DEC4-4D0A-BF4F-42863B2AAC46}" keepAlive="1" name="Query - Query30" description="Connection to the 'Query30' query in the workbook." type="5" refreshedVersion="0" background="1">
    <dbPr connection="Provider=Microsoft.Mashup.OleDb.1;Data Source=$Workbook$;Location=Query30;Extended Properties=&quot;&quot;" command="SELECT * FROM [Query30]"/>
  </connection>
  <connection id="29" xr16:uid="{81E67C9F-1EB1-44D7-8664-8CDDED122F6A}" keepAlive="1" name="Query - Query31" description="Connection to the 'Query31' query in the workbook." type="5" refreshedVersion="7" background="1" saveData="1">
    <dbPr connection="Provider=Microsoft.Mashup.OleDb.1;Data Source=$Workbook$;Location=Query31;Extended Properties=&quot;&quot;" command="SELECT * FROM [Query31]"/>
  </connection>
  <connection id="30" xr16:uid="{D40BBF62-A619-4AC5-B7AC-5E5C0FC592EB}" keepAlive="1" name="Query - Query4" description="Connection to the 'Query4' query in the workbook." type="5" refreshedVersion="7" background="1" saveData="1">
    <dbPr connection="Provider=Microsoft.Mashup.OleDb.1;Data Source=$Workbook$;Location=Query4;Extended Properties=&quot;&quot;" command="SELECT * FROM [Query4]"/>
  </connection>
  <connection id="31" xr16:uid="{A7428C02-8B48-4967-B5E2-E09BAE6CB7EB}" keepAlive="1" name="Query - Query5" description="Connection to the 'Query5' query in the workbook." type="5" refreshedVersion="7" background="1" saveData="1">
    <dbPr connection="Provider=Microsoft.Mashup.OleDb.1;Data Source=$Workbook$;Location=Query5;Extended Properties=&quot;&quot;" command="SELECT * FROM [Query5]"/>
  </connection>
  <connection id="32" xr16:uid="{B49AD8C9-A146-4952-8131-D3177DD96CB3}" keepAlive="1" name="Query - Query6" description="Connection to the 'Query6' query in the workbook." type="5" refreshedVersion="7" background="1" saveData="1">
    <dbPr connection="Provider=Microsoft.Mashup.OleDb.1;Data Source=$Workbook$;Location=Query6;Extended Properties=&quot;&quot;" command="SELECT * FROM [Query6]"/>
  </connection>
  <connection id="33" xr16:uid="{CBE20E07-D578-4787-8F7B-71D482354D90}" keepAlive="1" name="Query - Query7" description="Connection to the 'Query7' query in the workbook." type="5" refreshedVersion="7" background="1" saveData="1">
    <dbPr connection="Provider=Microsoft.Mashup.OleDb.1;Data Source=$Workbook$;Location=Query7;Extended Properties=&quot;&quot;" command="SELECT * FROM [Query7]"/>
  </connection>
  <connection id="34" xr16:uid="{CBEABB56-139B-4A50-964C-918A8916B2A3}" keepAlive="1" name="Query - Query8" description="Connection to the 'Query8' query in the workbook." type="5" refreshedVersion="7" background="1" saveData="1">
    <dbPr connection="Provider=Microsoft.Mashup.OleDb.1;Data Source=$Workbook$;Location=Query8;Extended Properties=&quot;&quot;" command="SELECT * FROM [Query8]"/>
  </connection>
  <connection id="35" xr16:uid="{5C0723CC-4C9F-473A-BD98-4F6BE02A445B}" keepAlive="1" name="Query - Query8 (2)" description="Connection to the 'Query8 (2)' query in the workbook." type="5" refreshedVersion="7" background="1" saveData="1">
    <dbPr connection="Provider=Microsoft.Mashup.OleDb.1;Data Source=$Workbook$;Location=&quot;Query8 (2)&quot;;Extended Properties=&quot;&quot;" command="SELECT * FROM [Query8 (2)]"/>
  </connection>
  <connection id="36" xr16:uid="{6BBE86DD-DCED-4B68-91E2-C2EA4397CAF9}" keepAlive="1" name="Query - Query8 (3)" description="Connection to the 'Query8 (3)' query in the workbook." type="5" refreshedVersion="7" background="1" saveData="1">
    <dbPr connection="Provider=Microsoft.Mashup.OleDb.1;Data Source=$Workbook$;Location=&quot;Query8 (3)&quot;;Extended Properties=&quot;&quot;" command="SELECT * FROM [Query8 (3)]"/>
  </connection>
  <connection id="37" xr16:uid="{0C7E818F-3718-4646-8AB6-4C2A5F511F5B}" keepAlive="1" name="Query - Query9" description="Connection to the 'Query9' query in the workbook." type="5" refreshedVersion="7" background="1" saveData="1">
    <dbPr connection="Provider=Microsoft.Mashup.OleDb.1;Data Source=$Workbook$;Location=Query9;Extended Properties=&quot;&quot;" command="SELECT * FROM [Query9]"/>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<sst xmlns="http://schemas.openxmlformats.org/spreadsheetml/2006/main" count="15602" uniqueCount="149">
  <si>
    <t>total_number_of_Employees</t>
  </si>
  <si>
    <t>Total number of Employees</t>
  </si>
  <si>
    <t>Total_Income</t>
  </si>
  <si>
    <t>Average of Total_Income</t>
  </si>
  <si>
    <t>Sales Executive</t>
  </si>
  <si>
    <t>Research Scientist</t>
  </si>
  <si>
    <t>Laboratory Technician</t>
  </si>
  <si>
    <t>Manufacturing Director</t>
  </si>
  <si>
    <t>Healthcare Representative</t>
  </si>
  <si>
    <t>Manager</t>
  </si>
  <si>
    <t>Sales Representative</t>
  </si>
  <si>
    <t>Research Director</t>
  </si>
  <si>
    <t>Human Resources</t>
  </si>
  <si>
    <t>Row Labels</t>
  </si>
  <si>
    <t>Grand Total</t>
  </si>
  <si>
    <t>Count of Unique_Jobrole</t>
  </si>
  <si>
    <t>Attrition</t>
  </si>
  <si>
    <t>total_num_employees</t>
  </si>
  <si>
    <t>Yes</t>
  </si>
  <si>
    <t>No</t>
  </si>
  <si>
    <t>Sum of total_num_employees</t>
  </si>
  <si>
    <t>Column Labels</t>
  </si>
  <si>
    <t>Gender</t>
  </si>
  <si>
    <t>total</t>
  </si>
  <si>
    <t>Female</t>
  </si>
  <si>
    <t>Male</t>
  </si>
  <si>
    <t>Sum of total</t>
  </si>
  <si>
    <t>avg_income</t>
  </si>
  <si>
    <t>WorkLifeBalance</t>
  </si>
  <si>
    <t>Job_Satisfication</t>
  </si>
  <si>
    <t>fair</t>
  </si>
  <si>
    <t>Good</t>
  </si>
  <si>
    <t>Excellent</t>
  </si>
  <si>
    <t>job satisfication</t>
  </si>
  <si>
    <t>worklife bal</t>
  </si>
  <si>
    <t>tenure_group</t>
  </si>
  <si>
    <t>0-2 Years</t>
  </si>
  <si>
    <t>10+ Years</t>
  </si>
  <si>
    <t>3-5 Years</t>
  </si>
  <si>
    <t>6-10 Years</t>
  </si>
  <si>
    <t>tenure</t>
  </si>
  <si>
    <t>JobRole</t>
  </si>
  <si>
    <t>avg_distance</t>
  </si>
  <si>
    <t>highest_distance</t>
  </si>
  <si>
    <t>lowest_distance</t>
  </si>
  <si>
    <t>total_disatance</t>
  </si>
  <si>
    <t>Sum of avg_distance</t>
  </si>
  <si>
    <t>distance</t>
  </si>
  <si>
    <t>AVG(MonthlyIncome)</t>
  </si>
  <si>
    <t>Education_Level</t>
  </si>
  <si>
    <t>Level 1</t>
  </si>
  <si>
    <t>Level 2</t>
  </si>
  <si>
    <t>Level 3</t>
  </si>
  <si>
    <t>Level 4</t>
  </si>
  <si>
    <t>Level 5</t>
  </si>
  <si>
    <t>Sum of AVG(MonthlyIncome)</t>
  </si>
  <si>
    <t>educationlevel by monthly income</t>
  </si>
  <si>
    <t>percentage</t>
  </si>
  <si>
    <t>Attrition Rate</t>
  </si>
  <si>
    <t>Sum of Attrition Rate</t>
  </si>
  <si>
    <t>Average_Income</t>
  </si>
  <si>
    <t>Average Monthly Income</t>
  </si>
  <si>
    <t>Department</t>
  </si>
  <si>
    <t>Research &amp; Development</t>
  </si>
  <si>
    <t>Sales</t>
  </si>
  <si>
    <t>Total_employees</t>
  </si>
  <si>
    <t>Sum of Total_employees</t>
  </si>
  <si>
    <t>MaritalStatus</t>
  </si>
  <si>
    <t>Avg(MonthlyIncome)</t>
  </si>
  <si>
    <t>Divorced</t>
  </si>
  <si>
    <t>Married</t>
  </si>
  <si>
    <t>Single</t>
  </si>
  <si>
    <t>Avg MonthlyIncome</t>
  </si>
  <si>
    <t>OverTime</t>
  </si>
  <si>
    <t>WorkLife</t>
  </si>
  <si>
    <t>Poor</t>
  </si>
  <si>
    <t>Fair</t>
  </si>
  <si>
    <t>worklifebal</t>
  </si>
  <si>
    <t>YearsSinceLastPromotion</t>
  </si>
  <si>
    <t>PromotionGroup</t>
  </si>
  <si>
    <t>Less 1yrs</t>
  </si>
  <si>
    <t>1-5yrs</t>
  </si>
  <si>
    <t>6-10yrs</t>
  </si>
  <si>
    <t>11-15yrs</t>
  </si>
  <si>
    <t>Column1</t>
  </si>
  <si>
    <t>Age</t>
  </si>
  <si>
    <t>total_employees</t>
  </si>
  <si>
    <t>AgeGroup</t>
  </si>
  <si>
    <t>38-47</t>
  </si>
  <si>
    <t>18-27</t>
  </si>
  <si>
    <t>28-37</t>
  </si>
  <si>
    <t>48-57</t>
  </si>
  <si>
    <t>58-67</t>
  </si>
  <si>
    <t>Sum of total_employees</t>
  </si>
  <si>
    <t>Below College</t>
  </si>
  <si>
    <t>College</t>
  </si>
  <si>
    <t>Bachelor's</t>
  </si>
  <si>
    <t>Master's</t>
  </si>
  <si>
    <t>Doctorate</t>
  </si>
  <si>
    <t>AvgMonthly</t>
  </si>
  <si>
    <t>DistanceStatus</t>
  </si>
  <si>
    <t>Near</t>
  </si>
  <si>
    <t>Far</t>
  </si>
  <si>
    <t>Very Far</t>
  </si>
  <si>
    <t>PerformanceRating</t>
  </si>
  <si>
    <t>Attrition_rate</t>
  </si>
  <si>
    <t>PerformanceRating2</t>
  </si>
  <si>
    <t>Outstanding</t>
  </si>
  <si>
    <t>EmployeeID</t>
  </si>
  <si>
    <t>Education</t>
  </si>
  <si>
    <t>EducationField</t>
  </si>
  <si>
    <t>NumCompaniesWorked</t>
  </si>
  <si>
    <t>Over18</t>
  </si>
  <si>
    <t>TotalWorkingYears</t>
  </si>
  <si>
    <t>TrainingTimesLastYear</t>
  </si>
  <si>
    <t>YearsAtCompany</t>
  </si>
  <si>
    <t>YearsInCurrentRole</t>
  </si>
  <si>
    <t>YearsWithCurrManager</t>
  </si>
  <si>
    <t>BusinessTravel</t>
  </si>
  <si>
    <t>DailyRate</t>
  </si>
  <si>
    <t>Distance</t>
  </si>
  <si>
    <t>EmployeeCount</t>
  </si>
  <si>
    <t>EnvironmentSatisfaction</t>
  </si>
  <si>
    <t>HourlyRate</t>
  </si>
  <si>
    <t>JobInvolvement</t>
  </si>
  <si>
    <t>JobLevel</t>
  </si>
  <si>
    <t>JobSatisfaction</t>
  </si>
  <si>
    <t>MonthlyIncome</t>
  </si>
  <si>
    <t>MonthlyRate</t>
  </si>
  <si>
    <t>PercentSalaryHike</t>
  </si>
  <si>
    <t>RelationshipSatisfaction</t>
  </si>
  <si>
    <t>StandardHours</t>
  </si>
  <si>
    <t>StockOptionLevel</t>
  </si>
  <si>
    <t>AttritionNum</t>
  </si>
  <si>
    <t>Life Sciences</t>
  </si>
  <si>
    <t>Travel_Rarely</t>
  </si>
  <si>
    <t>Younger</t>
  </si>
  <si>
    <t>Travel_Frequently</t>
  </si>
  <si>
    <t>Other</t>
  </si>
  <si>
    <t>Medical</t>
  </si>
  <si>
    <t>Older</t>
  </si>
  <si>
    <t>Non-Travel</t>
  </si>
  <si>
    <t>Marketing</t>
  </si>
  <si>
    <t>Technical Degree</t>
  </si>
  <si>
    <t>Sum of correlation_distance_attrition</t>
  </si>
  <si>
    <t>Retention Rate</t>
  </si>
  <si>
    <t>total_employee</t>
  </si>
  <si>
    <t>Sum of total_employee</t>
  </si>
  <si>
    <t>Sum of Retention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</si>
</sst>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1000000]&quot;$&quot;0.0,,&quot;M&quot;;[&gt;=1000]&quot;$&quot;0.0,&quot;K&quot;;&quot;$ &quot;0"/>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0" fillId="0" borderId="0" xfId="0" applyNumberFormat="1"/>
    <xf numFmtId="1"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9" fontId="0" fillId="0" borderId="0" xfId="0" applyNumberFormat="1"/>
    <xf numFmtId="9" fontId="0" fillId="0" borderId="0" xfId="1" applyFont="1"/>
    <xf numFmtId="0" fontId="0" fillId="2" borderId="0" xfId="0" applyFill="1"/>
  </cellXfs>
  <cellStyles count="2">
    <cellStyle name="Normal" xfId="0" builtinId="0"/>
    <cellStyle name="Percent" xfId="1" builtinId="5"/>
  </cellStyles>
  <dxfs count="60">
    <dxf>
      <numFmt numFmtId="164" formatCode="[&gt;=1000000]&quot;$&quot;0.0,,&quot;M&quot;;[&gt;=1000]&quot;$&quot;0.0,&quot;K&quot;;&quot;$ &quot;0"/>
    </dxf>
    <dxf>
      <numFmt numFmtId="164" formatCode="[&gt;=1000000]&quot;$&quot;0.0,,&quot;M&quot;;[&gt;=1000]&quot;$&quot;0.0,&quot;K&quot;;&quot;$ &quot;0"/>
    </dxf>
    <dxf>
      <numFmt numFmtId="13" formatCode="0%"/>
    </dxf>
    <dxf>
      <numFmt numFmtId="164" formatCode="[&gt;=1000000]&quot;$&quot;0.0,,&quot;M&quot;;[&gt;=1000]&quot;$&quot;0.0,&quot;K&quot;;&quot;$ &quot;0"/>
    </dxf>
    <dxf>
      <numFmt numFmtId="13" formatCode="0%"/>
    </dxf>
    <dxf>
      <numFmt numFmtId="13" formatCode="0%"/>
    </dxf>
    <dxf>
      <numFmt numFmtId="13" formatCode="0%"/>
    </dxf>
    <dxf>
      <numFmt numFmtId="13" formatCode="0%"/>
    </dxf>
    <dxf>
      <numFmt numFmtId="164" formatCode="[&gt;=1000000]&quot;$&quot;0.0,,&quot;M&quot;;[&gt;=1000]&quot;$&quot;0.0,&quot;K&quot;;&quot;$ &quot;0"/>
    </dxf>
    <dxf>
      <numFmt numFmtId="164" formatCode="[&gt;=1000000]&quot;$&quot;0.0,,&quot;M&quot;;[&gt;=1000]&quot;$&quot;0.0,&quot;K&quot;;&quot;$ &quot;0"/>
    </dxf>
    <dxf>
      <numFmt numFmtId="164" formatCode="[&gt;=1000000]&quot;$&quot;0.0,,&quot;M&quot;;[&gt;=1000]&quot;$&quot;0.0,&quot;K&quot;;&quot;$ &quot;0"/>
    </dxf>
    <dxf>
      <numFmt numFmtId="13" formatCode="0%"/>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s>
  <tableStyles count="0" defaultTableStyle="TableStyleMedium2" defaultPivotStyle="PivotStyleLight16"/>
  <colors>
    <mruColors>
      <color rgb="FF96BF8A"/>
      <color rgb="FFE8EAE5"/>
      <color rgb="FF00412E"/>
      <color rgb="FF3F3826"/>
      <color rgb="FFE7E6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pivotCacheDefinition" Target="pivotCache/pivotCacheDefinition11.xml"/><Relationship Id="rId21" Type="http://schemas.openxmlformats.org/officeDocument/2006/relationships/worksheet" Target="worksheets/sheet21.xml"/><Relationship Id="rId34" Type="http://schemas.openxmlformats.org/officeDocument/2006/relationships/pivotCacheDefinition" Target="pivotCache/pivotCacheDefinition6.xml"/><Relationship Id="rId42" Type="http://schemas.openxmlformats.org/officeDocument/2006/relationships/pivotCacheDefinition" Target="pivotCache/pivotCacheDefinition14.xml"/><Relationship Id="rId47" Type="http://schemas.openxmlformats.org/officeDocument/2006/relationships/pivotCacheDefinition" Target="pivotCache/pivotCacheDefinition19.xml"/><Relationship Id="rId50" Type="http://schemas.openxmlformats.org/officeDocument/2006/relationships/pivotCacheDefinition" Target="pivotCache/pivotCacheDefinition22.xml"/><Relationship Id="rId55" Type="http://schemas.microsoft.com/office/2007/relationships/slicerCache" Target="slicerCaches/slicerCache3.xml"/><Relationship Id="rId63"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4.xml"/><Relationship Id="rId37" Type="http://schemas.openxmlformats.org/officeDocument/2006/relationships/pivotCacheDefinition" Target="pivotCache/pivotCacheDefinition9.xml"/><Relationship Id="rId40" Type="http://schemas.openxmlformats.org/officeDocument/2006/relationships/pivotCacheDefinition" Target="pivotCache/pivotCacheDefinition12.xml"/><Relationship Id="rId45" Type="http://schemas.openxmlformats.org/officeDocument/2006/relationships/pivotCacheDefinition" Target="pivotCache/pivotCacheDefinition17.xml"/><Relationship Id="rId53" Type="http://schemas.microsoft.com/office/2007/relationships/slicerCache" Target="slicerCaches/slicerCache1.xml"/><Relationship Id="rId58" Type="http://schemas.openxmlformats.org/officeDocument/2006/relationships/connections" Target="connections.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pivotCacheDefinition" Target="pivotCache/pivotCacheDefinition2.xml"/><Relationship Id="rId35" Type="http://schemas.openxmlformats.org/officeDocument/2006/relationships/pivotCacheDefinition" Target="pivotCache/pivotCacheDefinition7.xml"/><Relationship Id="rId43" Type="http://schemas.openxmlformats.org/officeDocument/2006/relationships/pivotCacheDefinition" Target="pivotCache/pivotCacheDefinition15.xml"/><Relationship Id="rId48" Type="http://schemas.openxmlformats.org/officeDocument/2006/relationships/pivotCacheDefinition" Target="pivotCache/pivotCacheDefinition20.xml"/><Relationship Id="rId56" Type="http://schemas.microsoft.com/office/2007/relationships/slicerCache" Target="slicerCaches/slicerCache4.xml"/><Relationship Id="rId8" Type="http://schemas.openxmlformats.org/officeDocument/2006/relationships/worksheet" Target="worksheets/sheet8.xml"/><Relationship Id="rId51" Type="http://schemas.openxmlformats.org/officeDocument/2006/relationships/pivotCacheDefinition" Target="pivotCache/pivotCacheDefinition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5.xml"/><Relationship Id="rId38" Type="http://schemas.openxmlformats.org/officeDocument/2006/relationships/pivotCacheDefinition" Target="pivotCache/pivotCacheDefinition10.xml"/><Relationship Id="rId46" Type="http://schemas.openxmlformats.org/officeDocument/2006/relationships/pivotCacheDefinition" Target="pivotCache/pivotCacheDefinition18.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pivotCacheDefinition" Target="pivotCache/pivotCacheDefinition13.xml"/><Relationship Id="rId54" Type="http://schemas.microsoft.com/office/2007/relationships/slicerCache" Target="slicerCaches/slicerCache2.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8.xml"/><Relationship Id="rId49" Type="http://schemas.openxmlformats.org/officeDocument/2006/relationships/pivotCacheDefinition" Target="pivotCache/pivotCacheDefinition21.xml"/><Relationship Id="rId5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pivotCacheDefinition" Target="pivotCache/pivotCacheDefinition3.xml"/><Relationship Id="rId44" Type="http://schemas.openxmlformats.org/officeDocument/2006/relationships/pivotCacheDefinition" Target="pivotCache/pivotCacheDefinition16.xml"/><Relationship Id="rId52" Type="http://schemas.openxmlformats.org/officeDocument/2006/relationships/pivotCacheDefinition" Target="pivotCache/pivotCacheDefinition24.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3.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4.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5.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6.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7.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8.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0.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1.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4.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5.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6.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7.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8.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9.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40.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1.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2.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1.xml"/><Relationship Id="rId1" Type="http://schemas.microsoft.com/office/2011/relationships/chartStyle" Target="style41.xml"/></Relationships>
</file>

<file path=xl/charts/_rels/chart44.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5.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7.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8.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9.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5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47.xml"/><Relationship Id="rId1" Type="http://schemas.microsoft.com/office/2011/relationships/chartStyle" Target="style4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latin typeface="Segoe UI" panose="020B0502040204020203" pitchFamily="34" charset="0"/>
                <a:cs typeface="Segoe UI" panose="020B0502040204020203" pitchFamily="34" charset="0"/>
              </a:rPr>
              <a:t>Total</a:t>
            </a:r>
            <a:r>
              <a:rPr lang="en-US" sz="1100" b="1" baseline="0">
                <a:latin typeface="Segoe UI" panose="020B0502040204020203" pitchFamily="34" charset="0"/>
                <a:cs typeface="Segoe UI" panose="020B0502040204020203" pitchFamily="34" charset="0"/>
              </a:rPr>
              <a:t> Number of Employees</a:t>
            </a:r>
            <a:endParaRPr lang="en-US" sz="1100" b="1">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layout>
            <c:manualLayout>
              <c:x val="-2.5518354126438422E-2"/>
              <c:y val="4.9038614672703602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fld id="{508A17F4-389F-42D6-8986-A9B25DE7BAA1}" type="VALUE">
                  <a:rPr lang="en-US" sz="1100" b="1">
                    <a:latin typeface="Segoe UI" panose="020B0502040204020203" pitchFamily="34" charset="0"/>
                    <a:cs typeface="Segoe UI" panose="020B0502040204020203" pitchFamily="34" charset="0"/>
                  </a:rPr>
                  <a:pPr>
                    <a:defRPr b="1">
                      <a:latin typeface="Segoe UI" panose="020B0502040204020203" pitchFamily="34" charset="0"/>
                      <a:cs typeface="Segoe U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5.5766793409378963E-2"/>
          <c:y val="0.72557783993127112"/>
          <c:w val="0.88846641318124209"/>
          <c:h val="6.5271689754646173E-2"/>
        </c:manualLayout>
      </c:layout>
      <c:barChart>
        <c:barDir val="col"/>
        <c:grouping val="clustered"/>
        <c:varyColors val="0"/>
        <c:ser>
          <c:idx val="0"/>
          <c:order val="0"/>
          <c:tx>
            <c:strRef>
              <c:f>Pivotable!$A$3</c:f>
              <c:strCache>
                <c:ptCount val="1"/>
                <c:pt idx="0">
                  <c:v>Total</c:v>
                </c:pt>
              </c:strCache>
            </c:strRef>
          </c:tx>
          <c:spPr>
            <a:solidFill>
              <a:schemeClr val="accent1"/>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2-C364-42F3-B452-A7D8FB7F7066}"/>
              </c:ext>
            </c:extLst>
          </c:dPt>
          <c:dLbls>
            <c:dLbl>
              <c:idx val="0"/>
              <c:layout>
                <c:manualLayout>
                  <c:x val="-2.5518354126438422E-2"/>
                  <c:y val="4.9038614672703602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fld id="{508A17F4-389F-42D6-8986-A9B25DE7BAA1}" type="VALUE">
                      <a:rPr lang="en-US" sz="1100" b="1">
                        <a:latin typeface="Segoe UI" panose="020B0502040204020203" pitchFamily="34" charset="0"/>
                        <a:cs typeface="Segoe UI" panose="020B0502040204020203" pitchFamily="34" charset="0"/>
                      </a:rPr>
                      <a:pPr>
                        <a:defRPr b="1">
                          <a:latin typeface="Segoe UI" panose="020B0502040204020203" pitchFamily="34" charset="0"/>
                          <a:cs typeface="Segoe U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C364-42F3-B452-A7D8FB7F70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Pivotable!$A$4</c:f>
              <c:strCache>
                <c:ptCount val="1"/>
                <c:pt idx="0">
                  <c:v>Total</c:v>
                </c:pt>
              </c:strCache>
            </c:strRef>
          </c:cat>
          <c:val>
            <c:numRef>
              <c:f>Pivotable!$A$4</c:f>
              <c:numCache>
                <c:formatCode>General</c:formatCode>
                <c:ptCount val="1"/>
                <c:pt idx="0">
                  <c:v>1470</c:v>
                </c:pt>
              </c:numCache>
            </c:numRef>
          </c:val>
          <c:extLst>
            <c:ext xmlns:c16="http://schemas.microsoft.com/office/drawing/2014/chart" uri="{C3380CC4-5D6E-409C-BE32-E72D297353CC}">
              <c16:uniqueId val="{00000000-C364-42F3-B452-A7D8FB7F7066}"/>
            </c:ext>
          </c:extLst>
        </c:ser>
        <c:dLbls>
          <c:dLblPos val="outEnd"/>
          <c:showLegendKey val="0"/>
          <c:showVal val="1"/>
          <c:showCatName val="0"/>
          <c:showSerName val="0"/>
          <c:showPercent val="0"/>
          <c:showBubbleSize val="0"/>
        </c:dLbls>
        <c:gapWidth val="219"/>
        <c:overlap val="-27"/>
        <c:axId val="943623984"/>
        <c:axId val="943625648"/>
      </c:barChart>
      <c:catAx>
        <c:axId val="943623984"/>
        <c:scaling>
          <c:orientation val="minMax"/>
        </c:scaling>
        <c:delete val="1"/>
        <c:axPos val="b"/>
        <c:numFmt formatCode="General" sourceLinked="1"/>
        <c:majorTickMark val="none"/>
        <c:minorTickMark val="none"/>
        <c:tickLblPos val="nextTo"/>
        <c:crossAx val="943625648"/>
        <c:crosses val="autoZero"/>
        <c:auto val="1"/>
        <c:lblAlgn val="ctr"/>
        <c:lblOffset val="100"/>
        <c:noMultiLvlLbl val="0"/>
      </c:catAx>
      <c:valAx>
        <c:axId val="943625648"/>
        <c:scaling>
          <c:orientation val="minMax"/>
        </c:scaling>
        <c:delete val="1"/>
        <c:axPos val="l"/>
        <c:numFmt formatCode="General" sourceLinked="1"/>
        <c:majorTickMark val="none"/>
        <c:minorTickMark val="none"/>
        <c:tickLblPos val="nextTo"/>
        <c:crossAx val="943623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Atrrition.xlsx]Pivotable!PivotTable2</c:name>
    <c:fmtId val="1"/>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100" b="1">
                <a:latin typeface="Segoe UI" panose="020B0502040204020203" pitchFamily="34" charset="0"/>
                <a:cs typeface="Segoe UI" panose="020B0502040204020203" pitchFamily="34" charset="0"/>
              </a:rPr>
              <a:t>Average</a:t>
            </a:r>
            <a:r>
              <a:rPr lang="en-US" sz="1100" b="1" baseline="0">
                <a:latin typeface="Segoe UI" panose="020B0502040204020203" pitchFamily="34" charset="0"/>
                <a:cs typeface="Segoe UI" panose="020B0502040204020203" pitchFamily="34" charset="0"/>
              </a:rPr>
              <a:t> Income</a:t>
            </a:r>
            <a:endParaRPr lang="en-US" sz="1100" b="1">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layout>
            <c:manualLayout>
              <c:x val="9.1103366177588453E-4"/>
              <c:y val="-0.21520461902302881"/>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fld id="{BFE91A78-7DEC-4773-A94E-B7B9D38B3A84}" type="VALUE">
                  <a:rPr lang="en-US" sz="1050"/>
                  <a:pPr>
                    <a:defRPr b="1">
                      <a:latin typeface="Segoe UI" panose="020B0502040204020203" pitchFamily="34" charset="0"/>
                      <a:cs typeface="Segoe U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8605682486410509"/>
                  <c:h val="0.3186991265489339"/>
                </c:manualLayout>
              </c15:layout>
              <c15:dlblFieldTable/>
              <c15:showDataLabelsRange val="0"/>
            </c:ext>
          </c:extLst>
        </c:dLbl>
      </c:pivotFmt>
    </c:pivotFmts>
    <c:plotArea>
      <c:layout>
        <c:manualLayout>
          <c:layoutTarget val="inner"/>
          <c:xMode val="edge"/>
          <c:yMode val="edge"/>
          <c:x val="0.25683060109289618"/>
          <c:y val="0.86671376956808754"/>
          <c:w val="0.51912568306010931"/>
          <c:h val="3.9718944502074686E-2"/>
        </c:manualLayout>
      </c:layout>
      <c:barChart>
        <c:barDir val="col"/>
        <c:grouping val="clustered"/>
        <c:varyColors val="0"/>
        <c:ser>
          <c:idx val="0"/>
          <c:order val="0"/>
          <c:tx>
            <c:strRef>
              <c:f>Pivotable!$A$9</c:f>
              <c:strCache>
                <c:ptCount val="1"/>
                <c:pt idx="0">
                  <c:v>Total</c:v>
                </c:pt>
              </c:strCache>
            </c:strRef>
          </c:tx>
          <c:spPr>
            <a:no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2-2368-40C9-A6D9-503CE9AF7CD5}"/>
              </c:ext>
            </c:extLst>
          </c:dPt>
          <c:dLbls>
            <c:dLbl>
              <c:idx val="0"/>
              <c:layout>
                <c:manualLayout>
                  <c:x val="9.1103366177588453E-4"/>
                  <c:y val="-0.21520461902302881"/>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fld id="{BFE91A78-7DEC-4773-A94E-B7B9D38B3A84}" type="VALUE">
                      <a:rPr lang="en-US" sz="1050"/>
                      <a:pPr>
                        <a:defRPr b="1">
                          <a:latin typeface="Segoe UI" panose="020B0502040204020203" pitchFamily="34" charset="0"/>
                          <a:cs typeface="Segoe U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8605682486410509"/>
                      <c:h val="0.3186991265489339"/>
                    </c:manualLayout>
                  </c15:layout>
                  <c15:dlblFieldTable/>
                  <c15:showDataLabelsRange val="0"/>
                </c:ext>
                <c:ext xmlns:c16="http://schemas.microsoft.com/office/drawing/2014/chart" uri="{C3380CC4-5D6E-409C-BE32-E72D297353CC}">
                  <c16:uniqueId val="{00000002-2368-40C9-A6D9-503CE9AF7CD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Pivotable!$A$10</c:f>
              <c:strCache>
                <c:ptCount val="1"/>
                <c:pt idx="0">
                  <c:v>Total</c:v>
                </c:pt>
              </c:strCache>
            </c:strRef>
          </c:cat>
          <c:val>
            <c:numRef>
              <c:f>Pivotable!$A$10</c:f>
              <c:numCache>
                <c:formatCode>[&gt;=1000000]"$"0.0,,"M";[&gt;=1000]"$"0.0,"K";"$ "0</c:formatCode>
                <c:ptCount val="1"/>
                <c:pt idx="0">
                  <c:v>6502.9313000000002</c:v>
                </c:pt>
              </c:numCache>
            </c:numRef>
          </c:val>
          <c:extLst>
            <c:ext xmlns:c16="http://schemas.microsoft.com/office/drawing/2014/chart" uri="{C3380CC4-5D6E-409C-BE32-E72D297353CC}">
              <c16:uniqueId val="{00000000-2368-40C9-A6D9-503CE9AF7CD5}"/>
            </c:ext>
          </c:extLst>
        </c:ser>
        <c:dLbls>
          <c:dLblPos val="outEnd"/>
          <c:showLegendKey val="0"/>
          <c:showVal val="1"/>
          <c:showCatName val="0"/>
          <c:showSerName val="0"/>
          <c:showPercent val="0"/>
          <c:showBubbleSize val="0"/>
        </c:dLbls>
        <c:gapWidth val="219"/>
        <c:overlap val="-27"/>
        <c:axId val="939514512"/>
        <c:axId val="939513680"/>
      </c:barChart>
      <c:catAx>
        <c:axId val="939514512"/>
        <c:scaling>
          <c:orientation val="minMax"/>
        </c:scaling>
        <c:delete val="1"/>
        <c:axPos val="b"/>
        <c:numFmt formatCode="General" sourceLinked="1"/>
        <c:majorTickMark val="none"/>
        <c:minorTickMark val="none"/>
        <c:tickLblPos val="nextTo"/>
        <c:crossAx val="939513680"/>
        <c:crosses val="autoZero"/>
        <c:auto val="1"/>
        <c:lblAlgn val="ctr"/>
        <c:lblOffset val="100"/>
        <c:noMultiLvlLbl val="0"/>
      </c:catAx>
      <c:valAx>
        <c:axId val="939513680"/>
        <c:scaling>
          <c:orientation val="minMax"/>
        </c:scaling>
        <c:delete val="1"/>
        <c:axPos val="l"/>
        <c:numFmt formatCode="[&gt;=1000000]&quot;$&quot;0.0,,&quot;M&quot;;[&gt;=1000]&quot;$&quot;0.0,&quot;K&quot;;&quot;$ &quot;0" sourceLinked="1"/>
        <c:majorTickMark val="none"/>
        <c:minorTickMark val="none"/>
        <c:tickLblPos val="nextTo"/>
        <c:crossAx val="939514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Atrrition.xlsx]Pivotable!PivotTable3</c:name>
    <c:fmtId val="3"/>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200" b="1">
                <a:latin typeface="Segoe UI" panose="020B0502040204020203" pitchFamily="34" charset="0"/>
                <a:cs typeface="Segoe UI" panose="020B0502040204020203" pitchFamily="34" charset="0"/>
              </a:rPr>
              <a:t>Number</a:t>
            </a:r>
            <a:r>
              <a:rPr lang="en-US" sz="1200" b="1" baseline="0">
                <a:latin typeface="Segoe UI" panose="020B0502040204020203" pitchFamily="34" charset="0"/>
                <a:cs typeface="Segoe UI" panose="020B0502040204020203" pitchFamily="34" charset="0"/>
              </a:rPr>
              <a:t> of Job Role</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layout>
            <c:manualLayout>
              <c:x val="-3.0165912518853696E-2"/>
              <c:y val="-3.4013069794847132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60178620206411"/>
                  <c:h val="0.21727891156462581"/>
                </c:manualLayout>
              </c15:layout>
            </c:ext>
          </c:extLst>
        </c:dLbl>
      </c:pivotFmt>
    </c:pivotFmts>
    <c:plotArea>
      <c:layout>
        <c:manualLayout>
          <c:layoutTarget val="inner"/>
          <c:xMode val="edge"/>
          <c:yMode val="edge"/>
          <c:x val="7.8431372549019607E-2"/>
          <c:y val="0.7477551020408163"/>
          <c:w val="0.86726998491704377"/>
          <c:h val="0.18421768707482991"/>
        </c:manualLayout>
      </c:layout>
      <c:barChart>
        <c:barDir val="col"/>
        <c:grouping val="clustered"/>
        <c:varyColors val="0"/>
        <c:ser>
          <c:idx val="0"/>
          <c:order val="0"/>
          <c:tx>
            <c:strRef>
              <c:f>Pivotable!$A$13</c:f>
              <c:strCache>
                <c:ptCount val="1"/>
                <c:pt idx="0">
                  <c:v>Total</c:v>
                </c:pt>
              </c:strCache>
            </c:strRef>
          </c:tx>
          <c:spPr>
            <a:noFill/>
            <a:ln>
              <a:noFill/>
            </a:ln>
            <a:effectLst/>
          </c:spPr>
          <c:invertIfNegative val="0"/>
          <c:dPt>
            <c:idx val="0"/>
            <c:invertIfNegative val="0"/>
            <c:bubble3D val="0"/>
            <c:extLst>
              <c:ext xmlns:c16="http://schemas.microsoft.com/office/drawing/2014/chart" uri="{C3380CC4-5D6E-409C-BE32-E72D297353CC}">
                <c16:uniqueId val="{00000002-7B7C-4D9B-B487-39CBCAACEFC9}"/>
              </c:ext>
            </c:extLst>
          </c:dPt>
          <c:dLbls>
            <c:dLbl>
              <c:idx val="0"/>
              <c:layout>
                <c:manualLayout>
                  <c:x val="-3.0165912518853696E-2"/>
                  <c:y val="-3.4013069794847132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760178620206411"/>
                      <c:h val="0.21727891156462581"/>
                    </c:manualLayout>
                  </c15:layout>
                </c:ext>
                <c:ext xmlns:c16="http://schemas.microsoft.com/office/drawing/2014/chart" uri="{C3380CC4-5D6E-409C-BE32-E72D297353CC}">
                  <c16:uniqueId val="{00000002-7B7C-4D9B-B487-39CBCAACEFC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Pivotable!$A$14</c:f>
              <c:strCache>
                <c:ptCount val="1"/>
                <c:pt idx="0">
                  <c:v>Total</c:v>
                </c:pt>
              </c:strCache>
            </c:strRef>
          </c:cat>
          <c:val>
            <c:numRef>
              <c:f>Pivotable!$A$14</c:f>
              <c:numCache>
                <c:formatCode>General</c:formatCode>
                <c:ptCount val="1"/>
                <c:pt idx="0">
                  <c:v>9</c:v>
                </c:pt>
              </c:numCache>
            </c:numRef>
          </c:val>
          <c:extLst>
            <c:ext xmlns:c16="http://schemas.microsoft.com/office/drawing/2014/chart" uri="{C3380CC4-5D6E-409C-BE32-E72D297353CC}">
              <c16:uniqueId val="{00000000-7B7C-4D9B-B487-39CBCAACEFC9}"/>
            </c:ext>
          </c:extLst>
        </c:ser>
        <c:dLbls>
          <c:dLblPos val="outEnd"/>
          <c:showLegendKey val="0"/>
          <c:showVal val="1"/>
          <c:showCatName val="0"/>
          <c:showSerName val="0"/>
          <c:showPercent val="0"/>
          <c:showBubbleSize val="0"/>
        </c:dLbls>
        <c:gapWidth val="219"/>
        <c:overlap val="-27"/>
        <c:axId val="1990681456"/>
        <c:axId val="1990681872"/>
      </c:barChart>
      <c:catAx>
        <c:axId val="1990681456"/>
        <c:scaling>
          <c:orientation val="minMax"/>
        </c:scaling>
        <c:delete val="1"/>
        <c:axPos val="b"/>
        <c:numFmt formatCode="General" sourceLinked="1"/>
        <c:majorTickMark val="none"/>
        <c:minorTickMark val="none"/>
        <c:tickLblPos val="nextTo"/>
        <c:crossAx val="1990681872"/>
        <c:crosses val="autoZero"/>
        <c:auto val="1"/>
        <c:lblAlgn val="ctr"/>
        <c:lblOffset val="100"/>
        <c:noMultiLvlLbl val="0"/>
      </c:catAx>
      <c:valAx>
        <c:axId val="1990681872"/>
        <c:scaling>
          <c:orientation val="minMax"/>
        </c:scaling>
        <c:delete val="1"/>
        <c:axPos val="l"/>
        <c:numFmt formatCode="General" sourceLinked="1"/>
        <c:majorTickMark val="none"/>
        <c:minorTickMark val="none"/>
        <c:tickLblPos val="nextTo"/>
        <c:crossAx val="1990681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Atrrition.xlsx]Pivotable!PivotTable4</c:name>
    <c:fmtId val="0"/>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100" b="1" baseline="0">
                <a:latin typeface="Segoe UI" panose="020B0502040204020203" pitchFamily="34" charset="0"/>
                <a:cs typeface="Segoe UI" panose="020B0502040204020203" pitchFamily="34" charset="0"/>
              </a:rPr>
              <a:t>Employees who left vs stayed</a:t>
            </a:r>
            <a:endParaRPr lang="en-US" sz="1100" b="1">
              <a:latin typeface="Segoe UI" panose="020B0502040204020203" pitchFamily="34" charset="0"/>
              <a:cs typeface="Segoe UI" panose="020B0502040204020203" pitchFamily="34" charset="0"/>
            </a:endParaRPr>
          </a:p>
        </c:rich>
      </c:tx>
      <c:layout>
        <c:manualLayout>
          <c:xMode val="edge"/>
          <c:yMode val="edge"/>
          <c:x val="0.16660871148331893"/>
          <c:y val="4.3835629047029534E-2"/>
        </c:manualLayout>
      </c:layout>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412E"/>
          </a:solidFill>
          <a:ln w="19050">
            <a:solidFill>
              <a:schemeClr val="lt1"/>
            </a:solidFill>
          </a:ln>
          <a:effectLst/>
        </c:spPr>
        <c:dLbl>
          <c:idx val="0"/>
          <c:layout>
            <c:manualLayout>
              <c:x val="0.14666312280585181"/>
              <c:y val="-2.124766562060799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solidFill>
            <a:srgbClr val="96BF8A"/>
          </a:solidFill>
          <a:ln w="19050">
            <a:solidFill>
              <a:schemeClr val="lt1"/>
            </a:solidFill>
          </a:ln>
          <a:effectLst/>
        </c:spPr>
        <c:dLbl>
          <c:idx val="0"/>
          <c:layout>
            <c:manualLayout>
              <c:x val="-5.780346820809245E-2"/>
              <c:y val="-4.38356290470295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Pivotable!$B$18</c:f>
              <c:strCache>
                <c:ptCount val="1"/>
                <c:pt idx="0">
                  <c:v>Total</c:v>
                </c:pt>
              </c:strCache>
            </c:strRef>
          </c:tx>
          <c:explosion val="4"/>
          <c:dPt>
            <c:idx val="0"/>
            <c:bubble3D val="0"/>
            <c:spPr>
              <a:solidFill>
                <a:srgbClr val="00412E"/>
              </a:solidFill>
              <a:ln w="19050">
                <a:solidFill>
                  <a:schemeClr val="lt1"/>
                </a:solidFill>
              </a:ln>
              <a:effectLst/>
            </c:spPr>
            <c:extLst>
              <c:ext xmlns:c16="http://schemas.microsoft.com/office/drawing/2014/chart" uri="{C3380CC4-5D6E-409C-BE32-E72D297353CC}">
                <c16:uniqueId val="{00000002-FECB-44CE-9AEC-1B1A5C5C809C}"/>
              </c:ext>
            </c:extLst>
          </c:dPt>
          <c:dPt>
            <c:idx val="1"/>
            <c:bubble3D val="0"/>
            <c:spPr>
              <a:solidFill>
                <a:srgbClr val="96BF8A"/>
              </a:solidFill>
              <a:ln w="19050">
                <a:solidFill>
                  <a:schemeClr val="lt1"/>
                </a:solidFill>
              </a:ln>
              <a:effectLst/>
            </c:spPr>
            <c:extLst>
              <c:ext xmlns:c16="http://schemas.microsoft.com/office/drawing/2014/chart" uri="{C3380CC4-5D6E-409C-BE32-E72D297353CC}">
                <c16:uniqueId val="{00000003-FECB-44CE-9AEC-1B1A5C5C809C}"/>
              </c:ext>
            </c:extLst>
          </c:dPt>
          <c:dLbls>
            <c:dLbl>
              <c:idx val="0"/>
              <c:layout>
                <c:manualLayout>
                  <c:x val="0.14666312280585181"/>
                  <c:y val="-2.124766562060799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2-FECB-44CE-9AEC-1B1A5C5C809C}"/>
                </c:ext>
              </c:extLst>
            </c:dLbl>
            <c:dLbl>
              <c:idx val="1"/>
              <c:layout>
                <c:manualLayout>
                  <c:x val="-5.780346820809245E-2"/>
                  <c:y val="-4.38356290470295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ECB-44CE-9AEC-1B1A5C5C809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Pivotable!$A$19:$A$21</c:f>
              <c:strCache>
                <c:ptCount val="2"/>
                <c:pt idx="0">
                  <c:v>No</c:v>
                </c:pt>
                <c:pt idx="1">
                  <c:v>Yes</c:v>
                </c:pt>
              </c:strCache>
            </c:strRef>
          </c:cat>
          <c:val>
            <c:numRef>
              <c:f>Pivotable!$B$19:$B$21</c:f>
              <c:numCache>
                <c:formatCode>General</c:formatCode>
                <c:ptCount val="2"/>
                <c:pt idx="0">
                  <c:v>1233</c:v>
                </c:pt>
                <c:pt idx="1">
                  <c:v>237</c:v>
                </c:pt>
              </c:numCache>
            </c:numRef>
          </c:val>
          <c:extLst>
            <c:ext xmlns:c16="http://schemas.microsoft.com/office/drawing/2014/chart" uri="{C3380CC4-5D6E-409C-BE32-E72D297353CC}">
              <c16:uniqueId val="{00000000-FECB-44CE-9AEC-1B1A5C5C809C}"/>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latin typeface="Segoe UI" panose="020B0502040204020203" pitchFamily="34" charset="0"/>
                <a:cs typeface="Segoe UI" panose="020B0502040204020203" pitchFamily="34" charset="0"/>
              </a:rPr>
              <a:t>Total</a:t>
            </a:r>
            <a:r>
              <a:rPr lang="en-US" sz="1100" b="1" baseline="0">
                <a:latin typeface="Segoe UI" panose="020B0502040204020203" pitchFamily="34" charset="0"/>
                <a:cs typeface="Segoe UI" panose="020B0502040204020203" pitchFamily="34" charset="0"/>
              </a:rPr>
              <a:t> number of Gender by Attrition</a:t>
            </a:r>
            <a:endParaRPr lang="en-US" sz="1100" b="1">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6B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41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Pivotable!$B$26:$B$27</c:f>
              <c:strCache>
                <c:ptCount val="1"/>
                <c:pt idx="0">
                  <c:v>Female</c:v>
                </c:pt>
              </c:strCache>
            </c:strRef>
          </c:tx>
          <c:spPr>
            <a:solidFill>
              <a:srgbClr val="96BF8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Pivotable!$A$28:$A$30</c:f>
              <c:strCache>
                <c:ptCount val="2"/>
                <c:pt idx="0">
                  <c:v>Yes</c:v>
                </c:pt>
                <c:pt idx="1">
                  <c:v>No</c:v>
                </c:pt>
              </c:strCache>
            </c:strRef>
          </c:cat>
          <c:val>
            <c:numRef>
              <c:f>Pivotable!$B$28:$B$30</c:f>
              <c:numCache>
                <c:formatCode>General</c:formatCode>
                <c:ptCount val="2"/>
                <c:pt idx="0">
                  <c:v>87</c:v>
                </c:pt>
                <c:pt idx="1">
                  <c:v>501</c:v>
                </c:pt>
              </c:numCache>
            </c:numRef>
          </c:val>
          <c:extLst>
            <c:ext xmlns:c16="http://schemas.microsoft.com/office/drawing/2014/chart" uri="{C3380CC4-5D6E-409C-BE32-E72D297353CC}">
              <c16:uniqueId val="{00000000-C7C9-47BB-A8DF-D3DECC4D16BC}"/>
            </c:ext>
          </c:extLst>
        </c:ser>
        <c:ser>
          <c:idx val="1"/>
          <c:order val="1"/>
          <c:tx>
            <c:strRef>
              <c:f>Pivotable!$C$26:$C$27</c:f>
              <c:strCache>
                <c:ptCount val="1"/>
                <c:pt idx="0">
                  <c:v>Male</c:v>
                </c:pt>
              </c:strCache>
            </c:strRef>
          </c:tx>
          <c:spPr>
            <a:solidFill>
              <a:srgbClr val="00412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Pivotable!$A$28:$A$30</c:f>
              <c:strCache>
                <c:ptCount val="2"/>
                <c:pt idx="0">
                  <c:v>Yes</c:v>
                </c:pt>
                <c:pt idx="1">
                  <c:v>No</c:v>
                </c:pt>
              </c:strCache>
            </c:strRef>
          </c:cat>
          <c:val>
            <c:numRef>
              <c:f>Pivotable!$C$28:$C$30</c:f>
              <c:numCache>
                <c:formatCode>General</c:formatCode>
                <c:ptCount val="2"/>
                <c:pt idx="0">
                  <c:v>150</c:v>
                </c:pt>
                <c:pt idx="1">
                  <c:v>732</c:v>
                </c:pt>
              </c:numCache>
            </c:numRef>
          </c:val>
          <c:extLst>
            <c:ext xmlns:c16="http://schemas.microsoft.com/office/drawing/2014/chart" uri="{C3380CC4-5D6E-409C-BE32-E72D297353CC}">
              <c16:uniqueId val="{00000001-F832-4066-9189-AFA11289D0AC}"/>
            </c:ext>
          </c:extLst>
        </c:ser>
        <c:dLbls>
          <c:dLblPos val="outEnd"/>
          <c:showLegendKey val="0"/>
          <c:showVal val="1"/>
          <c:showCatName val="0"/>
          <c:showSerName val="0"/>
          <c:showPercent val="0"/>
          <c:showBubbleSize val="0"/>
        </c:dLbls>
        <c:gapWidth val="150"/>
        <c:axId val="1011525984"/>
        <c:axId val="1011530144"/>
      </c:barChart>
      <c:catAx>
        <c:axId val="101152598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crossAx val="1011530144"/>
        <c:crosses val="autoZero"/>
        <c:auto val="1"/>
        <c:lblAlgn val="ctr"/>
        <c:lblOffset val="100"/>
        <c:noMultiLvlLbl val="0"/>
      </c:catAx>
      <c:valAx>
        <c:axId val="1011530144"/>
        <c:scaling>
          <c:orientation val="minMax"/>
        </c:scaling>
        <c:delete val="1"/>
        <c:axPos val="l"/>
        <c:numFmt formatCode="General" sourceLinked="1"/>
        <c:majorTickMark val="out"/>
        <c:minorTickMark val="none"/>
        <c:tickLblPos val="nextTo"/>
        <c:crossAx val="101152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Atrrition.xlsx]Pivotable!PivotTable6</c:name>
    <c:fmtId val="0"/>
  </c:pivotSource>
  <c:chart>
    <c:autoTitleDeleted val="0"/>
    <c:pivotFmts>
      <c:pivotFmt>
        <c:idx val="0"/>
        <c:spPr>
          <a:solidFill>
            <a:srgbClr val="0041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6B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Pivotable!$B$37:$B$38</c:f>
              <c:strCache>
                <c:ptCount val="1"/>
                <c:pt idx="0">
                  <c:v>No</c:v>
                </c:pt>
              </c:strCache>
            </c:strRef>
          </c:tx>
          <c:spPr>
            <a:solidFill>
              <a:srgbClr val="00412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Pivotable!$A$39:$A$41</c:f>
              <c:strCache>
                <c:ptCount val="2"/>
                <c:pt idx="0">
                  <c:v>Female</c:v>
                </c:pt>
                <c:pt idx="1">
                  <c:v>Male</c:v>
                </c:pt>
              </c:strCache>
            </c:strRef>
          </c:cat>
          <c:val>
            <c:numRef>
              <c:f>Pivotable!$B$39:$B$41</c:f>
              <c:numCache>
                <c:formatCode>General</c:formatCode>
                <c:ptCount val="2"/>
                <c:pt idx="0">
                  <c:v>501</c:v>
                </c:pt>
                <c:pt idx="1">
                  <c:v>732</c:v>
                </c:pt>
              </c:numCache>
            </c:numRef>
          </c:val>
          <c:extLst>
            <c:ext xmlns:c16="http://schemas.microsoft.com/office/drawing/2014/chart" uri="{C3380CC4-5D6E-409C-BE32-E72D297353CC}">
              <c16:uniqueId val="{00000000-24AC-4658-8ABC-82504B3BBC25}"/>
            </c:ext>
          </c:extLst>
        </c:ser>
        <c:ser>
          <c:idx val="1"/>
          <c:order val="1"/>
          <c:tx>
            <c:strRef>
              <c:f>Pivotable!$C$37:$C$38</c:f>
              <c:strCache>
                <c:ptCount val="1"/>
                <c:pt idx="0">
                  <c:v>Yes</c:v>
                </c:pt>
              </c:strCache>
            </c:strRef>
          </c:tx>
          <c:spPr>
            <a:solidFill>
              <a:srgbClr val="96BF8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Pivotable!$A$39:$A$41</c:f>
              <c:strCache>
                <c:ptCount val="2"/>
                <c:pt idx="0">
                  <c:v>Female</c:v>
                </c:pt>
                <c:pt idx="1">
                  <c:v>Male</c:v>
                </c:pt>
              </c:strCache>
            </c:strRef>
          </c:cat>
          <c:val>
            <c:numRef>
              <c:f>Pivotable!$C$39:$C$41</c:f>
              <c:numCache>
                <c:formatCode>General</c:formatCode>
                <c:ptCount val="2"/>
                <c:pt idx="0">
                  <c:v>87</c:v>
                </c:pt>
                <c:pt idx="1">
                  <c:v>150</c:v>
                </c:pt>
              </c:numCache>
            </c:numRef>
          </c:val>
          <c:extLst>
            <c:ext xmlns:c16="http://schemas.microsoft.com/office/drawing/2014/chart" uri="{C3380CC4-5D6E-409C-BE32-E72D297353CC}">
              <c16:uniqueId val="{00000001-24AC-4658-8ABC-82504B3BBC25}"/>
            </c:ext>
          </c:extLst>
        </c:ser>
        <c:dLbls>
          <c:dLblPos val="outEnd"/>
          <c:showLegendKey val="0"/>
          <c:showVal val="1"/>
          <c:showCatName val="0"/>
          <c:showSerName val="0"/>
          <c:showPercent val="0"/>
          <c:showBubbleSize val="0"/>
        </c:dLbls>
        <c:gapWidth val="450"/>
        <c:overlap val="-13"/>
        <c:axId val="541846896"/>
        <c:axId val="541845648"/>
      </c:barChart>
      <c:catAx>
        <c:axId val="54184689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845648"/>
        <c:crosses val="autoZero"/>
        <c:auto val="1"/>
        <c:lblAlgn val="ctr"/>
        <c:lblOffset val="100"/>
        <c:noMultiLvlLbl val="0"/>
      </c:catAx>
      <c:valAx>
        <c:axId val="541845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84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Satisfaction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412E"/>
          </a:solidFill>
          <a:ln w="19050">
            <a:solidFill>
              <a:schemeClr val="lt1"/>
            </a:solidFill>
          </a:ln>
          <a:effectLst/>
        </c:spPr>
        <c:dLbl>
          <c:idx val="0"/>
          <c:layout>
            <c:manualLayout>
              <c:x val="8.2644663952913755E-2"/>
              <c:y val="-1.47737808431757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6BF8A"/>
          </a:solidFill>
          <a:ln w="19050">
            <a:solidFill>
              <a:schemeClr val="lt1"/>
            </a:solidFill>
          </a:ln>
          <a:effectLst/>
        </c:spPr>
        <c:dLbl>
          <c:idx val="0"/>
          <c:layout>
            <c:manualLayout>
              <c:x val="3.3057865581165469E-2"/>
              <c:y val="-3.69344521079393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65000"/>
              <a:lumOff val="35000"/>
            </a:schemeClr>
          </a:solidFill>
          <a:ln w="19050">
            <a:solidFill>
              <a:schemeClr val="lt1"/>
            </a:solidFill>
          </a:ln>
          <a:effectLst/>
        </c:spPr>
        <c:dLbl>
          <c:idx val="0"/>
          <c:layout>
            <c:manualLayout>
              <c:x val="-2.2038577054110345E-2"/>
              <c:y val="-8.86426850590544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Pivotable!$B$61:$B$62</c:f>
              <c:strCache>
                <c:ptCount val="1"/>
                <c:pt idx="0">
                  <c:v>Yes</c:v>
                </c:pt>
              </c:strCache>
            </c:strRef>
          </c:tx>
          <c:dPt>
            <c:idx val="0"/>
            <c:bubble3D val="0"/>
            <c:spPr>
              <a:solidFill>
                <a:srgbClr val="96BF8A"/>
              </a:solidFill>
              <a:ln w="19050">
                <a:solidFill>
                  <a:schemeClr val="lt1"/>
                </a:solidFill>
              </a:ln>
              <a:effectLst/>
            </c:spPr>
            <c:extLst>
              <c:ext xmlns:c16="http://schemas.microsoft.com/office/drawing/2014/chart" uri="{C3380CC4-5D6E-409C-BE32-E72D297353CC}">
                <c16:uniqueId val="{00000003-B6A1-4FD1-B265-F48B96C0D139}"/>
              </c:ext>
            </c:extLst>
          </c:dPt>
          <c:dPt>
            <c:idx val="1"/>
            <c:bubble3D val="0"/>
            <c:spPr>
              <a:solidFill>
                <a:srgbClr val="00412E"/>
              </a:solidFill>
              <a:ln w="19050">
                <a:solidFill>
                  <a:schemeClr val="lt1"/>
                </a:solidFill>
              </a:ln>
              <a:effectLst/>
            </c:spPr>
            <c:extLst>
              <c:ext xmlns:c16="http://schemas.microsoft.com/office/drawing/2014/chart" uri="{C3380CC4-5D6E-409C-BE32-E72D297353CC}">
                <c16:uniqueId val="{00000002-B6A1-4FD1-B265-F48B96C0D139}"/>
              </c:ext>
            </c:extLst>
          </c:dPt>
          <c:dPt>
            <c:idx val="2"/>
            <c:bubble3D val="0"/>
            <c:spPr>
              <a:solidFill>
                <a:schemeClr val="tx1">
                  <a:lumMod val="65000"/>
                  <a:lumOff val="35000"/>
                </a:schemeClr>
              </a:solidFill>
              <a:ln w="19050">
                <a:solidFill>
                  <a:schemeClr val="lt1"/>
                </a:solidFill>
              </a:ln>
              <a:effectLst/>
            </c:spPr>
            <c:extLst>
              <c:ext xmlns:c16="http://schemas.microsoft.com/office/drawing/2014/chart" uri="{C3380CC4-5D6E-409C-BE32-E72D297353CC}">
                <c16:uniqueId val="{00000004-B6A1-4FD1-B265-F48B96C0D139}"/>
              </c:ext>
            </c:extLst>
          </c:dPt>
          <c:dLbls>
            <c:dLbl>
              <c:idx val="0"/>
              <c:layout>
                <c:manualLayout>
                  <c:x val="3.3057865581165469E-2"/>
                  <c:y val="-3.69344521079393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6A1-4FD1-B265-F48B96C0D139}"/>
                </c:ext>
              </c:extLst>
            </c:dLbl>
            <c:dLbl>
              <c:idx val="1"/>
              <c:layout>
                <c:manualLayout>
                  <c:x val="8.2644663952913755E-2"/>
                  <c:y val="-1.47737808431757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A1-4FD1-B265-F48B96C0D139}"/>
                </c:ext>
              </c:extLst>
            </c:dLbl>
            <c:dLbl>
              <c:idx val="2"/>
              <c:layout>
                <c:manualLayout>
                  <c:x val="-2.2038577054110345E-2"/>
                  <c:y val="-8.86426850590544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6A1-4FD1-B265-F48B96C0D13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Pivotable!$A$63:$A$66</c:f>
              <c:strCache>
                <c:ptCount val="3"/>
                <c:pt idx="0">
                  <c:v>Excellent</c:v>
                </c:pt>
                <c:pt idx="1">
                  <c:v>fair</c:v>
                </c:pt>
                <c:pt idx="2">
                  <c:v>Good</c:v>
                </c:pt>
              </c:strCache>
            </c:strRef>
          </c:cat>
          <c:val>
            <c:numRef>
              <c:f>Pivotable!$B$63:$B$66</c:f>
              <c:numCache>
                <c:formatCode>0%</c:formatCode>
                <c:ptCount val="3"/>
                <c:pt idx="0">
                  <c:v>0.21940928270042195</c:v>
                </c:pt>
                <c:pt idx="1">
                  <c:v>0.47257383966244726</c:v>
                </c:pt>
                <c:pt idx="2">
                  <c:v>0.30801687763713081</c:v>
                </c:pt>
              </c:numCache>
            </c:numRef>
          </c:val>
          <c:extLst>
            <c:ext xmlns:c16="http://schemas.microsoft.com/office/drawing/2014/chart" uri="{C3380CC4-5D6E-409C-BE32-E72D297353CC}">
              <c16:uniqueId val="{00000000-B6A1-4FD1-B265-F48B96C0D13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Employees</a:t>
            </a:r>
            <a:r>
              <a:rPr lang="en-US" baseline="0"/>
              <a:t> who left early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412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Pivotable!$B$72:$B$73</c:f>
              <c:strCache>
                <c:ptCount val="1"/>
                <c:pt idx="0">
                  <c:v>Yes</c:v>
                </c:pt>
              </c:strCache>
            </c:strRef>
          </c:tx>
          <c:spPr>
            <a:solidFill>
              <a:srgbClr val="00412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Pivotable!$A$74:$A$78</c:f>
              <c:strCache>
                <c:ptCount val="4"/>
                <c:pt idx="0">
                  <c:v>0-2 Years</c:v>
                </c:pt>
                <c:pt idx="1">
                  <c:v>10+ Years</c:v>
                </c:pt>
                <c:pt idx="2">
                  <c:v>3-5 Years</c:v>
                </c:pt>
                <c:pt idx="3">
                  <c:v>6-10 Years</c:v>
                </c:pt>
              </c:strCache>
            </c:strRef>
          </c:cat>
          <c:val>
            <c:numRef>
              <c:f>Pivotable!$B$74:$B$78</c:f>
              <c:numCache>
                <c:formatCode>General</c:formatCode>
                <c:ptCount val="4"/>
                <c:pt idx="0">
                  <c:v>102</c:v>
                </c:pt>
                <c:pt idx="1">
                  <c:v>20</c:v>
                </c:pt>
                <c:pt idx="2">
                  <c:v>60</c:v>
                </c:pt>
                <c:pt idx="3">
                  <c:v>55</c:v>
                </c:pt>
              </c:numCache>
            </c:numRef>
          </c:val>
          <c:extLst>
            <c:ext xmlns:c16="http://schemas.microsoft.com/office/drawing/2014/chart" uri="{C3380CC4-5D6E-409C-BE32-E72D297353CC}">
              <c16:uniqueId val="{00000000-67C0-4B78-9A39-87866A5CB88A}"/>
            </c:ext>
          </c:extLst>
        </c:ser>
        <c:dLbls>
          <c:dLblPos val="outEnd"/>
          <c:showLegendKey val="0"/>
          <c:showVal val="1"/>
          <c:showCatName val="0"/>
          <c:showSerName val="0"/>
          <c:showPercent val="0"/>
          <c:showBubbleSize val="0"/>
        </c:dLbls>
        <c:gapWidth val="368"/>
        <c:overlap val="-8"/>
        <c:axId val="48751232"/>
        <c:axId val="48737504"/>
      </c:barChart>
      <c:catAx>
        <c:axId val="4875123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37504"/>
        <c:crosses val="autoZero"/>
        <c:auto val="1"/>
        <c:lblAlgn val="ctr"/>
        <c:lblOffset val="100"/>
        <c:noMultiLvlLbl val="0"/>
      </c:catAx>
      <c:valAx>
        <c:axId val="48737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5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Attrtion</a:t>
            </a:r>
            <a:r>
              <a:rPr lang="en-US" baseline="0"/>
              <a:t> by Job Role and Distance from home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rgbClr val="96BF8A"/>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00412E"/>
            </a:solidFill>
            <a:prstDash val="sysDot"/>
            <a:round/>
          </a:ln>
          <a:effectLst/>
        </c:spPr>
        <c:marker>
          <c:symbol val="circle"/>
          <c:size val="5"/>
          <c:spPr>
            <a:solidFill>
              <a:srgbClr val="96BF8A"/>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Pivotable!$B$85:$B$86</c:f>
              <c:strCache>
                <c:ptCount val="1"/>
                <c:pt idx="0">
                  <c:v>Yes</c:v>
                </c:pt>
              </c:strCache>
            </c:strRef>
          </c:tx>
          <c:spPr>
            <a:ln w="28575" cap="rnd">
              <a:solidFill>
                <a:srgbClr val="00412E"/>
              </a:solidFill>
              <a:prstDash val="sysDot"/>
              <a:round/>
            </a:ln>
            <a:effectLst/>
          </c:spPr>
          <c:marker>
            <c:symbol val="circle"/>
            <c:size val="5"/>
            <c:spPr>
              <a:solidFill>
                <a:srgbClr val="96BF8A"/>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Pivotable!$A$87:$A$96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Pivotable!$B$87:$B$96</c:f>
              <c:numCache>
                <c:formatCode>General</c:formatCode>
                <c:ptCount val="9"/>
                <c:pt idx="0">
                  <c:v>18</c:v>
                </c:pt>
                <c:pt idx="1">
                  <c:v>13</c:v>
                </c:pt>
                <c:pt idx="2">
                  <c:v>10</c:v>
                </c:pt>
                <c:pt idx="3">
                  <c:v>10</c:v>
                </c:pt>
                <c:pt idx="4">
                  <c:v>9</c:v>
                </c:pt>
                <c:pt idx="5">
                  <c:v>7</c:v>
                </c:pt>
                <c:pt idx="6">
                  <c:v>10</c:v>
                </c:pt>
                <c:pt idx="7">
                  <c:v>13</c:v>
                </c:pt>
                <c:pt idx="8">
                  <c:v>8</c:v>
                </c:pt>
              </c:numCache>
            </c:numRef>
          </c:val>
          <c:smooth val="0"/>
          <c:extLst>
            <c:ext xmlns:c16="http://schemas.microsoft.com/office/drawing/2014/chart" uri="{C3380CC4-5D6E-409C-BE32-E72D297353CC}">
              <c16:uniqueId val="{00000000-B327-4159-8726-FCD521101457}"/>
            </c:ext>
          </c:extLst>
        </c:ser>
        <c:dLbls>
          <c:dLblPos val="t"/>
          <c:showLegendKey val="0"/>
          <c:showVal val="1"/>
          <c:showCatName val="0"/>
          <c:showSerName val="0"/>
          <c:showPercent val="0"/>
          <c:showBubbleSize val="0"/>
        </c:dLbls>
        <c:marker val="1"/>
        <c:smooth val="0"/>
        <c:axId val="1648141344"/>
        <c:axId val="1648148832"/>
      </c:lineChart>
      <c:catAx>
        <c:axId val="164814134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148832"/>
        <c:crosses val="autoZero"/>
        <c:auto val="1"/>
        <c:lblAlgn val="ctr"/>
        <c:lblOffset val="100"/>
        <c:noMultiLvlLbl val="0"/>
      </c:catAx>
      <c:valAx>
        <c:axId val="1648148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14134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Atrrition.xlsx]Pivotable!PivotTable11</c:name>
    <c:fmtId val="7"/>
  </c:pivotSource>
  <c:chart>
    <c:autoTitleDeleted val="0"/>
    <c:pivotFmts>
      <c:pivotFmt>
        <c:idx val="0"/>
        <c:spPr>
          <a:solidFill>
            <a:srgbClr val="96B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00412E"/>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Pivotable!$B$101</c:f>
              <c:strCache>
                <c:ptCount val="1"/>
                <c:pt idx="0">
                  <c:v>Sum of total</c:v>
                </c:pt>
              </c:strCache>
            </c:strRef>
          </c:tx>
          <c:spPr>
            <a:solidFill>
              <a:srgbClr val="96BF8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Pivotable!$A$102:$A$107</c:f>
              <c:strCache>
                <c:ptCount val="5"/>
                <c:pt idx="0">
                  <c:v>Level 1</c:v>
                </c:pt>
                <c:pt idx="1">
                  <c:v>Level 2</c:v>
                </c:pt>
                <c:pt idx="2">
                  <c:v>Level 3</c:v>
                </c:pt>
                <c:pt idx="3">
                  <c:v>Level 4</c:v>
                </c:pt>
                <c:pt idx="4">
                  <c:v>Level 5</c:v>
                </c:pt>
              </c:strCache>
            </c:strRef>
          </c:cat>
          <c:val>
            <c:numRef>
              <c:f>Pivotable!$B$102:$B$107</c:f>
              <c:numCache>
                <c:formatCode>General</c:formatCode>
                <c:ptCount val="5"/>
                <c:pt idx="0">
                  <c:v>31</c:v>
                </c:pt>
                <c:pt idx="1">
                  <c:v>44</c:v>
                </c:pt>
                <c:pt idx="2">
                  <c:v>99</c:v>
                </c:pt>
                <c:pt idx="3">
                  <c:v>58</c:v>
                </c:pt>
                <c:pt idx="4">
                  <c:v>5</c:v>
                </c:pt>
              </c:numCache>
            </c:numRef>
          </c:val>
          <c:extLst>
            <c:ext xmlns:c16="http://schemas.microsoft.com/office/drawing/2014/chart" uri="{C3380CC4-5D6E-409C-BE32-E72D297353CC}">
              <c16:uniqueId val="{00000000-B1B5-4A5F-9C95-CD342F9345BB}"/>
            </c:ext>
          </c:extLst>
        </c:ser>
        <c:dLbls>
          <c:showLegendKey val="0"/>
          <c:showVal val="0"/>
          <c:showCatName val="0"/>
          <c:showSerName val="0"/>
          <c:showPercent val="0"/>
          <c:showBubbleSize val="0"/>
        </c:dLbls>
        <c:gapWidth val="219"/>
        <c:overlap val="-27"/>
        <c:axId val="1725548320"/>
        <c:axId val="1725551648"/>
      </c:barChart>
      <c:lineChart>
        <c:grouping val="standard"/>
        <c:varyColors val="0"/>
        <c:ser>
          <c:idx val="1"/>
          <c:order val="1"/>
          <c:tx>
            <c:strRef>
              <c:f>Pivotable!$C$101</c:f>
              <c:strCache>
                <c:ptCount val="1"/>
                <c:pt idx="0">
                  <c:v>Sum of AVG(MonthlyIncome)</c:v>
                </c:pt>
              </c:strCache>
            </c:strRef>
          </c:tx>
          <c:spPr>
            <a:ln w="28575" cap="rnd">
              <a:solidFill>
                <a:srgbClr val="00412E"/>
              </a:solidFill>
              <a:prstDash val="sysDot"/>
              <a:round/>
            </a:ln>
            <a:effectLst/>
          </c:spPr>
          <c:marker>
            <c:symbol val="none"/>
          </c:marker>
          <c:cat>
            <c:strRef>
              <c:f>Pivotable!$A$102:$A$107</c:f>
              <c:strCache>
                <c:ptCount val="5"/>
                <c:pt idx="0">
                  <c:v>Level 1</c:v>
                </c:pt>
                <c:pt idx="1">
                  <c:v>Level 2</c:v>
                </c:pt>
                <c:pt idx="2">
                  <c:v>Level 3</c:v>
                </c:pt>
                <c:pt idx="3">
                  <c:v>Level 4</c:v>
                </c:pt>
                <c:pt idx="4">
                  <c:v>Level 5</c:v>
                </c:pt>
              </c:strCache>
            </c:strRef>
          </c:cat>
          <c:val>
            <c:numRef>
              <c:f>Pivotable!$C$102:$C$107</c:f>
              <c:numCache>
                <c:formatCode>[&gt;=1000000]"$"0.0,,"M";[&gt;=1000]"$"0.0,"K";"$ "0</c:formatCode>
                <c:ptCount val="5"/>
                <c:pt idx="0">
                  <c:v>4360.1612999999998</c:v>
                </c:pt>
                <c:pt idx="1">
                  <c:v>4282.5455000000002</c:v>
                </c:pt>
                <c:pt idx="2">
                  <c:v>4770.2424000000001</c:v>
                </c:pt>
                <c:pt idx="3">
                  <c:v>5335.1552000000001</c:v>
                </c:pt>
                <c:pt idx="4">
                  <c:v>5850.2</c:v>
                </c:pt>
              </c:numCache>
            </c:numRef>
          </c:val>
          <c:smooth val="1"/>
          <c:extLst>
            <c:ext xmlns:c16="http://schemas.microsoft.com/office/drawing/2014/chart" uri="{C3380CC4-5D6E-409C-BE32-E72D297353CC}">
              <c16:uniqueId val="{00000001-B1B5-4A5F-9C95-CD342F9345BB}"/>
            </c:ext>
          </c:extLst>
        </c:ser>
        <c:dLbls>
          <c:showLegendKey val="0"/>
          <c:showVal val="0"/>
          <c:showCatName val="0"/>
          <c:showSerName val="0"/>
          <c:showPercent val="0"/>
          <c:showBubbleSize val="0"/>
        </c:dLbls>
        <c:marker val="1"/>
        <c:smooth val="0"/>
        <c:axId val="1725560800"/>
        <c:axId val="1725536256"/>
      </c:lineChart>
      <c:catAx>
        <c:axId val="172554832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551648"/>
        <c:crosses val="autoZero"/>
        <c:auto val="1"/>
        <c:lblAlgn val="ctr"/>
        <c:lblOffset val="100"/>
        <c:noMultiLvlLbl val="0"/>
      </c:catAx>
      <c:valAx>
        <c:axId val="1725551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548320"/>
        <c:crosses val="autoZero"/>
        <c:crossBetween val="between"/>
      </c:valAx>
      <c:valAx>
        <c:axId val="1725536256"/>
        <c:scaling>
          <c:orientation val="minMax"/>
        </c:scaling>
        <c:delete val="0"/>
        <c:axPos val="r"/>
        <c:numFmt formatCode="[&gt;=1000000]&quot;$&quot;0.0,,&quot;M&quot;;[&gt;=1000]&quot;$&quot;0.0,&quot;K&quot;;&quot;$ &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560800"/>
        <c:crosses val="max"/>
        <c:crossBetween val="between"/>
      </c:valAx>
      <c:catAx>
        <c:axId val="1725560800"/>
        <c:scaling>
          <c:orientation val="minMax"/>
        </c:scaling>
        <c:delete val="1"/>
        <c:axPos val="b"/>
        <c:numFmt formatCode="General" sourceLinked="1"/>
        <c:majorTickMark val="out"/>
        <c:minorTickMark val="none"/>
        <c:tickLblPos val="nextTo"/>
        <c:crossAx val="172553625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Atrrition</a:t>
            </a:r>
            <a:r>
              <a:rPr lang="en-US" baseline="0"/>
              <a:t>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pivotFmt>
    </c:pivotFmts>
    <c:plotArea>
      <c:layout>
        <c:manualLayout>
          <c:layoutTarget val="inner"/>
          <c:xMode val="edge"/>
          <c:yMode val="edge"/>
          <c:x val="6.8535825545171333E-2"/>
          <c:y val="0.79553775586812625"/>
          <c:w val="0.86292834890965731"/>
          <c:h val="8.4734301669849105E-2"/>
        </c:manualLayout>
      </c:layout>
      <c:barChart>
        <c:barDir val="col"/>
        <c:grouping val="clustered"/>
        <c:varyColors val="0"/>
        <c:ser>
          <c:idx val="0"/>
          <c:order val="0"/>
          <c:tx>
            <c:strRef>
              <c:f>Pivotable!$A$119</c:f>
              <c:strCache>
                <c:ptCount val="1"/>
                <c:pt idx="0">
                  <c:v>Total</c:v>
                </c:pt>
              </c:strCache>
            </c:strRef>
          </c:tx>
          <c:spPr>
            <a:solidFill>
              <a:schemeClr val="accent1"/>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2-2B81-406B-BA9D-DBAE1CE9AC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Pivotable!$A$120</c:f>
              <c:strCache>
                <c:ptCount val="1"/>
                <c:pt idx="0">
                  <c:v>Total</c:v>
                </c:pt>
              </c:strCache>
            </c:strRef>
          </c:cat>
          <c:val>
            <c:numRef>
              <c:f>Pivotable!$A$120</c:f>
              <c:numCache>
                <c:formatCode>0%</c:formatCode>
                <c:ptCount val="1"/>
                <c:pt idx="0">
                  <c:v>0.16120000000000001</c:v>
                </c:pt>
              </c:numCache>
            </c:numRef>
          </c:val>
          <c:extLst>
            <c:ext xmlns:c16="http://schemas.microsoft.com/office/drawing/2014/chart" uri="{C3380CC4-5D6E-409C-BE32-E72D297353CC}">
              <c16:uniqueId val="{00000000-2B81-406B-BA9D-DBAE1CE9AC4A}"/>
            </c:ext>
          </c:extLst>
        </c:ser>
        <c:dLbls>
          <c:dLblPos val="outEnd"/>
          <c:showLegendKey val="0"/>
          <c:showVal val="1"/>
          <c:showCatName val="0"/>
          <c:showSerName val="0"/>
          <c:showPercent val="0"/>
          <c:showBubbleSize val="0"/>
        </c:dLbls>
        <c:gapWidth val="219"/>
        <c:overlap val="-27"/>
        <c:axId val="1775066880"/>
        <c:axId val="1775088512"/>
      </c:barChart>
      <c:catAx>
        <c:axId val="1775066880"/>
        <c:scaling>
          <c:orientation val="minMax"/>
        </c:scaling>
        <c:delete val="1"/>
        <c:axPos val="b"/>
        <c:numFmt formatCode="General" sourceLinked="1"/>
        <c:majorTickMark val="none"/>
        <c:minorTickMark val="none"/>
        <c:tickLblPos val="nextTo"/>
        <c:crossAx val="1775088512"/>
        <c:crosses val="autoZero"/>
        <c:auto val="1"/>
        <c:lblAlgn val="ctr"/>
        <c:lblOffset val="100"/>
        <c:noMultiLvlLbl val="0"/>
      </c:catAx>
      <c:valAx>
        <c:axId val="1775088512"/>
        <c:scaling>
          <c:orientation val="minMax"/>
        </c:scaling>
        <c:delete val="1"/>
        <c:axPos val="l"/>
        <c:numFmt formatCode="0%" sourceLinked="1"/>
        <c:majorTickMark val="none"/>
        <c:minorTickMark val="none"/>
        <c:tickLblPos val="nextTo"/>
        <c:crossAx val="1775066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Monthly Income</a:t>
            </a:r>
          </a:p>
          <a:p>
            <a:pPr>
              <a:defRPr/>
            </a:pPr>
            <a:r>
              <a:rPr lang="en-US"/>
              <a:t>(Attrition)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85226851851851848"/>
          <c:w val="0.93888888888888888"/>
          <c:h val="9.6805555555555534E-2"/>
        </c:manualLayout>
      </c:layout>
      <c:barChart>
        <c:barDir val="col"/>
        <c:grouping val="clustered"/>
        <c:varyColors val="0"/>
        <c:ser>
          <c:idx val="0"/>
          <c:order val="0"/>
          <c:tx>
            <c:strRef>
              <c:f>Pivotable!$A$128</c:f>
              <c:strCache>
                <c:ptCount val="1"/>
                <c:pt idx="0">
                  <c:v>Total</c:v>
                </c:pt>
              </c:strCache>
            </c:strRef>
          </c:tx>
          <c:spPr>
            <a:solidFill>
              <a:schemeClr val="accent1"/>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2-460B-41AD-B437-4EDC7347122A}"/>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60B-41AD-B437-4EDC7347122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Pivotable!$A$129</c:f>
              <c:strCache>
                <c:ptCount val="1"/>
                <c:pt idx="0">
                  <c:v>Total</c:v>
                </c:pt>
              </c:strCache>
            </c:strRef>
          </c:cat>
          <c:val>
            <c:numRef>
              <c:f>Pivotable!$A$129</c:f>
              <c:numCache>
                <c:formatCode>[&gt;=1000000]"$"0.0,,"M";[&gt;=1000]"$"0.0,"K";"$ "0</c:formatCode>
                <c:ptCount val="1"/>
                <c:pt idx="0">
                  <c:v>4787.0928000000004</c:v>
                </c:pt>
              </c:numCache>
            </c:numRef>
          </c:val>
          <c:extLst>
            <c:ext xmlns:c16="http://schemas.microsoft.com/office/drawing/2014/chart" uri="{C3380CC4-5D6E-409C-BE32-E72D297353CC}">
              <c16:uniqueId val="{00000000-460B-41AD-B437-4EDC7347122A}"/>
            </c:ext>
          </c:extLst>
        </c:ser>
        <c:dLbls>
          <c:showLegendKey val="0"/>
          <c:showVal val="0"/>
          <c:showCatName val="0"/>
          <c:showSerName val="0"/>
          <c:showPercent val="0"/>
          <c:showBubbleSize val="0"/>
        </c:dLbls>
        <c:gapWidth val="219"/>
        <c:overlap val="-27"/>
        <c:axId val="1775101824"/>
        <c:axId val="1775095168"/>
      </c:barChart>
      <c:catAx>
        <c:axId val="1775101824"/>
        <c:scaling>
          <c:orientation val="minMax"/>
        </c:scaling>
        <c:delete val="1"/>
        <c:axPos val="b"/>
        <c:numFmt formatCode="General" sourceLinked="1"/>
        <c:majorTickMark val="none"/>
        <c:minorTickMark val="none"/>
        <c:tickLblPos val="nextTo"/>
        <c:crossAx val="1775095168"/>
        <c:crosses val="autoZero"/>
        <c:auto val="1"/>
        <c:lblAlgn val="ctr"/>
        <c:lblOffset val="100"/>
        <c:noMultiLvlLbl val="0"/>
      </c:catAx>
      <c:valAx>
        <c:axId val="1775095168"/>
        <c:scaling>
          <c:orientation val="minMax"/>
        </c:scaling>
        <c:delete val="1"/>
        <c:axPos val="l"/>
        <c:numFmt formatCode="[&gt;=1000000]&quot;$&quot;0.0,,&quot;M&quot;;[&gt;=1000]&quot;$&quot;0.0,&quot;K&quot;;&quot;$ &quot;0" sourceLinked="1"/>
        <c:majorTickMark val="none"/>
        <c:minorTickMark val="none"/>
        <c:tickLblPos val="nextTo"/>
        <c:crossAx val="1775101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8EAE5"/>
          </a:solidFill>
          <a:ln w="19050">
            <a:noFill/>
          </a:ln>
          <a:effectLst/>
        </c:spPr>
      </c:pivotFmt>
      <c:pivotFmt>
        <c:idx val="2"/>
        <c:spPr>
          <a:solidFill>
            <a:srgbClr val="96BF8A"/>
          </a:solidFill>
          <a:ln w="19050">
            <a:noFill/>
          </a:ln>
          <a:effectLst/>
        </c:spPr>
      </c:pivotFmt>
    </c:pivotFmts>
    <c:plotArea>
      <c:layout/>
      <c:doughnutChart>
        <c:varyColors val="1"/>
        <c:ser>
          <c:idx val="0"/>
          <c:order val="0"/>
          <c:tx>
            <c:strRef>
              <c:f>Pivotable!$B$135</c:f>
              <c:strCache>
                <c:ptCount val="1"/>
                <c:pt idx="0">
                  <c:v>Total</c:v>
                </c:pt>
              </c:strCache>
            </c:strRef>
          </c:tx>
          <c:dPt>
            <c:idx val="0"/>
            <c:bubble3D val="0"/>
            <c:explosion val="10"/>
            <c:spPr>
              <a:solidFill>
                <a:srgbClr val="E8EAE5"/>
              </a:solidFill>
              <a:ln w="19050">
                <a:noFill/>
              </a:ln>
              <a:effectLst/>
            </c:spPr>
            <c:extLst>
              <c:ext xmlns:c16="http://schemas.microsoft.com/office/drawing/2014/chart" uri="{C3380CC4-5D6E-409C-BE32-E72D297353CC}">
                <c16:uniqueId val="{00000002-9113-4682-9462-86DBEA2DBFB1}"/>
              </c:ext>
            </c:extLst>
          </c:dPt>
          <c:dPt>
            <c:idx val="1"/>
            <c:bubble3D val="0"/>
            <c:spPr>
              <a:solidFill>
                <a:srgbClr val="96BF8A"/>
              </a:solidFill>
              <a:ln w="19050">
                <a:noFill/>
              </a:ln>
              <a:effectLst/>
            </c:spPr>
            <c:extLst>
              <c:ext xmlns:c16="http://schemas.microsoft.com/office/drawing/2014/chart" uri="{C3380CC4-5D6E-409C-BE32-E72D297353CC}">
                <c16:uniqueId val="{00000003-9113-4682-9462-86DBEA2DBFB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Pivotable!$A$136:$A$138</c:f>
              <c:strCache>
                <c:ptCount val="2"/>
                <c:pt idx="0">
                  <c:v>No</c:v>
                </c:pt>
                <c:pt idx="1">
                  <c:v>Yes</c:v>
                </c:pt>
              </c:strCache>
            </c:strRef>
          </c:cat>
          <c:val>
            <c:numRef>
              <c:f>Pivotable!$B$136:$B$138</c:f>
              <c:numCache>
                <c:formatCode>General</c:formatCode>
                <c:ptCount val="2"/>
                <c:pt idx="0">
                  <c:v>1233</c:v>
                </c:pt>
                <c:pt idx="1">
                  <c:v>237</c:v>
                </c:pt>
              </c:numCache>
            </c:numRef>
          </c:val>
          <c:extLst>
            <c:ext xmlns:c16="http://schemas.microsoft.com/office/drawing/2014/chart" uri="{C3380CC4-5D6E-409C-BE32-E72D297353CC}">
              <c16:uniqueId val="{00000000-9113-4682-9462-86DBEA2DBFB1}"/>
            </c:ext>
          </c:extLst>
        </c:ser>
        <c:dLbls>
          <c:showLegendKey val="0"/>
          <c:showVal val="1"/>
          <c:showCatName val="0"/>
          <c:showSerName val="0"/>
          <c:showPercent val="0"/>
          <c:showBubbleSize val="0"/>
          <c:showLeaderLines val="1"/>
        </c:dLbls>
        <c:firstSliceAng val="0"/>
        <c:holeSize val="89"/>
      </c:doughnutChart>
      <c:spPr>
        <a:noFill/>
        <a:ln>
          <a:noFill/>
        </a:ln>
        <a:effectLst/>
      </c:spPr>
    </c:plotArea>
    <c:legend>
      <c:legendPos val="r"/>
      <c:layout>
        <c:manualLayout>
          <c:xMode val="edge"/>
          <c:yMode val="edge"/>
          <c:x val="0.87800826576570457"/>
          <c:y val="0.31492824760362809"/>
          <c:w val="0.12199162467947174"/>
          <c:h val="0.254239067574180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Atrrition.xlsx]Pivotable!PivotTable17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8EA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6B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8EAE5"/>
          </a:solidFill>
          <a:ln>
            <a:noFill/>
          </a:ln>
          <a:effectLst/>
        </c:spPr>
      </c:pivotFmt>
      <c:pivotFmt>
        <c:idx val="9"/>
        <c:spPr>
          <a:solidFill>
            <a:srgbClr val="E8EAE5"/>
          </a:solidFill>
          <a:ln>
            <a:noFill/>
          </a:ln>
          <a:effectLst/>
        </c:spPr>
      </c:pivotFmt>
    </c:pivotFmts>
    <c:plotArea>
      <c:layout/>
      <c:barChart>
        <c:barDir val="col"/>
        <c:grouping val="clustered"/>
        <c:varyColors val="0"/>
        <c:ser>
          <c:idx val="0"/>
          <c:order val="0"/>
          <c:tx>
            <c:strRef>
              <c:f>Pivotable!$B$142</c:f>
              <c:strCache>
                <c:ptCount val="1"/>
                <c:pt idx="0">
                  <c:v>Avg MonthlyIncome</c:v>
                </c:pt>
              </c:strCache>
            </c:strRef>
          </c:tx>
          <c:spPr>
            <a:solidFill>
              <a:srgbClr val="E8EAE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Pivotable!$A$143:$A$145</c:f>
              <c:strCache>
                <c:ptCount val="2"/>
                <c:pt idx="0">
                  <c:v>Yes</c:v>
                </c:pt>
                <c:pt idx="1">
                  <c:v>No</c:v>
                </c:pt>
              </c:strCache>
            </c:strRef>
          </c:cat>
          <c:val>
            <c:numRef>
              <c:f>Pivotable!$B$143:$B$145</c:f>
              <c:numCache>
                <c:formatCode>[&gt;=1000000]"$"0.0,,"M";[&gt;=1000]"$"0.0,"K";"$ "0</c:formatCode>
                <c:ptCount val="2"/>
                <c:pt idx="0">
                  <c:v>14200.285100000001</c:v>
                </c:pt>
                <c:pt idx="1">
                  <c:v>20442.8351</c:v>
                </c:pt>
              </c:numCache>
            </c:numRef>
          </c:val>
          <c:extLst>
            <c:ext xmlns:c16="http://schemas.microsoft.com/office/drawing/2014/chart" uri="{C3380CC4-5D6E-409C-BE32-E72D297353CC}">
              <c16:uniqueId val="{00000000-B1D1-4D76-9236-52CA544E036E}"/>
            </c:ext>
          </c:extLst>
        </c:ser>
        <c:ser>
          <c:idx val="1"/>
          <c:order val="1"/>
          <c:tx>
            <c:strRef>
              <c:f>Pivotable!$C$142</c:f>
              <c:strCache>
                <c:ptCount val="1"/>
                <c:pt idx="0">
                  <c:v>Sum of total</c:v>
                </c:pt>
              </c:strCache>
            </c:strRef>
          </c:tx>
          <c:spPr>
            <a:solidFill>
              <a:srgbClr val="96BF8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Pivotable!$A$143:$A$145</c:f>
              <c:strCache>
                <c:ptCount val="2"/>
                <c:pt idx="0">
                  <c:v>Yes</c:v>
                </c:pt>
                <c:pt idx="1">
                  <c:v>No</c:v>
                </c:pt>
              </c:strCache>
            </c:strRef>
          </c:cat>
          <c:val>
            <c:numRef>
              <c:f>Pivotable!$C$143:$C$145</c:f>
              <c:numCache>
                <c:formatCode>General</c:formatCode>
                <c:ptCount val="2"/>
                <c:pt idx="0">
                  <c:v>237</c:v>
                </c:pt>
                <c:pt idx="1">
                  <c:v>1233</c:v>
                </c:pt>
              </c:numCache>
            </c:numRef>
          </c:val>
          <c:extLst>
            <c:ext xmlns:c16="http://schemas.microsoft.com/office/drawing/2014/chart" uri="{C3380CC4-5D6E-409C-BE32-E72D297353CC}">
              <c16:uniqueId val="{00000001-B1D1-4D76-9236-52CA544E036E}"/>
            </c:ext>
          </c:extLst>
        </c:ser>
        <c:dLbls>
          <c:dLblPos val="outEnd"/>
          <c:showLegendKey val="0"/>
          <c:showVal val="1"/>
          <c:showCatName val="0"/>
          <c:showSerName val="0"/>
          <c:showPercent val="0"/>
          <c:showBubbleSize val="0"/>
        </c:dLbls>
        <c:gapWidth val="219"/>
        <c:overlap val="-27"/>
        <c:axId val="1932626704"/>
        <c:axId val="1932622544"/>
      </c:barChart>
      <c:catAx>
        <c:axId val="193262670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622544"/>
        <c:crosses val="autoZero"/>
        <c:auto val="1"/>
        <c:lblAlgn val="ctr"/>
        <c:lblOffset val="100"/>
        <c:noMultiLvlLbl val="0"/>
      </c:catAx>
      <c:valAx>
        <c:axId val="1932622544"/>
        <c:scaling>
          <c:orientation val="minMax"/>
        </c:scaling>
        <c:delete val="0"/>
        <c:axPos val="l"/>
        <c:numFmt formatCode="[&gt;=1000000]&quot;$&quot;0.0,,&quot;M&quot;;[&gt;=1000]&quot;$&quot;0.0,&quot;K&quot;;&quot;$ &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626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Overtime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6B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6B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8EA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6BF8A"/>
          </a:solidFill>
          <a:ln>
            <a:noFill/>
          </a:ln>
          <a:effectLst/>
        </c:spPr>
      </c:pivotFmt>
      <c:pivotFmt>
        <c:idx val="4"/>
      </c:pivotFmt>
      <c:pivotFmt>
        <c:idx val="5"/>
        <c:spPr>
          <a:solidFill>
            <a:srgbClr val="E8EAE5"/>
          </a:solidFill>
          <a:ln>
            <a:noFill/>
          </a:ln>
          <a:effectLst/>
        </c:spPr>
      </c:pivotFmt>
    </c:pivotFmts>
    <c:plotArea>
      <c:layout/>
      <c:doughnutChart>
        <c:varyColors val="1"/>
        <c:ser>
          <c:idx val="0"/>
          <c:order val="0"/>
          <c:tx>
            <c:strRef>
              <c:f>Pivotable!$B$154:$B$155</c:f>
              <c:strCache>
                <c:ptCount val="1"/>
                <c:pt idx="0">
                  <c:v>Yes</c:v>
                </c:pt>
              </c:strCache>
            </c:strRef>
          </c:tx>
          <c:spPr>
            <a:solidFill>
              <a:srgbClr val="96BF8A"/>
            </a:solidFill>
          </c:spPr>
          <c:dPt>
            <c:idx val="0"/>
            <c:bubble3D val="0"/>
            <c:spPr>
              <a:solidFill>
                <a:srgbClr val="96BF8A"/>
              </a:solidFill>
              <a:ln>
                <a:noFill/>
              </a:ln>
              <a:effectLst/>
            </c:spPr>
            <c:extLst>
              <c:ext xmlns:c16="http://schemas.microsoft.com/office/drawing/2014/chart" uri="{C3380CC4-5D6E-409C-BE32-E72D297353CC}">
                <c16:uniqueId val="{00000001-3C74-4870-ACBB-1C4E50DEF6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Pivotable!$A$156:$A$157</c:f>
              <c:strCache>
                <c:ptCount val="1"/>
                <c:pt idx="0">
                  <c:v>Yes</c:v>
                </c:pt>
              </c:strCache>
            </c:strRef>
          </c:cat>
          <c:val>
            <c:numRef>
              <c:f>Pivotable!$B$156:$B$157</c:f>
              <c:numCache>
                <c:formatCode>0.00%</c:formatCode>
                <c:ptCount val="1"/>
                <c:pt idx="0">
                  <c:v>0.53586497890295359</c:v>
                </c:pt>
              </c:numCache>
            </c:numRef>
          </c:val>
          <c:extLst>
            <c:ext xmlns:c16="http://schemas.microsoft.com/office/drawing/2014/chart" uri="{C3380CC4-5D6E-409C-BE32-E72D297353CC}">
              <c16:uniqueId val="{00000000-607F-43C1-A176-00C3F853242B}"/>
            </c:ext>
          </c:extLst>
        </c:ser>
        <c:ser>
          <c:idx val="1"/>
          <c:order val="1"/>
          <c:tx>
            <c:strRef>
              <c:f>Pivotable!$C$154:$C$155</c:f>
              <c:strCache>
                <c:ptCount val="1"/>
                <c:pt idx="0">
                  <c:v>No</c:v>
                </c:pt>
              </c:strCache>
            </c:strRef>
          </c:tx>
          <c:spPr>
            <a:solidFill>
              <a:srgbClr val="E8EAE5"/>
            </a:solidFill>
          </c:spPr>
          <c:dPt>
            <c:idx val="0"/>
            <c:bubble3D val="0"/>
            <c:spPr>
              <a:solidFill>
                <a:srgbClr val="E8EAE5"/>
              </a:solidFill>
              <a:ln>
                <a:noFill/>
              </a:ln>
              <a:effectLst/>
            </c:spPr>
            <c:extLst>
              <c:ext xmlns:c16="http://schemas.microsoft.com/office/drawing/2014/chart" uri="{C3380CC4-5D6E-409C-BE32-E72D297353CC}">
                <c16:uniqueId val="{00000001-5222-4E13-A83A-BD09ABD293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Pivotable!$A$156:$A$157</c:f>
              <c:strCache>
                <c:ptCount val="1"/>
                <c:pt idx="0">
                  <c:v>Yes</c:v>
                </c:pt>
              </c:strCache>
            </c:strRef>
          </c:cat>
          <c:val>
            <c:numRef>
              <c:f>Pivotable!$C$156:$C$157</c:f>
              <c:numCache>
                <c:formatCode>0.00%</c:formatCode>
                <c:ptCount val="1"/>
                <c:pt idx="0">
                  <c:v>0.46413502109704641</c:v>
                </c:pt>
              </c:numCache>
            </c:numRef>
          </c:val>
          <c:extLst>
            <c:ext xmlns:c16="http://schemas.microsoft.com/office/drawing/2014/chart" uri="{C3380CC4-5D6E-409C-BE32-E72D297353CC}">
              <c16:uniqueId val="{00000002-607F-43C1-A176-00C3F853242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Worklife Balance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E8EAE5"/>
            </a:solidFill>
            <a:prstDash val="sysDot"/>
            <a:round/>
          </a:ln>
          <a:effectLst/>
        </c:spPr>
        <c:marker>
          <c:symbol val="circle"/>
          <c:size val="5"/>
          <c:spPr>
            <a:solidFill>
              <a:srgbClr val="3F382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96BF8A"/>
            </a:solidFill>
            <a:round/>
          </a:ln>
          <a:effectLst/>
        </c:spPr>
        <c:marker>
          <c:symbol val="circle"/>
          <c:size val="5"/>
          <c:spPr>
            <a:solidFill>
              <a:srgbClr val="3F3826"/>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Pivotable!$B$166:$B$167</c:f>
              <c:strCache>
                <c:ptCount val="1"/>
                <c:pt idx="0">
                  <c:v>Yes</c:v>
                </c:pt>
              </c:strCache>
            </c:strRef>
          </c:tx>
          <c:spPr>
            <a:ln w="28575" cap="rnd">
              <a:solidFill>
                <a:srgbClr val="96BF8A"/>
              </a:solidFill>
              <a:round/>
            </a:ln>
            <a:effectLst/>
          </c:spPr>
          <c:marker>
            <c:symbol val="circle"/>
            <c:size val="5"/>
            <c:spPr>
              <a:solidFill>
                <a:srgbClr val="3F3826"/>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Pivotable!$A$168:$A$172</c:f>
              <c:strCache>
                <c:ptCount val="4"/>
                <c:pt idx="0">
                  <c:v>Excellent</c:v>
                </c:pt>
                <c:pt idx="1">
                  <c:v>Fair</c:v>
                </c:pt>
                <c:pt idx="2">
                  <c:v>Good</c:v>
                </c:pt>
                <c:pt idx="3">
                  <c:v>Poor</c:v>
                </c:pt>
              </c:strCache>
            </c:strRef>
          </c:cat>
          <c:val>
            <c:numRef>
              <c:f>Pivotable!$B$168:$B$172</c:f>
              <c:numCache>
                <c:formatCode>General</c:formatCode>
                <c:ptCount val="4"/>
                <c:pt idx="0">
                  <c:v>27</c:v>
                </c:pt>
                <c:pt idx="1">
                  <c:v>58</c:v>
                </c:pt>
                <c:pt idx="2">
                  <c:v>127</c:v>
                </c:pt>
                <c:pt idx="3">
                  <c:v>25</c:v>
                </c:pt>
              </c:numCache>
            </c:numRef>
          </c:val>
          <c:smooth val="0"/>
          <c:extLst>
            <c:ext xmlns:c16="http://schemas.microsoft.com/office/drawing/2014/chart" uri="{C3380CC4-5D6E-409C-BE32-E72D297353CC}">
              <c16:uniqueId val="{00000000-C6C3-44F7-B025-777D7C2EBA61}"/>
            </c:ext>
          </c:extLst>
        </c:ser>
        <c:dLbls>
          <c:dLblPos val="t"/>
          <c:showLegendKey val="0"/>
          <c:showVal val="1"/>
          <c:showCatName val="0"/>
          <c:showSerName val="0"/>
          <c:showPercent val="0"/>
          <c:showBubbleSize val="0"/>
        </c:dLbls>
        <c:marker val="1"/>
        <c:smooth val="0"/>
        <c:axId val="1778059952"/>
        <c:axId val="1778059536"/>
      </c:lineChart>
      <c:catAx>
        <c:axId val="177805995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059536"/>
        <c:crosses val="autoZero"/>
        <c:auto val="1"/>
        <c:lblAlgn val="ctr"/>
        <c:lblOffset val="100"/>
        <c:noMultiLvlLbl val="0"/>
      </c:catAx>
      <c:valAx>
        <c:axId val="1778059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059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Years since Last promotion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6B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Pivotable!$B$180</c:f>
              <c:strCache>
                <c:ptCount val="1"/>
                <c:pt idx="0">
                  <c:v>Total</c:v>
                </c:pt>
              </c:strCache>
            </c:strRef>
          </c:tx>
          <c:spPr>
            <a:solidFill>
              <a:srgbClr val="96BF8A"/>
            </a:solidFill>
            <a:ln>
              <a:noFill/>
            </a:ln>
            <a:effectLst/>
          </c:spPr>
          <c:invertIfNegative val="0"/>
          <c:cat>
            <c:strRef>
              <c:f>Pivotable!$A$181:$A$185</c:f>
              <c:strCache>
                <c:ptCount val="4"/>
                <c:pt idx="0">
                  <c:v>Less 1yrs</c:v>
                </c:pt>
                <c:pt idx="1">
                  <c:v>1-5yrs</c:v>
                </c:pt>
                <c:pt idx="2">
                  <c:v>6-10yrs</c:v>
                </c:pt>
                <c:pt idx="3">
                  <c:v>11-15yrs</c:v>
                </c:pt>
              </c:strCache>
            </c:strRef>
          </c:cat>
          <c:val>
            <c:numRef>
              <c:f>Pivotable!$B$181:$B$185</c:f>
              <c:numCache>
                <c:formatCode>General</c:formatCode>
                <c:ptCount val="4"/>
                <c:pt idx="0">
                  <c:v>159</c:v>
                </c:pt>
                <c:pt idx="1">
                  <c:v>43</c:v>
                </c:pt>
                <c:pt idx="2">
                  <c:v>27</c:v>
                </c:pt>
                <c:pt idx="3">
                  <c:v>8</c:v>
                </c:pt>
              </c:numCache>
            </c:numRef>
          </c:val>
          <c:extLst>
            <c:ext xmlns:c16="http://schemas.microsoft.com/office/drawing/2014/chart" uri="{C3380CC4-5D6E-409C-BE32-E72D297353CC}">
              <c16:uniqueId val="{00000000-03BF-4907-9FBA-8119B7F087B1}"/>
            </c:ext>
          </c:extLst>
        </c:ser>
        <c:dLbls>
          <c:showLegendKey val="0"/>
          <c:showVal val="0"/>
          <c:showCatName val="0"/>
          <c:showSerName val="0"/>
          <c:showPercent val="0"/>
          <c:showBubbleSize val="0"/>
        </c:dLbls>
        <c:gapWidth val="398"/>
        <c:overlap val="-62"/>
        <c:axId val="40044655"/>
        <c:axId val="40061295"/>
      </c:barChart>
      <c:catAx>
        <c:axId val="40044655"/>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61295"/>
        <c:crosses val="autoZero"/>
        <c:auto val="1"/>
        <c:lblAlgn val="ctr"/>
        <c:lblOffset val="100"/>
        <c:noMultiLvlLbl val="0"/>
      </c:catAx>
      <c:valAx>
        <c:axId val="4006129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44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E8EA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Pivotable!$K$2</c:f>
              <c:strCache>
                <c:ptCount val="1"/>
                <c:pt idx="0">
                  <c:v>Total</c:v>
                </c:pt>
              </c:strCache>
            </c:strRef>
          </c:tx>
          <c:spPr>
            <a:solidFill>
              <a:srgbClr val="E8EAE5"/>
            </a:solidFill>
            <a:ln>
              <a:noFill/>
            </a:ln>
            <a:effectLst/>
          </c:spPr>
          <c:invertIfNegative val="0"/>
          <c:cat>
            <c:strRef>
              <c:f>Pivotable!$J$3:$J$7</c:f>
              <c:strCache>
                <c:ptCount val="4"/>
                <c:pt idx="0">
                  <c:v>0-2 Years</c:v>
                </c:pt>
                <c:pt idx="1">
                  <c:v>3-5 Years</c:v>
                </c:pt>
                <c:pt idx="2">
                  <c:v>6-10 Years</c:v>
                </c:pt>
                <c:pt idx="3">
                  <c:v>10+ Years</c:v>
                </c:pt>
              </c:strCache>
            </c:strRef>
          </c:cat>
          <c:val>
            <c:numRef>
              <c:f>Pivotable!$K$3:$K$7</c:f>
              <c:numCache>
                <c:formatCode>General</c:formatCode>
                <c:ptCount val="4"/>
                <c:pt idx="0">
                  <c:v>102</c:v>
                </c:pt>
                <c:pt idx="1">
                  <c:v>60</c:v>
                </c:pt>
                <c:pt idx="2">
                  <c:v>55</c:v>
                </c:pt>
                <c:pt idx="3">
                  <c:v>20</c:v>
                </c:pt>
              </c:numCache>
            </c:numRef>
          </c:val>
          <c:extLst>
            <c:ext xmlns:c16="http://schemas.microsoft.com/office/drawing/2014/chart" uri="{C3380CC4-5D6E-409C-BE32-E72D297353CC}">
              <c16:uniqueId val="{00000000-B485-4F94-BB41-7A1103021B49}"/>
            </c:ext>
          </c:extLst>
        </c:ser>
        <c:dLbls>
          <c:showLegendKey val="0"/>
          <c:showVal val="0"/>
          <c:showCatName val="0"/>
          <c:showSerName val="0"/>
          <c:showPercent val="0"/>
          <c:showBubbleSize val="0"/>
        </c:dLbls>
        <c:gapWidth val="219"/>
        <c:overlap val="-27"/>
        <c:axId val="1397479855"/>
        <c:axId val="1397466543"/>
      </c:barChart>
      <c:catAx>
        <c:axId val="139747985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466543"/>
        <c:crosses val="autoZero"/>
        <c:auto val="1"/>
        <c:lblAlgn val="ctr"/>
        <c:lblOffset val="100"/>
        <c:noMultiLvlLbl val="0"/>
      </c:catAx>
      <c:valAx>
        <c:axId val="1397466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7479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Atrrition.xlsx]Pivotable!PivotTable21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Pivotable!$O$2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Pivotable!$N$3:$N$7</c:f>
              <c:strCache>
                <c:ptCount val="4"/>
                <c:pt idx="0">
                  <c:v>Less 1yrs</c:v>
                </c:pt>
                <c:pt idx="1">
                  <c:v>1-5yrs</c:v>
                </c:pt>
                <c:pt idx="2">
                  <c:v>6-10yrs</c:v>
                </c:pt>
                <c:pt idx="3">
                  <c:v>11-15yrs</c:v>
                </c:pt>
              </c:strCache>
            </c:strRef>
          </c:cat>
          <c:val>
            <c:numRef>
              <c:f>Pivotable!$O$3:$O$7</c:f>
              <c:numCache>
                <c:formatCode>General</c:formatCode>
                <c:ptCount val="4"/>
                <c:pt idx="0">
                  <c:v>159</c:v>
                </c:pt>
                <c:pt idx="1">
                  <c:v>43</c:v>
                </c:pt>
                <c:pt idx="2">
                  <c:v>27</c:v>
                </c:pt>
                <c:pt idx="3">
                  <c:v>8</c:v>
                </c:pt>
              </c:numCache>
            </c:numRef>
          </c:val>
          <c:extLst>
            <c:ext xmlns:c16="http://schemas.microsoft.com/office/drawing/2014/chart" uri="{C3380CC4-5D6E-409C-BE32-E72D297353CC}">
              <c16:uniqueId val="{00000000-A64A-4E73-8F5E-C5849878D9D5}"/>
            </c:ext>
          </c:extLst>
        </c:ser>
        <c:dLbls>
          <c:dLblPos val="outEnd"/>
          <c:showLegendKey val="0"/>
          <c:showVal val="1"/>
          <c:showCatName val="0"/>
          <c:showSerName val="0"/>
          <c:showPercent val="0"/>
          <c:showBubbleSize val="0"/>
        </c:dLbls>
        <c:gapWidth val="182"/>
        <c:axId val="250214991"/>
        <c:axId val="250217487"/>
      </c:barChart>
      <c:catAx>
        <c:axId val="250214991"/>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217487"/>
        <c:crosses val="autoZero"/>
        <c:auto val="1"/>
        <c:lblAlgn val="ctr"/>
        <c:lblOffset val="100"/>
        <c:noMultiLvlLbl val="0"/>
      </c:catAx>
      <c:valAx>
        <c:axId val="250217487"/>
        <c:scaling>
          <c:orientation val="minMax"/>
        </c:scaling>
        <c:delete val="1"/>
        <c:axPos val="b"/>
        <c:numFmt formatCode="General" sourceLinked="1"/>
        <c:majorTickMark val="none"/>
        <c:minorTickMark val="none"/>
        <c:tickLblPos val="nextTo"/>
        <c:crossAx val="250214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rgbClr val="E8EA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512820512820512E-2"/>
          <c:y val="0.21440547324838008"/>
          <c:w val="0.85897435897435892"/>
          <c:h val="0.70519247428347742"/>
        </c:manualLayout>
      </c:layout>
      <c:barChart>
        <c:barDir val="bar"/>
        <c:grouping val="clustered"/>
        <c:varyColors val="0"/>
        <c:dLbls>
          <c:dLblPos val="outEnd"/>
          <c:showLegendKey val="0"/>
          <c:showVal val="1"/>
          <c:showCatName val="0"/>
          <c:showSerName val="0"/>
          <c:showPercent val="0"/>
          <c:showBubbleSize val="0"/>
        </c:dLbls>
        <c:gapWidth val="182"/>
        <c:axId val="202287744"/>
        <c:axId val="202292320"/>
      </c:barChart>
      <c:catAx>
        <c:axId val="202287744"/>
        <c:scaling>
          <c:orientation val="minMax"/>
        </c:scaling>
        <c:delete val="1"/>
        <c:axPos val="l"/>
        <c:numFmt formatCode="General" sourceLinked="1"/>
        <c:majorTickMark val="none"/>
        <c:minorTickMark val="none"/>
        <c:tickLblPos val="nextTo"/>
        <c:crossAx val="202292320"/>
        <c:crosses val="autoZero"/>
        <c:auto val="1"/>
        <c:lblAlgn val="ctr"/>
        <c:lblOffset val="100"/>
        <c:noMultiLvlLbl val="0"/>
      </c:catAx>
      <c:valAx>
        <c:axId val="202292320"/>
        <c:scaling>
          <c:orientation val="minMax"/>
        </c:scaling>
        <c:delete val="1"/>
        <c:axPos val="b"/>
        <c:numFmt formatCode="0.00" sourceLinked="1"/>
        <c:majorTickMark val="none"/>
        <c:minorTickMark val="none"/>
        <c:tickLblPos val="nextTo"/>
        <c:crossAx val="2022877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Atrrition.xlsx]Pivotable!PivotTable22</c:name>
    <c:fmtId val="0"/>
  </c:pivotSource>
  <c:chart>
    <c:autoTitleDeleted val="0"/>
    <c:pivotFmts>
      <c:pivotFmt>
        <c:idx val="0"/>
        <c:spPr>
          <a:solidFill>
            <a:srgbClr val="96B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8EA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8EAE5"/>
          </a:solidFill>
          <a:ln>
            <a:noFill/>
          </a:ln>
          <a:effectLst/>
        </c:spPr>
      </c:pivotFmt>
    </c:pivotFmts>
    <c:plotArea>
      <c:layout/>
      <c:barChart>
        <c:barDir val="bar"/>
        <c:grouping val="stacked"/>
        <c:varyColors val="0"/>
        <c:ser>
          <c:idx val="0"/>
          <c:order val="0"/>
          <c:tx>
            <c:strRef>
              <c:f>Pivotable!$U$1:$U$2</c:f>
              <c:strCache>
                <c:ptCount val="1"/>
                <c:pt idx="0">
                  <c:v>Female</c:v>
                </c:pt>
              </c:strCache>
            </c:strRef>
          </c:tx>
          <c:spPr>
            <a:solidFill>
              <a:srgbClr val="96BF8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Pivotable!$T$3:$T$8</c:f>
              <c:strCache>
                <c:ptCount val="5"/>
                <c:pt idx="0">
                  <c:v>18-27</c:v>
                </c:pt>
                <c:pt idx="1">
                  <c:v>28-37</c:v>
                </c:pt>
                <c:pt idx="2">
                  <c:v>38-47</c:v>
                </c:pt>
                <c:pt idx="3">
                  <c:v>48-57</c:v>
                </c:pt>
                <c:pt idx="4">
                  <c:v>58-67</c:v>
                </c:pt>
              </c:strCache>
            </c:strRef>
          </c:cat>
          <c:val>
            <c:numRef>
              <c:f>Pivotable!$U$3:$U$8</c:f>
              <c:numCache>
                <c:formatCode>General</c:formatCode>
                <c:ptCount val="5"/>
                <c:pt idx="0">
                  <c:v>79</c:v>
                </c:pt>
                <c:pt idx="1">
                  <c:v>249</c:v>
                </c:pt>
                <c:pt idx="2">
                  <c:v>168</c:v>
                </c:pt>
                <c:pt idx="3">
                  <c:v>78</c:v>
                </c:pt>
                <c:pt idx="4">
                  <c:v>14</c:v>
                </c:pt>
              </c:numCache>
            </c:numRef>
          </c:val>
          <c:extLst>
            <c:ext xmlns:c16="http://schemas.microsoft.com/office/drawing/2014/chart" uri="{C3380CC4-5D6E-409C-BE32-E72D297353CC}">
              <c16:uniqueId val="{00000000-38BD-4E5B-AE84-1C1B053414E3}"/>
            </c:ext>
          </c:extLst>
        </c:ser>
        <c:ser>
          <c:idx val="1"/>
          <c:order val="1"/>
          <c:tx>
            <c:strRef>
              <c:f>Pivotable!$V$1:$V$2</c:f>
              <c:strCache>
                <c:ptCount val="1"/>
                <c:pt idx="0">
                  <c:v>Male</c:v>
                </c:pt>
              </c:strCache>
            </c:strRef>
          </c:tx>
          <c:spPr>
            <a:solidFill>
              <a:srgbClr val="E8EAE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Pivotable!$T$3:$T$8</c:f>
              <c:strCache>
                <c:ptCount val="5"/>
                <c:pt idx="0">
                  <c:v>18-27</c:v>
                </c:pt>
                <c:pt idx="1">
                  <c:v>28-37</c:v>
                </c:pt>
                <c:pt idx="2">
                  <c:v>38-47</c:v>
                </c:pt>
                <c:pt idx="3">
                  <c:v>48-57</c:v>
                </c:pt>
                <c:pt idx="4">
                  <c:v>58-67</c:v>
                </c:pt>
              </c:strCache>
            </c:strRef>
          </c:cat>
          <c:val>
            <c:numRef>
              <c:f>Pivotable!$V$3:$V$8</c:f>
              <c:numCache>
                <c:formatCode>General</c:formatCode>
                <c:ptCount val="5"/>
                <c:pt idx="0">
                  <c:v>131</c:v>
                </c:pt>
                <c:pt idx="1">
                  <c:v>389</c:v>
                </c:pt>
                <c:pt idx="2">
                  <c:v>238</c:v>
                </c:pt>
                <c:pt idx="3">
                  <c:v>109</c:v>
                </c:pt>
                <c:pt idx="4">
                  <c:v>15</c:v>
                </c:pt>
              </c:numCache>
            </c:numRef>
          </c:val>
          <c:extLst>
            <c:ext xmlns:c16="http://schemas.microsoft.com/office/drawing/2014/chart" uri="{C3380CC4-5D6E-409C-BE32-E72D297353CC}">
              <c16:uniqueId val="{00000001-38BD-4E5B-AE84-1C1B053414E3}"/>
            </c:ext>
          </c:extLst>
        </c:ser>
        <c:dLbls>
          <c:dLblPos val="ctr"/>
          <c:showLegendKey val="0"/>
          <c:showVal val="1"/>
          <c:showCatName val="0"/>
          <c:showSerName val="0"/>
          <c:showPercent val="0"/>
          <c:showBubbleSize val="0"/>
        </c:dLbls>
        <c:gapWidth val="182"/>
        <c:overlap val="100"/>
        <c:axId val="518041040"/>
        <c:axId val="518045616"/>
      </c:barChart>
      <c:catAx>
        <c:axId val="51804104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045616"/>
        <c:crosses val="autoZero"/>
        <c:auto val="1"/>
        <c:lblAlgn val="ctr"/>
        <c:lblOffset val="100"/>
        <c:noMultiLvlLbl val="0"/>
      </c:catAx>
      <c:valAx>
        <c:axId val="518045616"/>
        <c:scaling>
          <c:orientation val="minMax"/>
        </c:scaling>
        <c:delete val="1"/>
        <c:axPos val="b"/>
        <c:numFmt formatCode="General" sourceLinked="1"/>
        <c:majorTickMark val="none"/>
        <c:minorTickMark val="none"/>
        <c:tickLblPos val="nextTo"/>
        <c:crossAx val="51804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Atrrition.xlsx]Pivotable!PivotTable23</c:name>
    <c:fmtId val="0"/>
  </c:pivotSource>
  <c:chart>
    <c:autoTitleDeleted val="0"/>
    <c:pivotFmts>
      <c:pivotFmt>
        <c:idx val="0"/>
        <c:spPr>
          <a:solidFill>
            <a:srgbClr val="96B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rgbClr val="E8EAE5"/>
            </a:solidFill>
            <a:prstDash val="sysDot"/>
            <a:round/>
          </a:ln>
          <a:effectLst/>
        </c:spPr>
        <c:marker>
          <c:symbol val="circle"/>
          <c:size val="6"/>
          <c:spPr>
            <a:solidFill>
              <a:srgbClr val="00412E"/>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Pivotable!$U$18</c:f>
              <c:strCache>
                <c:ptCount val="1"/>
                <c:pt idx="0">
                  <c:v>Sum of total</c:v>
                </c:pt>
              </c:strCache>
            </c:strRef>
          </c:tx>
          <c:spPr>
            <a:solidFill>
              <a:srgbClr val="96BF8A"/>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Pivotable!$T$19:$T$24</c:f>
              <c:strCache>
                <c:ptCount val="5"/>
                <c:pt idx="0">
                  <c:v>Bachelor's</c:v>
                </c:pt>
                <c:pt idx="1">
                  <c:v>Below College</c:v>
                </c:pt>
                <c:pt idx="2">
                  <c:v>College</c:v>
                </c:pt>
                <c:pt idx="3">
                  <c:v>Doctorate</c:v>
                </c:pt>
                <c:pt idx="4">
                  <c:v>Master's</c:v>
                </c:pt>
              </c:strCache>
            </c:strRef>
          </c:cat>
          <c:val>
            <c:numRef>
              <c:f>Pivotable!$U$19:$U$24</c:f>
              <c:numCache>
                <c:formatCode>General</c:formatCode>
                <c:ptCount val="5"/>
                <c:pt idx="0">
                  <c:v>99</c:v>
                </c:pt>
                <c:pt idx="1">
                  <c:v>31</c:v>
                </c:pt>
                <c:pt idx="2">
                  <c:v>44</c:v>
                </c:pt>
                <c:pt idx="3">
                  <c:v>5</c:v>
                </c:pt>
                <c:pt idx="4">
                  <c:v>58</c:v>
                </c:pt>
              </c:numCache>
            </c:numRef>
          </c:val>
          <c:extLst>
            <c:ext xmlns:c16="http://schemas.microsoft.com/office/drawing/2014/chart" uri="{C3380CC4-5D6E-409C-BE32-E72D297353CC}">
              <c16:uniqueId val="{00000000-FCF0-4222-AF48-100D778395F2}"/>
            </c:ext>
          </c:extLst>
        </c:ser>
        <c:dLbls>
          <c:showLegendKey val="0"/>
          <c:showVal val="1"/>
          <c:showCatName val="0"/>
          <c:showSerName val="0"/>
          <c:showPercent val="0"/>
          <c:showBubbleSize val="0"/>
        </c:dLbls>
        <c:gapWidth val="219"/>
        <c:axId val="1198019792"/>
        <c:axId val="1198017712"/>
      </c:barChart>
      <c:lineChart>
        <c:grouping val="standard"/>
        <c:varyColors val="0"/>
        <c:ser>
          <c:idx val="1"/>
          <c:order val="1"/>
          <c:tx>
            <c:strRef>
              <c:f>Pivotable!$V$18</c:f>
              <c:strCache>
                <c:ptCount val="1"/>
                <c:pt idx="0">
                  <c:v>Sum of AVG(MonthlyIncome)</c:v>
                </c:pt>
              </c:strCache>
            </c:strRef>
          </c:tx>
          <c:spPr>
            <a:ln w="31750" cap="rnd">
              <a:solidFill>
                <a:srgbClr val="E8EAE5"/>
              </a:solidFill>
              <a:prstDash val="sysDot"/>
              <a:round/>
            </a:ln>
            <a:effectLst/>
          </c:spPr>
          <c:marker>
            <c:symbol val="circle"/>
            <c:size val="6"/>
            <c:spPr>
              <a:solidFill>
                <a:srgbClr val="00412E"/>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Pivotable!$T$19:$T$24</c:f>
              <c:strCache>
                <c:ptCount val="5"/>
                <c:pt idx="0">
                  <c:v>Bachelor's</c:v>
                </c:pt>
                <c:pt idx="1">
                  <c:v>Below College</c:v>
                </c:pt>
                <c:pt idx="2">
                  <c:v>College</c:v>
                </c:pt>
                <c:pt idx="3">
                  <c:v>Doctorate</c:v>
                </c:pt>
                <c:pt idx="4">
                  <c:v>Master's</c:v>
                </c:pt>
              </c:strCache>
            </c:strRef>
          </c:cat>
          <c:val>
            <c:numRef>
              <c:f>Pivotable!$V$19:$V$24</c:f>
              <c:numCache>
                <c:formatCode>[&gt;=1000000]"$"0.0,,"M";[&gt;=1000]"$"0.0,"K";"$ "0</c:formatCode>
                <c:ptCount val="5"/>
                <c:pt idx="0">
                  <c:v>4770.2424000000001</c:v>
                </c:pt>
                <c:pt idx="1">
                  <c:v>4360.1612999999998</c:v>
                </c:pt>
                <c:pt idx="2">
                  <c:v>4282.5455000000002</c:v>
                </c:pt>
                <c:pt idx="3">
                  <c:v>5850.2</c:v>
                </c:pt>
                <c:pt idx="4">
                  <c:v>5335.1552000000001</c:v>
                </c:pt>
              </c:numCache>
            </c:numRef>
          </c:val>
          <c:smooth val="0"/>
          <c:extLst>
            <c:ext xmlns:c16="http://schemas.microsoft.com/office/drawing/2014/chart" uri="{C3380CC4-5D6E-409C-BE32-E72D297353CC}">
              <c16:uniqueId val="{00000001-FCF0-4222-AF48-100D778395F2}"/>
            </c:ext>
          </c:extLst>
        </c:ser>
        <c:dLbls>
          <c:showLegendKey val="0"/>
          <c:showVal val="1"/>
          <c:showCatName val="0"/>
          <c:showSerName val="0"/>
          <c:showPercent val="0"/>
          <c:showBubbleSize val="0"/>
        </c:dLbls>
        <c:marker val="1"/>
        <c:smooth val="0"/>
        <c:axId val="733059328"/>
        <c:axId val="733058912"/>
      </c:lineChart>
      <c:catAx>
        <c:axId val="1198019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017712"/>
        <c:crosses val="autoZero"/>
        <c:auto val="1"/>
        <c:lblAlgn val="ctr"/>
        <c:lblOffset val="100"/>
        <c:noMultiLvlLbl val="0"/>
      </c:catAx>
      <c:valAx>
        <c:axId val="1198017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019792"/>
        <c:crosses val="autoZero"/>
        <c:crossBetween val="between"/>
      </c:valAx>
      <c:valAx>
        <c:axId val="733058912"/>
        <c:scaling>
          <c:orientation val="minMax"/>
        </c:scaling>
        <c:delete val="0"/>
        <c:axPos val="r"/>
        <c:numFmt formatCode="[&gt;=1000000]&quot;$&quot;0.0,,&quot;M&quot;;[&gt;=1000]&quot;$&quot;0.0,&quot;K&quot;;&quot;$ &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3059328"/>
        <c:crosses val="max"/>
        <c:crossBetween val="between"/>
      </c:valAx>
      <c:catAx>
        <c:axId val="733059328"/>
        <c:scaling>
          <c:orientation val="minMax"/>
        </c:scaling>
        <c:delete val="1"/>
        <c:axPos val="b"/>
        <c:numFmt formatCode="General" sourceLinked="1"/>
        <c:majorTickMark val="out"/>
        <c:minorTickMark val="none"/>
        <c:tickLblPos val="nextTo"/>
        <c:crossAx val="733058912"/>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Education</a:t>
            </a:r>
            <a:r>
              <a:rPr lang="en-US" baseline="0"/>
              <a:t> Level vs Avg. Monthly 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6B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E8EAE5"/>
            </a:solidFill>
            <a:prstDash val="sysDot"/>
            <a:round/>
          </a:ln>
          <a:effectLst/>
        </c:spPr>
        <c:marker>
          <c:symbol val="circle"/>
          <c:size val="7"/>
          <c:spPr>
            <a:solidFill>
              <a:srgbClr val="96BF8A"/>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6BF8A"/>
          </a:solidFill>
          <a:ln>
            <a:noFill/>
          </a:ln>
          <a:effectLst/>
        </c:spPr>
      </c:pivotFmt>
    </c:pivotFmts>
    <c:plotArea>
      <c:layout/>
      <c:barChart>
        <c:barDir val="col"/>
        <c:grouping val="clustered"/>
        <c:varyColors val="0"/>
        <c:ser>
          <c:idx val="0"/>
          <c:order val="0"/>
          <c:tx>
            <c:strRef>
              <c:f>Pivotable!$U$34</c:f>
              <c:strCache>
                <c:ptCount val="1"/>
                <c:pt idx="0">
                  <c:v>Sum of total</c:v>
                </c:pt>
              </c:strCache>
            </c:strRef>
          </c:tx>
          <c:spPr>
            <a:solidFill>
              <a:srgbClr val="96BF8A"/>
            </a:solidFill>
            <a:ln>
              <a:noFill/>
            </a:ln>
            <a:effectLst/>
          </c:spPr>
          <c:invertIfNegative val="0"/>
          <c:cat>
            <c:strRef>
              <c:f>Pivotable!$T$35:$T$40</c:f>
              <c:strCache>
                <c:ptCount val="5"/>
                <c:pt idx="0">
                  <c:v>Below College</c:v>
                </c:pt>
                <c:pt idx="1">
                  <c:v>College</c:v>
                </c:pt>
                <c:pt idx="2">
                  <c:v>Bachelor's</c:v>
                </c:pt>
                <c:pt idx="3">
                  <c:v>Master's</c:v>
                </c:pt>
                <c:pt idx="4">
                  <c:v>Doctorate</c:v>
                </c:pt>
              </c:strCache>
            </c:strRef>
          </c:cat>
          <c:val>
            <c:numRef>
              <c:f>Pivotable!$U$35:$U$40</c:f>
              <c:numCache>
                <c:formatCode>General</c:formatCode>
                <c:ptCount val="5"/>
                <c:pt idx="0">
                  <c:v>31</c:v>
                </c:pt>
                <c:pt idx="1">
                  <c:v>44</c:v>
                </c:pt>
                <c:pt idx="2">
                  <c:v>99</c:v>
                </c:pt>
                <c:pt idx="3">
                  <c:v>58</c:v>
                </c:pt>
                <c:pt idx="4">
                  <c:v>5</c:v>
                </c:pt>
              </c:numCache>
            </c:numRef>
          </c:val>
          <c:extLst>
            <c:ext xmlns:c16="http://schemas.microsoft.com/office/drawing/2014/chart" uri="{C3380CC4-5D6E-409C-BE32-E72D297353CC}">
              <c16:uniqueId val="{00000000-BB53-4BAF-8618-9DF8A03BDECC}"/>
            </c:ext>
          </c:extLst>
        </c:ser>
        <c:dLbls>
          <c:showLegendKey val="0"/>
          <c:showVal val="0"/>
          <c:showCatName val="0"/>
          <c:showSerName val="0"/>
          <c:showPercent val="0"/>
          <c:showBubbleSize val="0"/>
        </c:dLbls>
        <c:gapWidth val="219"/>
        <c:overlap val="-27"/>
        <c:axId val="716148496"/>
        <c:axId val="716146416"/>
      </c:barChart>
      <c:lineChart>
        <c:grouping val="standard"/>
        <c:varyColors val="0"/>
        <c:ser>
          <c:idx val="1"/>
          <c:order val="1"/>
          <c:tx>
            <c:strRef>
              <c:f>Pivotable!$V$34</c:f>
              <c:strCache>
                <c:ptCount val="1"/>
                <c:pt idx="0">
                  <c:v>Sum of AVG(MonthlyIncome)</c:v>
                </c:pt>
              </c:strCache>
            </c:strRef>
          </c:tx>
          <c:spPr>
            <a:ln w="28575" cap="rnd">
              <a:solidFill>
                <a:srgbClr val="E8EAE5"/>
              </a:solidFill>
              <a:prstDash val="sysDot"/>
              <a:round/>
            </a:ln>
            <a:effectLst/>
          </c:spPr>
          <c:marker>
            <c:symbol val="circle"/>
            <c:size val="7"/>
            <c:spPr>
              <a:solidFill>
                <a:srgbClr val="96BF8A"/>
              </a:solidFill>
              <a:ln w="9525">
                <a:noFill/>
              </a:ln>
              <a:effectLst/>
            </c:spPr>
          </c:marker>
          <c:cat>
            <c:strRef>
              <c:f>Pivotable!$T$35:$T$40</c:f>
              <c:strCache>
                <c:ptCount val="5"/>
                <c:pt idx="0">
                  <c:v>Below College</c:v>
                </c:pt>
                <c:pt idx="1">
                  <c:v>College</c:v>
                </c:pt>
                <c:pt idx="2">
                  <c:v>Bachelor's</c:v>
                </c:pt>
                <c:pt idx="3">
                  <c:v>Master's</c:v>
                </c:pt>
                <c:pt idx="4">
                  <c:v>Doctorate</c:v>
                </c:pt>
              </c:strCache>
            </c:strRef>
          </c:cat>
          <c:val>
            <c:numRef>
              <c:f>Pivotable!$V$35:$V$40</c:f>
              <c:numCache>
                <c:formatCode>[&gt;=1000000]"$"0.0,,"M";[&gt;=1000]"$"0.0,"K";"$ "0</c:formatCode>
                <c:ptCount val="5"/>
                <c:pt idx="0">
                  <c:v>4360.1612999999998</c:v>
                </c:pt>
                <c:pt idx="1">
                  <c:v>4282.5455000000002</c:v>
                </c:pt>
                <c:pt idx="2">
                  <c:v>4770.2424000000001</c:v>
                </c:pt>
                <c:pt idx="3">
                  <c:v>5335.1552000000001</c:v>
                </c:pt>
                <c:pt idx="4">
                  <c:v>5850.2</c:v>
                </c:pt>
              </c:numCache>
            </c:numRef>
          </c:val>
          <c:smooth val="0"/>
          <c:extLst>
            <c:ext xmlns:c16="http://schemas.microsoft.com/office/drawing/2014/chart" uri="{C3380CC4-5D6E-409C-BE32-E72D297353CC}">
              <c16:uniqueId val="{00000001-BB53-4BAF-8618-9DF8A03BDECC}"/>
            </c:ext>
          </c:extLst>
        </c:ser>
        <c:dLbls>
          <c:showLegendKey val="0"/>
          <c:showVal val="0"/>
          <c:showCatName val="0"/>
          <c:showSerName val="0"/>
          <c:showPercent val="0"/>
          <c:showBubbleSize val="0"/>
        </c:dLbls>
        <c:marker val="1"/>
        <c:smooth val="0"/>
        <c:axId val="716162224"/>
        <c:axId val="716161808"/>
      </c:lineChart>
      <c:catAx>
        <c:axId val="71614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146416"/>
        <c:crosses val="autoZero"/>
        <c:auto val="1"/>
        <c:lblAlgn val="ctr"/>
        <c:lblOffset val="100"/>
        <c:noMultiLvlLbl val="0"/>
      </c:catAx>
      <c:valAx>
        <c:axId val="716146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148496"/>
        <c:crosses val="autoZero"/>
        <c:crossBetween val="between"/>
      </c:valAx>
      <c:valAx>
        <c:axId val="716161808"/>
        <c:scaling>
          <c:orientation val="minMax"/>
        </c:scaling>
        <c:delete val="0"/>
        <c:axPos val="r"/>
        <c:numFmt formatCode="[&gt;=1000000]&quot;$&quot;0.0,,&quot;M&quot;;[&gt;=1000]&quot;$&quot;0.0,&quot;K&quot;;&quot;$ &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162224"/>
        <c:crosses val="max"/>
        <c:crossBetween val="between"/>
      </c:valAx>
      <c:catAx>
        <c:axId val="716162224"/>
        <c:scaling>
          <c:orientation val="minMax"/>
        </c:scaling>
        <c:delete val="1"/>
        <c:axPos val="b"/>
        <c:numFmt formatCode="General" sourceLinked="1"/>
        <c:majorTickMark val="out"/>
        <c:minorTickMark val="none"/>
        <c:tickLblPos val="nextTo"/>
        <c:crossAx val="716161808"/>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Atrrition.xlsx]Pivotable!PivotTable26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Distance</a:t>
            </a:r>
            <a:r>
              <a:rPr lang="en-US" baseline="0"/>
              <a:t> from home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6BF8A"/>
          </a:solidFill>
          <a:ln w="19050">
            <a:solidFill>
              <a:schemeClr val="lt1"/>
            </a:solidFill>
          </a:ln>
          <a:effectLst/>
        </c:spPr>
      </c:pivotFmt>
      <c:pivotFmt>
        <c:idx val="2"/>
        <c:spPr>
          <a:solidFill>
            <a:srgbClr val="E8EAE5"/>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Pivotable!$U$46</c:f>
              <c:strCache>
                <c:ptCount val="1"/>
                <c:pt idx="0">
                  <c:v>Total</c:v>
                </c:pt>
              </c:strCache>
            </c:strRef>
          </c:tx>
          <c:dPt>
            <c:idx val="0"/>
            <c:bubble3D val="0"/>
            <c:spPr>
              <a:solidFill>
                <a:srgbClr val="E8EAE5"/>
              </a:solidFill>
              <a:ln w="19050">
                <a:solidFill>
                  <a:schemeClr val="lt1"/>
                </a:solidFill>
              </a:ln>
              <a:effectLst/>
            </c:spPr>
            <c:extLst>
              <c:ext xmlns:c16="http://schemas.microsoft.com/office/drawing/2014/chart" uri="{C3380CC4-5D6E-409C-BE32-E72D297353CC}">
                <c16:uniqueId val="{00000003-B219-4C30-9FD7-CB3DE6848353}"/>
              </c:ext>
            </c:extLst>
          </c:dPt>
          <c:dPt>
            <c:idx val="1"/>
            <c:bubble3D val="0"/>
            <c:spPr>
              <a:solidFill>
                <a:srgbClr val="96BF8A"/>
              </a:solidFill>
              <a:ln w="19050">
                <a:solidFill>
                  <a:schemeClr val="lt1"/>
                </a:solidFill>
              </a:ln>
              <a:effectLst/>
            </c:spPr>
            <c:extLst>
              <c:ext xmlns:c16="http://schemas.microsoft.com/office/drawing/2014/chart" uri="{C3380CC4-5D6E-409C-BE32-E72D297353CC}">
                <c16:uniqueId val="{00000002-B219-4C30-9FD7-CB3DE68483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094-4465-AFBC-63C010C5C1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Pivotable!$T$47:$T$50</c:f>
              <c:strCache>
                <c:ptCount val="3"/>
                <c:pt idx="0">
                  <c:v>Far</c:v>
                </c:pt>
                <c:pt idx="1">
                  <c:v>Near</c:v>
                </c:pt>
                <c:pt idx="2">
                  <c:v>Very Far</c:v>
                </c:pt>
              </c:strCache>
            </c:strRef>
          </c:cat>
          <c:val>
            <c:numRef>
              <c:f>Pivotable!$U$47:$U$50</c:f>
              <c:numCache>
                <c:formatCode>General</c:formatCode>
                <c:ptCount val="3"/>
                <c:pt idx="0">
                  <c:v>70</c:v>
                </c:pt>
                <c:pt idx="1">
                  <c:v>115</c:v>
                </c:pt>
                <c:pt idx="2">
                  <c:v>47</c:v>
                </c:pt>
              </c:numCache>
            </c:numRef>
          </c:val>
          <c:extLst>
            <c:ext xmlns:c16="http://schemas.microsoft.com/office/drawing/2014/chart" uri="{C3380CC4-5D6E-409C-BE32-E72D297353CC}">
              <c16:uniqueId val="{00000000-B219-4C30-9FD7-CB3DE684835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Atrrition.xlsx]Pivotable!PivotTable27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6BF8A"/>
          </a:solidFill>
          <a:ln w="19050">
            <a:solidFill>
              <a:schemeClr val="lt1"/>
            </a:solidFill>
          </a:ln>
          <a:effectLst/>
        </c:spPr>
      </c:pivotFmt>
      <c:pivotFmt>
        <c:idx val="2"/>
        <c:spPr>
          <a:solidFill>
            <a:srgbClr val="E8EAE5"/>
          </a:solidFill>
          <a:ln w="19050">
            <a:solidFill>
              <a:schemeClr val="lt1"/>
            </a:solidFill>
          </a:ln>
          <a:effectLst/>
        </c:spPr>
      </c:pivotFmt>
    </c:pivotFmts>
    <c:plotArea>
      <c:layout/>
      <c:doughnutChart>
        <c:varyColors val="1"/>
        <c:ser>
          <c:idx val="0"/>
          <c:order val="0"/>
          <c:tx>
            <c:strRef>
              <c:f>Pivotable!$U$57</c:f>
              <c:strCache>
                <c:ptCount val="1"/>
                <c:pt idx="0">
                  <c:v>Total</c:v>
                </c:pt>
              </c:strCache>
            </c:strRef>
          </c:tx>
          <c:dPt>
            <c:idx val="0"/>
            <c:bubble3D val="0"/>
            <c:spPr>
              <a:solidFill>
                <a:srgbClr val="96BF8A"/>
              </a:solidFill>
              <a:ln w="19050">
                <a:solidFill>
                  <a:schemeClr val="lt1"/>
                </a:solidFill>
              </a:ln>
              <a:effectLst/>
            </c:spPr>
            <c:extLst>
              <c:ext xmlns:c16="http://schemas.microsoft.com/office/drawing/2014/chart" uri="{C3380CC4-5D6E-409C-BE32-E72D297353CC}">
                <c16:uniqueId val="{00000002-372F-441A-A7A6-430060CB63F1}"/>
              </c:ext>
            </c:extLst>
          </c:dPt>
          <c:dPt>
            <c:idx val="1"/>
            <c:bubble3D val="0"/>
            <c:spPr>
              <a:solidFill>
                <a:srgbClr val="E8EAE5"/>
              </a:solidFill>
              <a:ln w="19050">
                <a:solidFill>
                  <a:schemeClr val="lt1"/>
                </a:solidFill>
              </a:ln>
              <a:effectLst/>
            </c:spPr>
            <c:extLst>
              <c:ext xmlns:c16="http://schemas.microsoft.com/office/drawing/2014/chart" uri="{C3380CC4-5D6E-409C-BE32-E72D297353CC}">
                <c16:uniqueId val="{00000003-372F-441A-A7A6-430060CB63F1}"/>
              </c:ext>
            </c:extLst>
          </c:dPt>
          <c:cat>
            <c:strRef>
              <c:f>Pivotable!$T$58:$T$60</c:f>
              <c:strCache>
                <c:ptCount val="2"/>
                <c:pt idx="0">
                  <c:v>Excellent</c:v>
                </c:pt>
                <c:pt idx="1">
                  <c:v>Outstanding</c:v>
                </c:pt>
              </c:strCache>
            </c:strRef>
          </c:cat>
          <c:val>
            <c:numRef>
              <c:f>Pivotable!$U$58:$U$60</c:f>
              <c:numCache>
                <c:formatCode>0%</c:formatCode>
                <c:ptCount val="2"/>
                <c:pt idx="0">
                  <c:v>0.84388185654008441</c:v>
                </c:pt>
                <c:pt idx="1">
                  <c:v>0.15611814345991562</c:v>
                </c:pt>
              </c:numCache>
            </c:numRef>
          </c:val>
          <c:extLst>
            <c:ext xmlns:c16="http://schemas.microsoft.com/office/drawing/2014/chart" uri="{C3380CC4-5D6E-409C-BE32-E72D297353CC}">
              <c16:uniqueId val="{00000000-372F-441A-A7A6-430060CB63F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strRef>
              <c:f>Pivotable!$AO$2:$AO$31</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Grand Total</c:v>
                </c:pt>
              </c:strCache>
            </c:strRef>
          </c:xVal>
          <c:yVal>
            <c:numRef>
              <c:f>Pivotable!$AP$2:$AP$31</c:f>
              <c:numCache>
                <c:formatCode>General</c:formatCode>
                <c:ptCount val="30"/>
                <c:pt idx="0">
                  <c:v>0.1</c:v>
                </c:pt>
                <c:pt idx="1">
                  <c:v>6.9000000000000006E-2</c:v>
                </c:pt>
                <c:pt idx="2">
                  <c:v>-1.0999999999999999E-2</c:v>
                </c:pt>
                <c:pt idx="3">
                  <c:v>3.5999999999999997E-2</c:v>
                </c:pt>
                <c:pt idx="4">
                  <c:v>0.01</c:v>
                </c:pt>
                <c:pt idx="5">
                  <c:v>4.5999999999999999E-2</c:v>
                </c:pt>
                <c:pt idx="6">
                  <c:v>2.1999999999999999E-2</c:v>
                </c:pt>
                <c:pt idx="7">
                  <c:v>1.4E-2</c:v>
                </c:pt>
                <c:pt idx="8">
                  <c:v>-3.0000000000000001E-3</c:v>
                </c:pt>
                <c:pt idx="9">
                  <c:v>-8.9999999999999993E-3</c:v>
                </c:pt>
                <c:pt idx="10">
                  <c:v>-1.4E-2</c:v>
                </c:pt>
                <c:pt idx="11">
                  <c:v>0.13100000000000001</c:v>
                </c:pt>
                <c:pt idx="12">
                  <c:v>0.19700000000000001</c:v>
                </c:pt>
                <c:pt idx="13">
                  <c:v>4.7E-2</c:v>
                </c:pt>
                <c:pt idx="14">
                  <c:v>6.0999999999999999E-2</c:v>
                </c:pt>
                <c:pt idx="15">
                  <c:v>0.13100000000000001</c:v>
                </c:pt>
                <c:pt idx="16">
                  <c:v>0.23300000000000001</c:v>
                </c:pt>
                <c:pt idx="17">
                  <c:v>-2.1999999999999999E-2</c:v>
                </c:pt>
                <c:pt idx="18">
                  <c:v>-8.2000000000000003E-2</c:v>
                </c:pt>
                <c:pt idx="19">
                  <c:v>-4.0000000000000001E-3</c:v>
                </c:pt>
                <c:pt idx="20">
                  <c:v>2.1999999999999999E-2</c:v>
                </c:pt>
                <c:pt idx="21">
                  <c:v>0.66400000000000003</c:v>
                </c:pt>
                <c:pt idx="22">
                  <c:v>0.111</c:v>
                </c:pt>
                <c:pt idx="23">
                  <c:v>1.3280000000000001</c:v>
                </c:pt>
                <c:pt idx="24">
                  <c:v>0.41799999999999998</c:v>
                </c:pt>
                <c:pt idx="25">
                  <c:v>-0.23200000000000001</c:v>
                </c:pt>
                <c:pt idx="26">
                  <c:v>0.53</c:v>
                </c:pt>
                <c:pt idx="27">
                  <c:v>-0.46899999999999997</c:v>
                </c:pt>
                <c:pt idx="28">
                  <c:v>0.159</c:v>
                </c:pt>
                <c:pt idx="29">
                  <c:v>3.4830000000000001</c:v>
                </c:pt>
              </c:numCache>
            </c:numRef>
          </c:yVal>
          <c:smooth val="0"/>
          <c:extLst>
            <c:ext xmlns:c16="http://schemas.microsoft.com/office/drawing/2014/chart" uri="{C3380CC4-5D6E-409C-BE32-E72D297353CC}">
              <c16:uniqueId val="{00000000-F329-4FF2-8600-7CA49286077E}"/>
            </c:ext>
          </c:extLst>
        </c:ser>
        <c:dLbls>
          <c:showLegendKey val="0"/>
          <c:showVal val="0"/>
          <c:showCatName val="0"/>
          <c:showSerName val="0"/>
          <c:showPercent val="0"/>
          <c:showBubbleSize val="0"/>
        </c:dLbls>
        <c:axId val="558493760"/>
        <c:axId val="558498336"/>
      </c:scatterChart>
      <c:valAx>
        <c:axId val="558493760"/>
        <c:scaling>
          <c:orientation val="minMax"/>
        </c:scaling>
        <c:delete val="0"/>
        <c:axPos val="b"/>
        <c:majorGridlines>
          <c:spPr>
            <a:ln w="9525" cap="flat" cmpd="sng" algn="ctr">
              <a:solidFill>
                <a:schemeClr val="tx1">
                  <a:lumMod val="15000"/>
                  <a:lumOff val="85000"/>
                </a:schemeClr>
              </a:solidFill>
              <a:round/>
            </a:ln>
            <a:effectLst/>
          </c:spPr>
        </c:majorGridlines>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498336"/>
        <c:crosses val="autoZero"/>
        <c:crossBetween val="midCat"/>
      </c:valAx>
      <c:valAx>
        <c:axId val="558498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4937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Attrition</a:t>
            </a:r>
            <a:r>
              <a:rPr lang="en-US" baseline="0"/>
              <a:t> by Worklife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noFill/>
            <a:round/>
          </a:ln>
          <a:effectLst/>
        </c:spPr>
        <c:marker>
          <c:symbol val="circle"/>
          <c:size val="5"/>
          <c:spPr>
            <a:solidFill>
              <a:srgbClr val="96BF8A"/>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Pivotable!$K$166:$K$167</c:f>
              <c:strCache>
                <c:ptCount val="1"/>
                <c:pt idx="0">
                  <c:v>Yes</c:v>
                </c:pt>
              </c:strCache>
            </c:strRef>
          </c:tx>
          <c:spPr>
            <a:ln w="28575" cap="rnd">
              <a:noFill/>
              <a:round/>
            </a:ln>
            <a:effectLst/>
          </c:spPr>
          <c:marker>
            <c:symbol val="circle"/>
            <c:size val="5"/>
            <c:spPr>
              <a:solidFill>
                <a:srgbClr val="96BF8A"/>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Pivotable!$J$168:$J$172</c:f>
              <c:strCache>
                <c:ptCount val="4"/>
                <c:pt idx="0">
                  <c:v>Poor</c:v>
                </c:pt>
                <c:pt idx="1">
                  <c:v>Fair</c:v>
                </c:pt>
                <c:pt idx="2">
                  <c:v>Good</c:v>
                </c:pt>
                <c:pt idx="3">
                  <c:v>Excellent</c:v>
                </c:pt>
              </c:strCache>
            </c:strRef>
          </c:cat>
          <c:val>
            <c:numRef>
              <c:f>Pivotable!$K$168:$K$172</c:f>
              <c:numCache>
                <c:formatCode>General</c:formatCode>
                <c:ptCount val="4"/>
                <c:pt idx="0">
                  <c:v>25</c:v>
                </c:pt>
                <c:pt idx="1">
                  <c:v>58</c:v>
                </c:pt>
                <c:pt idx="2">
                  <c:v>127</c:v>
                </c:pt>
                <c:pt idx="3">
                  <c:v>27</c:v>
                </c:pt>
              </c:numCache>
            </c:numRef>
          </c:val>
          <c:smooth val="0"/>
          <c:extLst>
            <c:ext xmlns:c16="http://schemas.microsoft.com/office/drawing/2014/chart" uri="{C3380CC4-5D6E-409C-BE32-E72D297353CC}">
              <c16:uniqueId val="{00000000-8D9F-4ED7-9F5B-CA34BCBBCE34}"/>
            </c:ext>
          </c:extLst>
        </c:ser>
        <c:dLbls>
          <c:dLblPos val="t"/>
          <c:showLegendKey val="0"/>
          <c:showVal val="1"/>
          <c:showCatName val="0"/>
          <c:showSerName val="0"/>
          <c:showPercent val="0"/>
          <c:showBubbleSize val="0"/>
        </c:dLbls>
        <c:dropLines>
          <c:spPr>
            <a:ln w="9525" cap="flat" cmpd="sng" algn="ctr">
              <a:solidFill>
                <a:srgbClr val="96BF8A"/>
              </a:solidFill>
              <a:round/>
            </a:ln>
            <a:effectLst/>
          </c:spPr>
        </c:dropLines>
        <c:marker val="1"/>
        <c:smooth val="0"/>
        <c:axId val="168786703"/>
        <c:axId val="168789199"/>
      </c:lineChart>
      <c:catAx>
        <c:axId val="16878670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89199"/>
        <c:crosses val="autoZero"/>
        <c:auto val="1"/>
        <c:lblAlgn val="ctr"/>
        <c:lblOffset val="100"/>
        <c:noMultiLvlLbl val="0"/>
      </c:catAx>
      <c:valAx>
        <c:axId val="1687891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786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Atrrition.xlsx]Pivotable!PivotTable32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noFill/>
            <a:round/>
          </a:ln>
          <a:effectLst/>
        </c:spPr>
        <c:marker>
          <c:symbol val="circle"/>
          <c:size val="5"/>
          <c:spPr>
            <a:solidFill>
              <a:schemeClr val="accent6">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Pivotable!$AU$2</c:f>
              <c:strCache>
                <c:ptCount val="1"/>
                <c:pt idx="0">
                  <c:v>Total</c:v>
                </c:pt>
              </c:strCache>
            </c:strRef>
          </c:tx>
          <c:spPr>
            <a:ln w="28575" cap="rnd">
              <a:noFill/>
              <a:round/>
            </a:ln>
            <a:effectLst/>
          </c:spPr>
          <c:marker>
            <c:symbol val="circle"/>
            <c:size val="5"/>
            <c:spPr>
              <a:solidFill>
                <a:schemeClr val="accent6">
                  <a:lumMod val="75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Pivotable!$AT$3:$AT$12</c:f>
              <c:strCache>
                <c:ptCount val="9"/>
                <c:pt idx="0">
                  <c:v>Laboratory Technician</c:v>
                </c:pt>
                <c:pt idx="1">
                  <c:v>Sales Executive</c:v>
                </c:pt>
                <c:pt idx="2">
                  <c:v>Research Scientist</c:v>
                </c:pt>
                <c:pt idx="3">
                  <c:v>Sales Representative</c:v>
                </c:pt>
                <c:pt idx="4">
                  <c:v>Human Resources</c:v>
                </c:pt>
                <c:pt idx="5">
                  <c:v>Manufacturing Director</c:v>
                </c:pt>
                <c:pt idx="6">
                  <c:v>Healthcare Representative</c:v>
                </c:pt>
                <c:pt idx="7">
                  <c:v>Manager</c:v>
                </c:pt>
                <c:pt idx="8">
                  <c:v>Research Director</c:v>
                </c:pt>
              </c:strCache>
            </c:strRef>
          </c:cat>
          <c:val>
            <c:numRef>
              <c:f>Pivotable!$AU$3:$AU$12</c:f>
              <c:numCache>
                <c:formatCode>General</c:formatCode>
                <c:ptCount val="9"/>
                <c:pt idx="0">
                  <c:v>62</c:v>
                </c:pt>
                <c:pt idx="1">
                  <c:v>57</c:v>
                </c:pt>
                <c:pt idx="2">
                  <c:v>47</c:v>
                </c:pt>
                <c:pt idx="3">
                  <c:v>33</c:v>
                </c:pt>
                <c:pt idx="4">
                  <c:v>12</c:v>
                </c:pt>
                <c:pt idx="5">
                  <c:v>10</c:v>
                </c:pt>
                <c:pt idx="6">
                  <c:v>9</c:v>
                </c:pt>
                <c:pt idx="7">
                  <c:v>5</c:v>
                </c:pt>
                <c:pt idx="8">
                  <c:v>2</c:v>
                </c:pt>
              </c:numCache>
            </c:numRef>
          </c:val>
          <c:smooth val="0"/>
          <c:extLst>
            <c:ext xmlns:c16="http://schemas.microsoft.com/office/drawing/2014/chart" uri="{C3380CC4-5D6E-409C-BE32-E72D297353CC}">
              <c16:uniqueId val="{00000000-6C8C-4EAD-A83C-10984C0D26B0}"/>
            </c:ext>
          </c:extLst>
        </c:ser>
        <c:dLbls>
          <c:dLblPos val="t"/>
          <c:showLegendKey val="0"/>
          <c:showVal val="1"/>
          <c:showCatName val="0"/>
          <c:showSerName val="0"/>
          <c:showPercent val="0"/>
          <c:showBubbleSize val="0"/>
        </c:dLbls>
        <c:dropLines>
          <c:spPr>
            <a:ln w="28575" cap="flat" cmpd="sng" algn="ctr">
              <a:solidFill>
                <a:schemeClr val="accent6">
                  <a:lumMod val="75000"/>
                </a:schemeClr>
              </a:solidFill>
              <a:round/>
            </a:ln>
            <a:effectLst/>
          </c:spPr>
        </c:dropLines>
        <c:marker val="1"/>
        <c:smooth val="0"/>
        <c:axId val="115323104"/>
        <c:axId val="115324768"/>
      </c:lineChart>
      <c:catAx>
        <c:axId val="11532310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24768"/>
        <c:crosses val="autoZero"/>
        <c:auto val="1"/>
        <c:lblAlgn val="ctr"/>
        <c:lblOffset val="100"/>
        <c:noMultiLvlLbl val="0"/>
      </c:catAx>
      <c:valAx>
        <c:axId val="115324768"/>
        <c:scaling>
          <c:orientation val="minMax"/>
        </c:scaling>
        <c:delete val="1"/>
        <c:axPos val="l"/>
        <c:numFmt formatCode="General" sourceLinked="1"/>
        <c:majorTickMark val="none"/>
        <c:minorTickMark val="none"/>
        <c:tickLblPos val="nextTo"/>
        <c:crossAx val="115323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bg1"/>
                </a:solidFill>
                <a:latin typeface="Segoe UI" panose="020B0502040204020203" pitchFamily="34" charset="0"/>
                <a:cs typeface="Segoe UI" panose="020B0502040204020203" pitchFamily="34" charset="0"/>
              </a:rPr>
              <a:t>Total</a:t>
            </a:r>
            <a:r>
              <a:rPr lang="en-US" sz="1100" b="1" baseline="0">
                <a:solidFill>
                  <a:schemeClr val="bg1"/>
                </a:solidFill>
                <a:latin typeface="Segoe UI" panose="020B0502040204020203" pitchFamily="34" charset="0"/>
                <a:cs typeface="Segoe UI" panose="020B0502040204020203" pitchFamily="34" charset="0"/>
              </a:rPr>
              <a:t> Employees</a:t>
            </a:r>
            <a:endParaRPr lang="en-US" sz="1100" b="1">
              <a:solidFill>
                <a:schemeClr val="bg1"/>
              </a:solidFill>
              <a:latin typeface="Segoe UI" panose="020B0502040204020203" pitchFamily="34" charset="0"/>
              <a:cs typeface="Segoe UI" panose="020B0502040204020203" pitchFamily="34" charset="0"/>
            </a:endParaRPr>
          </a:p>
        </c:rich>
      </c:tx>
      <c:layout>
        <c:manualLayout>
          <c:xMode val="edge"/>
          <c:yMode val="edge"/>
          <c:x val="0.21348295062609463"/>
          <c:y val="0.1254900410806965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layout>
            <c:manualLayout>
              <c:x val="-2.5518354126438422E-2"/>
              <c:y val="4.9038614672703602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fld id="{508A17F4-389F-42D6-8986-A9B25DE7BAA1}" type="VALUE">
                  <a:rPr lang="en-US" sz="1100" b="1">
                    <a:latin typeface="Segoe UI" panose="020B0502040204020203" pitchFamily="34" charset="0"/>
                    <a:cs typeface="Segoe UI" panose="020B0502040204020203" pitchFamily="34" charset="0"/>
                  </a:rPr>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a:noFill/>
          </a:ln>
          <a:effectLst/>
        </c:spPr>
        <c:dLbl>
          <c:idx val="0"/>
          <c:layout>
            <c:manualLayout>
              <c:x val="-2.5518354126438422E-2"/>
              <c:y val="4.9038614672703602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fld id="{508A17F4-389F-42D6-8986-A9B25DE7BAA1}" type="VALUE">
                  <a:rPr lang="en-US" sz="1100" b="1">
                    <a:latin typeface="Segoe UI" panose="020B0502040204020203" pitchFamily="34" charset="0"/>
                    <a:cs typeface="Segoe UI" panose="020B0502040204020203" pitchFamily="34" charset="0"/>
                  </a:rPr>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a:noFill/>
          </a:ln>
          <a:effectLst/>
        </c:spPr>
        <c:dLbl>
          <c:idx val="0"/>
          <c:layout>
            <c:manualLayout>
              <c:x val="-2.5518518579057226E-2"/>
              <c:y val="0.20283710059279084"/>
            </c:manualLayout>
          </c:layout>
          <c:tx>
            <c:rich>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fld id="{508A17F4-389F-42D6-8986-A9B25DE7BAA1}" type="VALUE">
                  <a:rPr lang="en-US" sz="1400" b="1">
                    <a:solidFill>
                      <a:schemeClr val="bg1"/>
                    </a:solidFill>
                    <a:latin typeface="Segoe UI" panose="020B0502040204020203" pitchFamily="34" charset="0"/>
                    <a:cs typeface="Segoe UI" panose="020B0502040204020203" pitchFamily="34" charset="0"/>
                  </a:rPr>
                  <a:pPr>
                    <a:defRPr sz="1400" b="1">
                      <a:solidFill>
                        <a:schemeClr val="bg1"/>
                      </a:solidFill>
                      <a:latin typeface="Segoe UI" panose="020B0502040204020203" pitchFamily="34" charset="0"/>
                      <a:cs typeface="Segoe U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5.5766793409378963E-2"/>
          <c:y val="0.72557783993127112"/>
          <c:w val="0.88846641318124209"/>
          <c:h val="6.5271689754646173E-2"/>
        </c:manualLayout>
      </c:layout>
      <c:barChart>
        <c:barDir val="col"/>
        <c:grouping val="clustered"/>
        <c:varyColors val="0"/>
        <c:ser>
          <c:idx val="0"/>
          <c:order val="0"/>
          <c:tx>
            <c:strRef>
              <c:f>Pivotable!$A$3</c:f>
              <c:strCache>
                <c:ptCount val="1"/>
                <c:pt idx="0">
                  <c:v>Total</c:v>
                </c:pt>
              </c:strCache>
            </c:strRef>
          </c:tx>
          <c:spPr>
            <a:solidFill>
              <a:schemeClr val="accent1"/>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1-0F1E-4FBD-9A88-EAA39474BB66}"/>
              </c:ext>
            </c:extLst>
          </c:dPt>
          <c:dLbls>
            <c:dLbl>
              <c:idx val="0"/>
              <c:layout>
                <c:manualLayout>
                  <c:x val="-2.5518518579057226E-2"/>
                  <c:y val="0.20283710059279084"/>
                </c:manualLayout>
              </c:layout>
              <c:tx>
                <c:rich>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fld id="{508A17F4-389F-42D6-8986-A9B25DE7BAA1}" type="VALUE">
                      <a:rPr lang="en-US" sz="1400" b="1">
                        <a:solidFill>
                          <a:schemeClr val="bg1"/>
                        </a:solidFill>
                        <a:latin typeface="Segoe UI" panose="020B0502040204020203" pitchFamily="34" charset="0"/>
                        <a:cs typeface="Segoe UI" panose="020B0502040204020203" pitchFamily="34" charset="0"/>
                      </a:rPr>
                      <a:pPr>
                        <a:defRPr sz="1400" b="1">
                          <a:solidFill>
                            <a:schemeClr val="bg1"/>
                          </a:solidFill>
                          <a:latin typeface="Segoe UI" panose="020B0502040204020203" pitchFamily="34" charset="0"/>
                          <a:cs typeface="Segoe U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F1E-4FBD-9A88-EAA39474BB66}"/>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Pivotable!$A$4</c:f>
              <c:strCache>
                <c:ptCount val="1"/>
                <c:pt idx="0">
                  <c:v>Total</c:v>
                </c:pt>
              </c:strCache>
            </c:strRef>
          </c:cat>
          <c:val>
            <c:numRef>
              <c:f>Pivotable!$A$4</c:f>
              <c:numCache>
                <c:formatCode>General</c:formatCode>
                <c:ptCount val="1"/>
                <c:pt idx="0">
                  <c:v>1470</c:v>
                </c:pt>
              </c:numCache>
            </c:numRef>
          </c:val>
          <c:extLst>
            <c:ext xmlns:c16="http://schemas.microsoft.com/office/drawing/2014/chart" uri="{C3380CC4-5D6E-409C-BE32-E72D297353CC}">
              <c16:uniqueId val="{00000002-0F1E-4FBD-9A88-EAA39474BB66}"/>
            </c:ext>
          </c:extLst>
        </c:ser>
        <c:dLbls>
          <c:dLblPos val="outEnd"/>
          <c:showLegendKey val="0"/>
          <c:showVal val="1"/>
          <c:showCatName val="0"/>
          <c:showSerName val="0"/>
          <c:showPercent val="0"/>
          <c:showBubbleSize val="0"/>
        </c:dLbls>
        <c:gapWidth val="219"/>
        <c:overlap val="-27"/>
        <c:axId val="943623984"/>
        <c:axId val="943625648"/>
      </c:barChart>
      <c:catAx>
        <c:axId val="943623984"/>
        <c:scaling>
          <c:orientation val="minMax"/>
        </c:scaling>
        <c:delete val="1"/>
        <c:axPos val="b"/>
        <c:numFmt formatCode="General" sourceLinked="1"/>
        <c:majorTickMark val="none"/>
        <c:minorTickMark val="none"/>
        <c:tickLblPos val="nextTo"/>
        <c:crossAx val="943625648"/>
        <c:crosses val="autoZero"/>
        <c:auto val="1"/>
        <c:lblAlgn val="ctr"/>
        <c:lblOffset val="100"/>
        <c:noMultiLvlLbl val="0"/>
      </c:catAx>
      <c:valAx>
        <c:axId val="943625648"/>
        <c:scaling>
          <c:orientation val="minMax"/>
        </c:scaling>
        <c:delete val="1"/>
        <c:axPos val="l"/>
        <c:numFmt formatCode="General" sourceLinked="1"/>
        <c:majorTickMark val="none"/>
        <c:minorTickMark val="none"/>
        <c:tickLblPos val="nextTo"/>
        <c:crossAx val="943623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Atrrition.xlsx]Pivotable!PivotTable2</c:name>
    <c:fmtId val="3"/>
  </c:pivotSource>
  <c:chart>
    <c:title>
      <c:tx>
        <c:rich>
          <a:bodyPr rot="0" spcFirstLastPara="1" vertOverflow="ellipsis" vert="horz" wrap="square" anchor="ctr" anchorCtr="1"/>
          <a:lstStyle/>
          <a:p>
            <a:pPr>
              <a:defRPr sz="1100" b="1" i="0" u="none" strike="noStrike" kern="1200" spc="0" baseline="0">
                <a:solidFill>
                  <a:schemeClr val="bg1"/>
                </a:solidFill>
                <a:latin typeface="Segoe UI" panose="020B0502040204020203" pitchFamily="34" charset="0"/>
                <a:ea typeface="+mn-ea"/>
                <a:cs typeface="Segoe UI" panose="020B0502040204020203" pitchFamily="34" charset="0"/>
              </a:defRPr>
            </a:pPr>
            <a:r>
              <a:rPr lang="en-US" sz="1100" b="1" baseline="0">
                <a:solidFill>
                  <a:schemeClr val="bg1"/>
                </a:solidFill>
                <a:latin typeface="Segoe UI" panose="020B0502040204020203" pitchFamily="34" charset="0"/>
                <a:cs typeface="Segoe UI" panose="020B0502040204020203" pitchFamily="34" charset="0"/>
              </a:rPr>
              <a:t>Avg. Monthly Income</a:t>
            </a:r>
            <a:endParaRPr lang="en-US" sz="1100" b="1">
              <a:solidFill>
                <a:schemeClr val="bg1"/>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bg1"/>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layout>
            <c:manualLayout>
              <c:x val="9.1103366177588453E-4"/>
              <c:y val="-0.21520461902302881"/>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fld id="{BFE91A78-7DEC-4773-A94E-B7B9D38B3A84}" type="VALUE">
                  <a:rPr lang="en-US" sz="1050"/>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8605682486410509"/>
                  <c:h val="0.3186991265489339"/>
                </c:manualLayout>
              </c15:layout>
              <c15:dlblFieldTable/>
              <c15:showDataLabelsRange val="0"/>
            </c:ext>
          </c:extLst>
        </c:dLbl>
      </c:pivotFmt>
      <c:pivotFmt>
        <c:idx val="2"/>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a:noFill/>
          </a:ln>
          <a:effectLst/>
        </c:spPr>
        <c:dLbl>
          <c:idx val="0"/>
          <c:layout>
            <c:manualLayout>
              <c:x val="9.1103366177588453E-4"/>
              <c:y val="-0.21520461902302881"/>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fld id="{BFE91A78-7DEC-4773-A94E-B7B9D38B3A84}" type="VALUE">
                  <a:rPr lang="en-US" sz="1050"/>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8605682486410509"/>
                  <c:h val="0.3186991265489339"/>
                </c:manualLayout>
              </c15:layout>
              <c15:dlblFieldTable/>
              <c15:showDataLabelsRange val="0"/>
            </c:ext>
          </c:extLst>
        </c:dLbl>
      </c:pivotFmt>
      <c:pivotFmt>
        <c:idx val="4"/>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a:noFill/>
          </a:ln>
          <a:effectLst/>
        </c:spPr>
        <c:dLbl>
          <c:idx val="0"/>
          <c:layout>
            <c:manualLayout>
              <c:x val="-2.3532879445339088E-2"/>
              <c:y val="-0.24116799851328749"/>
            </c:manualLayout>
          </c:layout>
          <c:tx>
            <c:rich>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r>
                  <a:rPr lang="en-US" sz="1400">
                    <a:solidFill>
                      <a:schemeClr val="accent6">
                        <a:lumMod val="75000"/>
                      </a:schemeClr>
                    </a:solidFill>
                  </a:rPr>
                  <a:t>▲</a:t>
                </a:r>
                <a:fld id="{BFE91A78-7DEC-4773-A94E-B7B9D38B3A84}" type="VALUE">
                  <a:rPr lang="en-US" sz="1400">
                    <a:solidFill>
                      <a:schemeClr val="bg1"/>
                    </a:solidFill>
                  </a:rPr>
                  <a:pPr>
                    <a:defRPr sz="1400" b="1">
                      <a:solidFill>
                        <a:schemeClr val="bg1"/>
                      </a:solidFill>
                      <a:latin typeface="Segoe UI" panose="020B0502040204020203" pitchFamily="34" charset="0"/>
                      <a:cs typeface="Segoe UI" panose="020B0502040204020203" pitchFamily="34" charset="0"/>
                    </a:defRPr>
                  </a:pPr>
                  <a:t>[VALUE]</a:t>
                </a:fld>
                <a:endParaRPr lang="en-US" sz="1400">
                  <a:solidFill>
                    <a:schemeClr val="accent6">
                      <a:lumMod val="75000"/>
                    </a:schemeClr>
                  </a:solidFill>
                </a:endParaRPr>
              </a:p>
            </c:rich>
          </c:tx>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8605682486410509"/>
                  <c:h val="0.3186991265489339"/>
                </c:manualLayout>
              </c15:layout>
              <c15:dlblFieldTable/>
              <c15:showDataLabelsRange val="0"/>
            </c:ext>
          </c:extLst>
        </c:dLbl>
      </c:pivotFmt>
    </c:pivotFmts>
    <c:plotArea>
      <c:layout>
        <c:manualLayout>
          <c:layoutTarget val="inner"/>
          <c:xMode val="edge"/>
          <c:yMode val="edge"/>
          <c:x val="0.25683060109289618"/>
          <c:y val="0.86671376956808754"/>
          <c:w val="0.51912568306010931"/>
          <c:h val="3.9718944502074686E-2"/>
        </c:manualLayout>
      </c:layout>
      <c:barChart>
        <c:barDir val="col"/>
        <c:grouping val="clustered"/>
        <c:varyColors val="0"/>
        <c:ser>
          <c:idx val="0"/>
          <c:order val="0"/>
          <c:tx>
            <c:strRef>
              <c:f>Pivotable!$A$9</c:f>
              <c:strCache>
                <c:ptCount val="1"/>
                <c:pt idx="0">
                  <c:v>Total</c:v>
                </c:pt>
              </c:strCache>
            </c:strRef>
          </c:tx>
          <c:spPr>
            <a:no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1-1658-48A6-A3ED-608F299399C9}"/>
              </c:ext>
            </c:extLst>
          </c:dPt>
          <c:dLbls>
            <c:dLbl>
              <c:idx val="0"/>
              <c:layout>
                <c:manualLayout>
                  <c:x val="-2.3532879445339088E-2"/>
                  <c:y val="-0.24116799851328749"/>
                </c:manualLayout>
              </c:layout>
              <c:tx>
                <c:rich>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r>
                      <a:rPr lang="en-US" sz="1400">
                        <a:solidFill>
                          <a:schemeClr val="accent6">
                            <a:lumMod val="75000"/>
                          </a:schemeClr>
                        </a:solidFill>
                      </a:rPr>
                      <a:t>▲</a:t>
                    </a:r>
                    <a:fld id="{BFE91A78-7DEC-4773-A94E-B7B9D38B3A84}" type="VALUE">
                      <a:rPr lang="en-US" sz="1400">
                        <a:solidFill>
                          <a:schemeClr val="bg1"/>
                        </a:solidFill>
                      </a:rPr>
                      <a:pPr>
                        <a:defRPr sz="1400" b="1">
                          <a:solidFill>
                            <a:schemeClr val="bg1"/>
                          </a:solidFill>
                          <a:latin typeface="Segoe UI" panose="020B0502040204020203" pitchFamily="34" charset="0"/>
                          <a:cs typeface="Segoe UI" panose="020B0502040204020203" pitchFamily="34" charset="0"/>
                        </a:defRPr>
                      </a:pPr>
                      <a:t>[VALUE]</a:t>
                    </a:fld>
                    <a:endParaRPr lang="en-US" sz="1400">
                      <a:solidFill>
                        <a:schemeClr val="accent6">
                          <a:lumMod val="75000"/>
                        </a:schemeClr>
                      </a:solidFill>
                    </a:endParaRPr>
                  </a:p>
                </c:rich>
              </c:tx>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8605682486410509"/>
                      <c:h val="0.3186991265489339"/>
                    </c:manualLayout>
                  </c15:layout>
                  <c15:dlblFieldTable/>
                  <c15:showDataLabelsRange val="0"/>
                </c:ext>
                <c:ext xmlns:c16="http://schemas.microsoft.com/office/drawing/2014/chart" uri="{C3380CC4-5D6E-409C-BE32-E72D297353CC}">
                  <c16:uniqueId val="{00000001-1658-48A6-A3ED-608F299399C9}"/>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Pivotable!$A$10</c:f>
              <c:strCache>
                <c:ptCount val="1"/>
                <c:pt idx="0">
                  <c:v>Total</c:v>
                </c:pt>
              </c:strCache>
            </c:strRef>
          </c:cat>
          <c:val>
            <c:numRef>
              <c:f>Pivotable!$A$10</c:f>
              <c:numCache>
                <c:formatCode>[&gt;=1000000]"$"0.0,,"M";[&gt;=1000]"$"0.0,"K";"$ "0</c:formatCode>
                <c:ptCount val="1"/>
                <c:pt idx="0">
                  <c:v>6502.9313000000002</c:v>
                </c:pt>
              </c:numCache>
            </c:numRef>
          </c:val>
          <c:extLst>
            <c:ext xmlns:c16="http://schemas.microsoft.com/office/drawing/2014/chart" uri="{C3380CC4-5D6E-409C-BE32-E72D297353CC}">
              <c16:uniqueId val="{00000002-1658-48A6-A3ED-608F299399C9}"/>
            </c:ext>
          </c:extLst>
        </c:ser>
        <c:dLbls>
          <c:dLblPos val="outEnd"/>
          <c:showLegendKey val="0"/>
          <c:showVal val="1"/>
          <c:showCatName val="0"/>
          <c:showSerName val="0"/>
          <c:showPercent val="0"/>
          <c:showBubbleSize val="0"/>
        </c:dLbls>
        <c:gapWidth val="219"/>
        <c:overlap val="-27"/>
        <c:axId val="939514512"/>
        <c:axId val="939513680"/>
      </c:barChart>
      <c:catAx>
        <c:axId val="939514512"/>
        <c:scaling>
          <c:orientation val="minMax"/>
        </c:scaling>
        <c:delete val="1"/>
        <c:axPos val="b"/>
        <c:numFmt formatCode="General" sourceLinked="1"/>
        <c:majorTickMark val="none"/>
        <c:minorTickMark val="none"/>
        <c:tickLblPos val="nextTo"/>
        <c:crossAx val="939513680"/>
        <c:crosses val="autoZero"/>
        <c:auto val="1"/>
        <c:lblAlgn val="ctr"/>
        <c:lblOffset val="100"/>
        <c:noMultiLvlLbl val="0"/>
      </c:catAx>
      <c:valAx>
        <c:axId val="939513680"/>
        <c:scaling>
          <c:orientation val="minMax"/>
        </c:scaling>
        <c:delete val="1"/>
        <c:axPos val="l"/>
        <c:numFmt formatCode="[&gt;=1000000]&quot;$&quot;0.0,,&quot;M&quot;;[&gt;=1000]&quot;$&quot;0.0,&quot;K&quot;;&quot;$ &quot;0" sourceLinked="1"/>
        <c:majorTickMark val="none"/>
        <c:minorTickMark val="none"/>
        <c:tickLblPos val="nextTo"/>
        <c:crossAx val="939514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Atrrition.xlsx]Pivotable!PivotTable13</c:name>
    <c:fmtId val="2"/>
  </c:pivotSource>
  <c:chart>
    <c:title>
      <c:tx>
        <c:rich>
          <a:bodyPr rot="0" spcFirstLastPara="1" vertOverflow="ellipsis" vert="horz" wrap="square" anchor="ctr" anchorCtr="1"/>
          <a:lstStyle/>
          <a:p>
            <a:pPr>
              <a:defRPr sz="1100" b="1" i="0" u="none" strike="noStrike" kern="1200" spc="0" baseline="0">
                <a:solidFill>
                  <a:schemeClr val="bg1"/>
                </a:solidFill>
                <a:latin typeface="Segoe UI" panose="020B0502040204020203" pitchFamily="34" charset="0"/>
                <a:ea typeface="+mn-ea"/>
                <a:cs typeface="Segoe UI" panose="020B0502040204020203" pitchFamily="34" charset="0"/>
              </a:defRPr>
            </a:pPr>
            <a:r>
              <a:rPr lang="en-US" sz="1100" b="1">
                <a:solidFill>
                  <a:schemeClr val="bg1"/>
                </a:solidFill>
                <a:latin typeface="Segoe UI" panose="020B0502040204020203" pitchFamily="34" charset="0"/>
                <a:cs typeface="Segoe UI" panose="020B0502040204020203" pitchFamily="34" charset="0"/>
              </a:rPr>
              <a:t>Atrrition</a:t>
            </a:r>
            <a:r>
              <a:rPr lang="en-US" sz="1100" b="1" baseline="0">
                <a:solidFill>
                  <a:schemeClr val="bg1"/>
                </a:solidFill>
                <a:latin typeface="Segoe UI" panose="020B0502040204020203" pitchFamily="34" charset="0"/>
                <a:cs typeface="Segoe UI" panose="020B0502040204020203" pitchFamily="34" charset="0"/>
              </a:rPr>
              <a:t> Rate</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bg1"/>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a:noFill/>
          </a:ln>
          <a:effectLst/>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r>
                  <a:rPr lang="en-US" sz="1400">
                    <a:solidFill>
                      <a:srgbClr val="E8EAE5"/>
                    </a:solidFill>
                  </a:rPr>
                  <a:t>▼</a:t>
                </a:r>
                <a:fld id="{01F90741-4046-446D-89B7-454EB310EFAB}" type="VALUE">
                  <a:rPr lang="en-US" sz="1400"/>
                  <a:pPr>
                    <a:defRPr sz="1400" b="1">
                      <a:solidFill>
                        <a:schemeClr val="bg1"/>
                      </a:solidFill>
                      <a:latin typeface="Segoe UI" panose="020B0502040204020203" pitchFamily="34" charset="0"/>
                      <a:cs typeface="Segoe UI" panose="020B0502040204020203" pitchFamily="34" charset="0"/>
                    </a:defRPr>
                  </a:pPr>
                  <a:t>[VALUE]</a:t>
                </a:fld>
                <a:endParaRPr lang="en-US" sz="1400">
                  <a:solidFill>
                    <a:srgbClr val="E8EAE5"/>
                  </a:solidFill>
                </a:endParaRPr>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6702594625552"/>
                  <c:h val="0.36236629384011348"/>
                </c:manualLayout>
              </c15:layout>
              <c15:dlblFieldTable/>
              <c15:showDataLabelsRange val="0"/>
            </c:ext>
          </c:extLst>
        </c:dLbl>
      </c:pivotFmt>
    </c:pivotFmts>
    <c:plotArea>
      <c:layout>
        <c:manualLayout>
          <c:layoutTarget val="inner"/>
          <c:xMode val="edge"/>
          <c:yMode val="edge"/>
          <c:x val="6.8535825545171333E-2"/>
          <c:y val="0.79553775586812625"/>
          <c:w val="0.86292834890965731"/>
          <c:h val="8.4734301669849105E-2"/>
        </c:manualLayout>
      </c:layout>
      <c:barChart>
        <c:barDir val="col"/>
        <c:grouping val="clustered"/>
        <c:varyColors val="0"/>
        <c:ser>
          <c:idx val="0"/>
          <c:order val="0"/>
          <c:tx>
            <c:strRef>
              <c:f>Pivotable!$A$119</c:f>
              <c:strCache>
                <c:ptCount val="1"/>
                <c:pt idx="0">
                  <c:v>Total</c:v>
                </c:pt>
              </c:strCache>
            </c:strRef>
          </c:tx>
          <c:spPr>
            <a:solidFill>
              <a:schemeClr val="accent1"/>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1-7271-49C2-913B-E1F91D984BC0}"/>
              </c:ext>
            </c:extLst>
          </c:dPt>
          <c:dLbls>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r>
                      <a:rPr lang="en-US" sz="1400">
                        <a:solidFill>
                          <a:srgbClr val="E8EAE5"/>
                        </a:solidFill>
                      </a:rPr>
                      <a:t>▼</a:t>
                    </a:r>
                    <a:fld id="{01F90741-4046-446D-89B7-454EB310EFAB}" type="VALUE">
                      <a:rPr lang="en-US" sz="1400"/>
                      <a:pPr>
                        <a:defRPr sz="1400" b="1">
                          <a:solidFill>
                            <a:schemeClr val="bg1"/>
                          </a:solidFill>
                          <a:latin typeface="Segoe UI" panose="020B0502040204020203" pitchFamily="34" charset="0"/>
                          <a:cs typeface="Segoe UI" panose="020B0502040204020203" pitchFamily="34" charset="0"/>
                        </a:defRPr>
                      </a:pPr>
                      <a:t>[VALUE]</a:t>
                    </a:fld>
                    <a:endParaRPr lang="en-US" sz="1400">
                      <a:solidFill>
                        <a:srgbClr val="E8EAE5"/>
                      </a:solidFill>
                    </a:endParaRPr>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6702594625552"/>
                      <c:h val="0.36236629384011348"/>
                    </c:manualLayout>
                  </c15:layout>
                  <c15:dlblFieldTable/>
                  <c15:showDataLabelsRange val="0"/>
                </c:ext>
                <c:ext xmlns:c16="http://schemas.microsoft.com/office/drawing/2014/chart" uri="{C3380CC4-5D6E-409C-BE32-E72D297353CC}">
                  <c16:uniqueId val="{00000001-7271-49C2-913B-E1F91D984BC0}"/>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Pivotable!$A$120</c:f>
              <c:strCache>
                <c:ptCount val="1"/>
                <c:pt idx="0">
                  <c:v>Total</c:v>
                </c:pt>
              </c:strCache>
            </c:strRef>
          </c:cat>
          <c:val>
            <c:numRef>
              <c:f>Pivotable!$A$120</c:f>
              <c:numCache>
                <c:formatCode>0%</c:formatCode>
                <c:ptCount val="1"/>
                <c:pt idx="0">
                  <c:v>0.16120000000000001</c:v>
                </c:pt>
              </c:numCache>
            </c:numRef>
          </c:val>
          <c:extLst>
            <c:ext xmlns:c16="http://schemas.microsoft.com/office/drawing/2014/chart" uri="{C3380CC4-5D6E-409C-BE32-E72D297353CC}">
              <c16:uniqueId val="{00000002-7271-49C2-913B-E1F91D984BC0}"/>
            </c:ext>
          </c:extLst>
        </c:ser>
        <c:dLbls>
          <c:dLblPos val="outEnd"/>
          <c:showLegendKey val="0"/>
          <c:showVal val="1"/>
          <c:showCatName val="0"/>
          <c:showSerName val="0"/>
          <c:showPercent val="0"/>
          <c:showBubbleSize val="0"/>
        </c:dLbls>
        <c:gapWidth val="219"/>
        <c:overlap val="-27"/>
        <c:axId val="1775066880"/>
        <c:axId val="1775088512"/>
      </c:barChart>
      <c:catAx>
        <c:axId val="1775066880"/>
        <c:scaling>
          <c:orientation val="minMax"/>
        </c:scaling>
        <c:delete val="1"/>
        <c:axPos val="b"/>
        <c:numFmt formatCode="General" sourceLinked="1"/>
        <c:majorTickMark val="none"/>
        <c:minorTickMark val="none"/>
        <c:tickLblPos val="nextTo"/>
        <c:crossAx val="1775088512"/>
        <c:crosses val="autoZero"/>
        <c:auto val="1"/>
        <c:lblAlgn val="ctr"/>
        <c:lblOffset val="100"/>
        <c:noMultiLvlLbl val="0"/>
      </c:catAx>
      <c:valAx>
        <c:axId val="1775088512"/>
        <c:scaling>
          <c:orientation val="minMax"/>
        </c:scaling>
        <c:delete val="1"/>
        <c:axPos val="l"/>
        <c:numFmt formatCode="0%" sourceLinked="1"/>
        <c:majorTickMark val="none"/>
        <c:minorTickMark val="none"/>
        <c:tickLblPos val="nextTo"/>
        <c:crossAx val="1775066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Atrrition.xlsx]Pivotable!PivotTable15</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1" i="0" u="none" strike="noStrike" kern="1200" spc="0" baseline="0">
                <a:solidFill>
                  <a:sysClr val="window" lastClr="FFFFFF"/>
                </a:solidFill>
                <a:latin typeface="Segoe UI" panose="020B0502040204020203" pitchFamily="34" charset="0"/>
                <a:ea typeface="+mn-ea"/>
                <a:cs typeface="Segoe UI" panose="020B0502040204020203" pitchFamily="34" charset="0"/>
              </a:defRPr>
            </a:pPr>
            <a:r>
              <a:rPr lang="en-US" sz="1100" b="1">
                <a:solidFill>
                  <a:schemeClr val="bg1"/>
                </a:solidFill>
                <a:latin typeface="Segoe UI" panose="020B0502040204020203" pitchFamily="34" charset="0"/>
                <a:cs typeface="Segoe UI" panose="020B0502040204020203" pitchFamily="34" charset="0"/>
              </a:rPr>
              <a:t>Average Monthly Income </a:t>
            </a:r>
            <a:r>
              <a:rPr lang="en-US" sz="1100" b="1" i="0" baseline="0">
                <a:effectLst/>
              </a:rPr>
              <a:t>(Attrition)</a:t>
            </a:r>
            <a:endParaRPr lang="en-US" sz="1100">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100" b="1">
                <a:solidFill>
                  <a:sysClr val="window" lastClr="FFFFFF"/>
                </a:solidFill>
                <a:latin typeface="Segoe UI" panose="020B0502040204020203" pitchFamily="34" charset="0"/>
                <a:cs typeface="Segoe UI" panose="020B0502040204020203" pitchFamily="34" charset="0"/>
              </a:defRPr>
            </a:pPr>
            <a:endParaRPr lang="en-US" sz="1100" b="1">
              <a:solidFill>
                <a:schemeClr val="bg1"/>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1" i="0" u="none" strike="noStrike" kern="1200" spc="0" baseline="0">
              <a:solidFill>
                <a:sysClr val="window" lastClr="FFFFFF"/>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a:noFill/>
          </a:ln>
          <a:effectLst/>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r>
                  <a:rPr lang="en-US" sz="1400"/>
                  <a:t>▼</a:t>
                </a:r>
                <a:fld id="{580E67BB-9A7B-44B2-B061-11C579D163A1}" type="VALUE">
                  <a:rPr lang="en-US" sz="1400"/>
                  <a:pPr>
                    <a:defRPr sz="1400" b="1">
                      <a:solidFill>
                        <a:schemeClr val="bg1"/>
                      </a:solidFill>
                      <a:latin typeface="Segoe UI" panose="020B0502040204020203" pitchFamily="34" charset="0"/>
                      <a:cs typeface="Segoe UI" panose="020B0502040204020203" pitchFamily="34" charset="0"/>
                    </a:defRPr>
                  </a:pPr>
                  <a:t>[VALUE]</a:t>
                </a:fld>
                <a:endParaRPr lang="en-US" sz="1400"/>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754820936639117"/>
                  <c:h val="0.29074724049253292"/>
                </c:manualLayout>
              </c15:layout>
              <c15:dlblFieldTable/>
              <c15:showDataLabelsRange val="0"/>
            </c:ext>
          </c:extLst>
        </c:dLbl>
      </c:pivotFmt>
    </c:pivotFmts>
    <c:plotArea>
      <c:layout>
        <c:manualLayout>
          <c:layoutTarget val="inner"/>
          <c:xMode val="edge"/>
          <c:yMode val="edge"/>
          <c:x val="3.0555555555555555E-2"/>
          <c:y val="0.85226851851851848"/>
          <c:w val="0.93888888888888888"/>
          <c:h val="9.6805555555555534E-2"/>
        </c:manualLayout>
      </c:layout>
      <c:barChart>
        <c:barDir val="col"/>
        <c:grouping val="clustered"/>
        <c:varyColors val="0"/>
        <c:ser>
          <c:idx val="0"/>
          <c:order val="0"/>
          <c:tx>
            <c:strRef>
              <c:f>Pivotable!$A$128</c:f>
              <c:strCache>
                <c:ptCount val="1"/>
                <c:pt idx="0">
                  <c:v>Total</c:v>
                </c:pt>
              </c:strCache>
            </c:strRef>
          </c:tx>
          <c:spPr>
            <a:solidFill>
              <a:schemeClr val="accent1"/>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1-DCCA-4475-ACE4-BF2DCF7309C3}"/>
              </c:ext>
            </c:extLst>
          </c:dPt>
          <c:dLbls>
            <c:dLbl>
              <c:idx val="0"/>
              <c:tx>
                <c:rich>
                  <a:bodyPr/>
                  <a:lstStyle/>
                  <a:p>
                    <a:r>
                      <a:rPr lang="en-US" sz="1400"/>
                      <a:t>▼</a:t>
                    </a:r>
                    <a:fld id="{580E67BB-9A7B-44B2-B061-11C579D163A1}" type="VALUE">
                      <a:rPr lang="en-US" sz="1400"/>
                      <a:pPr/>
                      <a:t>[VALUE]</a:t>
                    </a:fld>
                    <a:endParaRPr lang="en-US" sz="1400"/>
                  </a:p>
                </c:rich>
              </c:tx>
              <c:dLblPos val="outEnd"/>
              <c:showLegendKey val="0"/>
              <c:showVal val="1"/>
              <c:showCatName val="0"/>
              <c:showSerName val="0"/>
              <c:showPercent val="0"/>
              <c:showBubbleSize val="0"/>
              <c:extLst>
                <c:ext xmlns:c15="http://schemas.microsoft.com/office/drawing/2012/chart" uri="{CE6537A1-D6FC-4f65-9D91-7224C49458BB}">
                  <c15:layout>
                    <c:manualLayout>
                      <c:w val="0.32754820936639117"/>
                      <c:h val="0.29074724049253292"/>
                    </c:manualLayout>
                  </c15:layout>
                  <c15:dlblFieldTable/>
                  <c15:showDataLabelsRange val="0"/>
                </c:ext>
                <c:ext xmlns:c16="http://schemas.microsoft.com/office/drawing/2014/chart" uri="{C3380CC4-5D6E-409C-BE32-E72D297353CC}">
                  <c16:uniqueId val="{00000001-DCCA-4475-ACE4-BF2DCF7309C3}"/>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Pivotable!$A$129</c:f>
              <c:strCache>
                <c:ptCount val="1"/>
                <c:pt idx="0">
                  <c:v>Total</c:v>
                </c:pt>
              </c:strCache>
            </c:strRef>
          </c:cat>
          <c:val>
            <c:numRef>
              <c:f>Pivotable!$A$129</c:f>
              <c:numCache>
                <c:formatCode>[&gt;=1000000]"$"0.0,,"M";[&gt;=1000]"$"0.0,"K";"$ "0</c:formatCode>
                <c:ptCount val="1"/>
                <c:pt idx="0">
                  <c:v>4787.0928000000004</c:v>
                </c:pt>
              </c:numCache>
            </c:numRef>
          </c:val>
          <c:extLst>
            <c:ext xmlns:c16="http://schemas.microsoft.com/office/drawing/2014/chart" uri="{C3380CC4-5D6E-409C-BE32-E72D297353CC}">
              <c16:uniqueId val="{00000002-DCCA-4475-ACE4-BF2DCF7309C3}"/>
            </c:ext>
          </c:extLst>
        </c:ser>
        <c:dLbls>
          <c:showLegendKey val="0"/>
          <c:showVal val="0"/>
          <c:showCatName val="0"/>
          <c:showSerName val="0"/>
          <c:showPercent val="0"/>
          <c:showBubbleSize val="0"/>
        </c:dLbls>
        <c:gapWidth val="219"/>
        <c:overlap val="-27"/>
        <c:axId val="1775101824"/>
        <c:axId val="1775095168"/>
      </c:barChart>
      <c:catAx>
        <c:axId val="1775101824"/>
        <c:scaling>
          <c:orientation val="minMax"/>
        </c:scaling>
        <c:delete val="1"/>
        <c:axPos val="b"/>
        <c:numFmt formatCode="General" sourceLinked="1"/>
        <c:majorTickMark val="none"/>
        <c:minorTickMark val="none"/>
        <c:tickLblPos val="nextTo"/>
        <c:crossAx val="1775095168"/>
        <c:crosses val="autoZero"/>
        <c:auto val="1"/>
        <c:lblAlgn val="ctr"/>
        <c:lblOffset val="100"/>
        <c:noMultiLvlLbl val="0"/>
      </c:catAx>
      <c:valAx>
        <c:axId val="1775095168"/>
        <c:scaling>
          <c:orientation val="minMax"/>
        </c:scaling>
        <c:delete val="1"/>
        <c:axPos val="l"/>
        <c:numFmt formatCode="[&gt;=1000000]&quot;$&quot;0.0,,&quot;M&quot;;[&gt;=1000]&quot;$&quot;0.0,&quot;K&quot;;&quot;$ &quot;0" sourceLinked="1"/>
        <c:majorTickMark val="none"/>
        <c:minorTickMark val="none"/>
        <c:tickLblPos val="nextTo"/>
        <c:crossAx val="1775101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Atrrition.xlsx]Pivotable!PivotTable4</c:name>
    <c:fmtId val="2"/>
  </c:pivotSource>
  <c:chart>
    <c:title>
      <c:tx>
        <c:rich>
          <a:bodyPr rot="0" vert="horz"/>
          <a:lstStyle/>
          <a:p>
            <a:pPr>
              <a:defRPr/>
            </a:pPr>
            <a:r>
              <a:rPr lang="en-US" sz="1100">
                <a:latin typeface="Segoe UI" panose="020B0502040204020203" pitchFamily="34" charset="0"/>
                <a:cs typeface="Segoe UI" panose="020B0502040204020203" pitchFamily="34" charset="0"/>
              </a:rPr>
              <a:t>Employees who left vs stayed</a:t>
            </a:r>
          </a:p>
        </c:rich>
      </c:tx>
      <c:layout>
        <c:manualLayout>
          <c:xMode val="edge"/>
          <c:yMode val="edge"/>
          <c:x val="1.3357037405488557E-3"/>
          <c:y val="9.2434281647077288E-2"/>
        </c:manualLayout>
      </c:layout>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412E"/>
          </a:solidFill>
          <a:ln w="19050">
            <a:solidFill>
              <a:schemeClr val="lt1"/>
            </a:solidFill>
          </a:ln>
          <a:effectLst/>
        </c:spPr>
        <c:dLbl>
          <c:idx val="0"/>
          <c:layout>
            <c:manualLayout>
              <c:x val="0.14666312280585181"/>
              <c:y val="-2.124766562060799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solidFill>
            <a:srgbClr val="96BF8A"/>
          </a:solidFill>
          <a:ln w="19050">
            <a:solidFill>
              <a:schemeClr val="lt1"/>
            </a:solidFill>
          </a:ln>
          <a:effectLst/>
        </c:spPr>
        <c:dLbl>
          <c:idx val="0"/>
          <c:layout>
            <c:manualLayout>
              <c:x val="-5.780346820809245E-2"/>
              <c:y val="-4.38356290470295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412E"/>
          </a:solidFill>
          <a:ln w="19050">
            <a:solidFill>
              <a:schemeClr val="lt1"/>
            </a:solidFill>
          </a:ln>
          <a:effectLst/>
        </c:spPr>
        <c:dLbl>
          <c:idx val="0"/>
          <c:layout>
            <c:manualLayout>
              <c:x val="0.14666312280585181"/>
              <c:y val="-2.124766562060799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rgbClr val="96BF8A"/>
          </a:solidFill>
          <a:ln w="19050">
            <a:solidFill>
              <a:schemeClr val="lt1"/>
            </a:solidFill>
          </a:ln>
          <a:effectLst/>
        </c:spPr>
        <c:dLbl>
          <c:idx val="0"/>
          <c:layout>
            <c:manualLayout>
              <c:x val="-5.780346820809245E-2"/>
              <c:y val="-4.38356290470295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a:noFill/>
          </a:ln>
        </c:spPr>
        <c:marker>
          <c:symbol val="none"/>
        </c:marker>
        <c:dLbl>
          <c:idx val="0"/>
          <c:spPr>
            <a:noFill/>
            <a:ln>
              <a:noFill/>
            </a:ln>
            <a:effectLst/>
          </c:spPr>
          <c:txPr>
            <a:bodyPr rot="0" vert="horz"/>
            <a:lstStyle/>
            <a:p>
              <a:pPr>
                <a:defRPr b="1">
                  <a:latin typeface="Segoe UI" panose="020B0502040204020203" pitchFamily="34" charset="0"/>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8EAE5"/>
          </a:solidFill>
          <a:ln w="19050">
            <a:noFill/>
          </a:ln>
          <a:effectLst/>
        </c:spPr>
        <c:dLbl>
          <c:idx val="0"/>
          <c:layout>
            <c:manualLayout>
              <c:x val="0.14666312280585181"/>
              <c:y val="-2.1247665620607998E-2"/>
            </c:manualLayout>
          </c:layout>
          <c:spPr>
            <a:noFill/>
            <a:ln>
              <a:noFill/>
            </a:ln>
            <a:effectLst/>
          </c:spPr>
          <c:txPr>
            <a:bodyPr rot="0" vert="horz"/>
            <a:lstStyle/>
            <a:p>
              <a:pPr>
                <a:defRPr b="1">
                  <a:latin typeface="Segoe UI" panose="020B0502040204020203" pitchFamily="34" charset="0"/>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chemeClr val="accent6">
              <a:lumMod val="75000"/>
            </a:schemeClr>
          </a:solidFill>
          <a:ln w="19050">
            <a:noFill/>
          </a:ln>
          <a:effectLst/>
        </c:spPr>
        <c:dLbl>
          <c:idx val="0"/>
          <c:layout>
            <c:manualLayout>
              <c:x val="-5.780346820809245E-2"/>
              <c:y val="-4.3835629047029534E-2"/>
            </c:manualLayout>
          </c:layout>
          <c:spPr>
            <a:noFill/>
            <a:ln>
              <a:noFill/>
            </a:ln>
            <a:effectLst/>
          </c:spPr>
          <c:txPr>
            <a:bodyPr rot="0" vert="horz"/>
            <a:lstStyle/>
            <a:p>
              <a:pPr>
                <a:defRPr b="1">
                  <a:latin typeface="Segoe UI" panose="020B0502040204020203" pitchFamily="34" charset="0"/>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75874045486949"/>
          <c:y val="0.43399560315088392"/>
          <c:w val="0.33679146248534159"/>
          <c:h val="0.44565308898740452"/>
        </c:manualLayout>
      </c:layout>
      <c:doughnutChart>
        <c:varyColors val="1"/>
        <c:ser>
          <c:idx val="0"/>
          <c:order val="0"/>
          <c:tx>
            <c:strRef>
              <c:f>Pivotable!$B$18</c:f>
              <c:strCache>
                <c:ptCount val="1"/>
                <c:pt idx="0">
                  <c:v>Total</c:v>
                </c:pt>
              </c:strCache>
            </c:strRef>
          </c:tx>
          <c:spPr>
            <a:ln>
              <a:noFill/>
            </a:ln>
          </c:spPr>
          <c:explosion val="2"/>
          <c:dPt>
            <c:idx val="0"/>
            <c:bubble3D val="0"/>
            <c:spPr>
              <a:solidFill>
                <a:srgbClr val="E8EAE5"/>
              </a:solidFill>
              <a:ln w="19050">
                <a:noFill/>
              </a:ln>
              <a:effectLst/>
            </c:spPr>
            <c:extLst>
              <c:ext xmlns:c16="http://schemas.microsoft.com/office/drawing/2014/chart" uri="{C3380CC4-5D6E-409C-BE32-E72D297353CC}">
                <c16:uniqueId val="{00000001-FF25-4AF1-BD10-C88C5ADD6C26}"/>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FF25-4AF1-BD10-C88C5ADD6C26}"/>
              </c:ext>
            </c:extLst>
          </c:dPt>
          <c:dLbls>
            <c:dLbl>
              <c:idx val="0"/>
              <c:layout>
                <c:manualLayout>
                  <c:x val="0.14666312280585181"/>
                  <c:y val="-2.1247665620607998E-2"/>
                </c:manualLayout>
              </c:layout>
              <c:spPr>
                <a:noFill/>
                <a:ln>
                  <a:noFill/>
                </a:ln>
                <a:effectLst/>
              </c:spPr>
              <c:txPr>
                <a:bodyPr rot="0" vert="horz"/>
                <a:lstStyle/>
                <a:p>
                  <a:pPr>
                    <a:defRPr b="1">
                      <a:latin typeface="Segoe UI" panose="020B0502040204020203" pitchFamily="34" charset="0"/>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FF25-4AF1-BD10-C88C5ADD6C26}"/>
                </c:ext>
              </c:extLst>
            </c:dLbl>
            <c:dLbl>
              <c:idx val="1"/>
              <c:layout>
                <c:manualLayout>
                  <c:x val="-5.780346820809245E-2"/>
                  <c:y val="-4.38356290470295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F25-4AF1-BD10-C88C5ADD6C26}"/>
                </c:ext>
              </c:extLst>
            </c:dLbl>
            <c:spPr>
              <a:noFill/>
              <a:ln>
                <a:noFill/>
              </a:ln>
              <a:effectLst/>
            </c:spPr>
            <c:txPr>
              <a:bodyPr rot="0" vert="horz"/>
              <a:lstStyle/>
              <a:p>
                <a:pPr>
                  <a:defRPr b="1">
                    <a:latin typeface="Segoe UI" panose="020B0502040204020203" pitchFamily="34" charset="0"/>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Pivotable!$A$19:$A$21</c:f>
              <c:strCache>
                <c:ptCount val="2"/>
                <c:pt idx="0">
                  <c:v>No</c:v>
                </c:pt>
                <c:pt idx="1">
                  <c:v>Yes</c:v>
                </c:pt>
              </c:strCache>
            </c:strRef>
          </c:cat>
          <c:val>
            <c:numRef>
              <c:f>Pivotable!$B$19:$B$21</c:f>
              <c:numCache>
                <c:formatCode>General</c:formatCode>
                <c:ptCount val="2"/>
                <c:pt idx="0">
                  <c:v>1233</c:v>
                </c:pt>
                <c:pt idx="1">
                  <c:v>237</c:v>
                </c:pt>
              </c:numCache>
            </c:numRef>
          </c:val>
          <c:extLst>
            <c:ext xmlns:c16="http://schemas.microsoft.com/office/drawing/2014/chart" uri="{C3380CC4-5D6E-409C-BE32-E72D297353CC}">
              <c16:uniqueId val="{00000004-FF25-4AF1-BD10-C88C5ADD6C26}"/>
            </c:ext>
          </c:extLst>
        </c:ser>
        <c:dLbls>
          <c:showLegendKey val="0"/>
          <c:showVal val="1"/>
          <c:showCatName val="0"/>
          <c:showSerName val="0"/>
          <c:showPercent val="0"/>
          <c:showBubbleSize val="0"/>
          <c:showLeaderLines val="0"/>
        </c:dLbls>
        <c:firstSliceAng val="0"/>
        <c:holeSize val="85"/>
      </c:doughnutChart>
      <c:spPr>
        <a:noFill/>
        <a:ln>
          <a:noFill/>
        </a:ln>
        <a:effectLst/>
      </c:spPr>
    </c:plotArea>
    <c:legend>
      <c:legendPos val="r"/>
      <c:overlay val="0"/>
      <c:spPr>
        <a:noFill/>
        <a:ln>
          <a:noFill/>
        </a:ln>
        <a:effectLst/>
      </c:spPr>
      <c:txPr>
        <a:bodyPr rot="0" vert="horz"/>
        <a:lstStyle/>
        <a:p>
          <a:pPr>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5400000" algn="t" rotWithShape="0">
        <a:prstClr val="black"/>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Atrrition.xlsx]Pivotable!PivotTable12</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Segoe UI" panose="020B0502040204020203" pitchFamily="34" charset="0"/>
                <a:ea typeface="+mn-ea"/>
                <a:cs typeface="Segoe UI" panose="020B0502040204020203" pitchFamily="34" charset="0"/>
              </a:defRPr>
            </a:pPr>
            <a:r>
              <a:rPr lang="en-US" sz="1100" b="1"/>
              <a:t>Employee</a:t>
            </a:r>
            <a:r>
              <a:rPr lang="en-US" sz="1100" b="1" baseline="0"/>
              <a:t> who left early (tenure)</a:t>
            </a:r>
            <a:endParaRPr lang="en-US" sz="1100" b="1"/>
          </a:p>
        </c:rich>
      </c:tx>
      <c:layout>
        <c:manualLayout>
          <c:xMode val="edge"/>
          <c:yMode val="edge"/>
          <c:x val="3.3092933023681067E-3"/>
          <c:y val="2.08510626653787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rgbClr val="E8EA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8EA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8EAE5"/>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0717656714886634E-2"/>
          <c:y val="0.33563780042659774"/>
          <c:w val="0.91856468657022672"/>
          <c:h val="0.50221053779259495"/>
        </c:manualLayout>
      </c:layout>
      <c:barChart>
        <c:barDir val="col"/>
        <c:grouping val="clustered"/>
        <c:varyColors val="0"/>
        <c:ser>
          <c:idx val="0"/>
          <c:order val="0"/>
          <c:tx>
            <c:strRef>
              <c:f>Pivotable!$K$2</c:f>
              <c:strCache>
                <c:ptCount val="1"/>
                <c:pt idx="0">
                  <c:v>Total</c:v>
                </c:pt>
              </c:strCache>
            </c:strRef>
          </c:tx>
          <c:spPr>
            <a:solidFill>
              <a:srgbClr val="E8EAE5"/>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Pivotable!$J$3:$J$7</c:f>
              <c:strCache>
                <c:ptCount val="4"/>
                <c:pt idx="0">
                  <c:v>0-2 Years</c:v>
                </c:pt>
                <c:pt idx="1">
                  <c:v>3-5 Years</c:v>
                </c:pt>
                <c:pt idx="2">
                  <c:v>6-10 Years</c:v>
                </c:pt>
                <c:pt idx="3">
                  <c:v>10+ Years</c:v>
                </c:pt>
              </c:strCache>
            </c:strRef>
          </c:cat>
          <c:val>
            <c:numRef>
              <c:f>Pivotable!$K$3:$K$7</c:f>
              <c:numCache>
                <c:formatCode>General</c:formatCode>
                <c:ptCount val="4"/>
                <c:pt idx="0">
                  <c:v>102</c:v>
                </c:pt>
                <c:pt idx="1">
                  <c:v>60</c:v>
                </c:pt>
                <c:pt idx="2">
                  <c:v>55</c:v>
                </c:pt>
                <c:pt idx="3">
                  <c:v>20</c:v>
                </c:pt>
              </c:numCache>
            </c:numRef>
          </c:val>
          <c:extLst>
            <c:ext xmlns:c16="http://schemas.microsoft.com/office/drawing/2014/chart" uri="{C3380CC4-5D6E-409C-BE32-E72D297353CC}">
              <c16:uniqueId val="{00000000-E6BD-4BE9-ABAB-1D1A82783423}"/>
            </c:ext>
          </c:extLst>
        </c:ser>
        <c:dLbls>
          <c:dLblPos val="outEnd"/>
          <c:showLegendKey val="0"/>
          <c:showVal val="1"/>
          <c:showCatName val="0"/>
          <c:showSerName val="0"/>
          <c:showPercent val="0"/>
          <c:showBubbleSize val="0"/>
        </c:dLbls>
        <c:gapWidth val="441"/>
        <c:overlap val="-27"/>
        <c:axId val="1397479855"/>
        <c:axId val="1397466543"/>
      </c:barChart>
      <c:catAx>
        <c:axId val="1397479855"/>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1397466543"/>
        <c:crosses val="autoZero"/>
        <c:auto val="1"/>
        <c:lblAlgn val="ctr"/>
        <c:lblOffset val="100"/>
        <c:noMultiLvlLbl val="0"/>
      </c:catAx>
      <c:valAx>
        <c:axId val="1397466543"/>
        <c:scaling>
          <c:orientation val="minMax"/>
        </c:scaling>
        <c:delete val="1"/>
        <c:axPos val="l"/>
        <c:numFmt formatCode="General" sourceLinked="1"/>
        <c:majorTickMark val="none"/>
        <c:minorTickMark val="none"/>
        <c:tickLblPos val="nextTo"/>
        <c:crossAx val="13974798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5400000" algn="t" rotWithShape="0">
        <a:prstClr val="black"/>
      </a:outerShdw>
    </a:effectLst>
  </c:spPr>
  <c:txPr>
    <a:bodyPr/>
    <a:lstStyle/>
    <a:p>
      <a:pPr>
        <a:defRPr>
          <a:solidFill>
            <a:schemeClr val="bg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Atrrition.xlsx]Pivotable!PivotTable22</c:name>
    <c:fmtId val="2"/>
  </c:pivotSource>
  <c:chart>
    <c:title>
      <c:tx>
        <c:rich>
          <a:bodyPr rot="0" spcFirstLastPara="1" vertOverflow="ellipsis" vert="horz" wrap="square" anchor="ctr" anchorCtr="1"/>
          <a:lstStyle/>
          <a:p>
            <a:pPr>
              <a:defRPr sz="1400" b="1" i="0" u="none" strike="noStrike" kern="1200" spc="0" baseline="0">
                <a:solidFill>
                  <a:srgbClr val="E8EAE5"/>
                </a:solidFill>
                <a:latin typeface="Segoe UI" panose="020B0502040204020203" pitchFamily="34" charset="0"/>
                <a:ea typeface="+mn-ea"/>
                <a:cs typeface="Segoe UI" panose="020B0502040204020203" pitchFamily="34" charset="0"/>
              </a:defRPr>
            </a:pPr>
            <a:r>
              <a:rPr lang="en-US" sz="1100"/>
              <a:t>Attrition</a:t>
            </a:r>
            <a:r>
              <a:rPr lang="en-US" sz="1100" baseline="0"/>
              <a:t> by Gender vs Age Group</a:t>
            </a:r>
            <a:endParaRPr lang="en-US" sz="1100"/>
          </a:p>
        </c:rich>
      </c:tx>
      <c:layout>
        <c:manualLayout>
          <c:xMode val="edge"/>
          <c:yMode val="edge"/>
          <c:x val="2.6064735046633365E-3"/>
          <c:y val="6.8197034415109223E-4"/>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E8EAE5"/>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rgbClr val="96B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8EA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8EAE5"/>
          </a:solidFill>
          <a:ln>
            <a:noFill/>
          </a:ln>
          <a:effectLst/>
        </c:spPr>
      </c:pivotFmt>
      <c:pivotFmt>
        <c:idx val="3"/>
        <c:spPr>
          <a:solidFill>
            <a:srgbClr val="96B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8EA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solidFill>
              <a:schemeClr val="tx1">
                <a:lumMod val="50000"/>
                <a:lumOff val="50000"/>
                <a:alpha val="0"/>
              </a:schemeClr>
            </a:solid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8EAE5"/>
          </a:solidFill>
          <a:ln>
            <a:noFill/>
          </a:ln>
          <a:effectLst/>
        </c:spPr>
        <c:marker>
          <c:symbol val="none"/>
        </c:marker>
        <c:dLbl>
          <c:idx val="0"/>
          <c:spPr>
            <a:solidFill>
              <a:schemeClr val="tx1">
                <a:lumMod val="50000"/>
                <a:lumOff val="50000"/>
                <a:alpha val="0"/>
              </a:schemeClr>
            </a:solid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8EAE5"/>
          </a:solidFill>
          <a:ln>
            <a:noFill/>
          </a:ln>
          <a:effectLst/>
        </c:spPr>
        <c:dLbl>
          <c:idx val="0"/>
          <c:layout>
            <c:manualLayout>
              <c:x val="3.7984500529239344E-3"/>
              <c:y val="-0.12171402740855075"/>
            </c:manualLayout>
          </c:layout>
          <c:spPr>
            <a:solidFill>
              <a:schemeClr val="tx1">
                <a:lumMod val="50000"/>
                <a:lumOff val="50000"/>
                <a:alpha val="0"/>
              </a:schemeClr>
            </a:solid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pivotFmt>
      <c:pivotFmt>
        <c:idx val="9"/>
        <c:spPr>
          <a:solidFill>
            <a:schemeClr val="accent6">
              <a:lumMod val="75000"/>
            </a:schemeClr>
          </a:solidFill>
          <a:ln>
            <a:noFill/>
          </a:ln>
          <a:effectLst/>
        </c:spPr>
        <c:dLbl>
          <c:idx val="0"/>
          <c:layout>
            <c:manualLayout>
              <c:x val="-3.3696278315339383E-2"/>
              <c:y val="-1.2396655880681366E-16"/>
            </c:manualLayout>
          </c:layout>
          <c:spPr>
            <a:solidFill>
              <a:schemeClr val="tx1">
                <a:lumMod val="50000"/>
                <a:lumOff val="50000"/>
                <a:alpha val="0"/>
              </a:schemeClr>
            </a:solid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dLbl>
          <c:idx val="0"/>
          <c:layout>
            <c:manualLayout>
              <c:x val="-2.9952247391412785E-2"/>
              <c:y val="0"/>
            </c:manualLayout>
          </c:layout>
          <c:spPr>
            <a:solidFill>
              <a:schemeClr val="tx1">
                <a:lumMod val="50000"/>
                <a:lumOff val="50000"/>
                <a:alpha val="0"/>
              </a:schemeClr>
            </a:solid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dLbl>
          <c:idx val="0"/>
          <c:layout>
            <c:manualLayout>
              <c:x val="-1.872015461963299E-2"/>
              <c:y val="2.7047561646344611E-2"/>
            </c:manualLayout>
          </c:layout>
          <c:spPr>
            <a:solidFill>
              <a:schemeClr val="tx1">
                <a:lumMod val="50000"/>
                <a:lumOff val="50000"/>
                <a:alpha val="0"/>
              </a:schemeClr>
            </a:solid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203991903459426E-2"/>
          <c:y val="0.28118525554821067"/>
          <c:w val="0.7943368436816971"/>
          <c:h val="0.52986561824155831"/>
        </c:manualLayout>
      </c:layout>
      <c:barChart>
        <c:barDir val="col"/>
        <c:grouping val="clustered"/>
        <c:varyColors val="0"/>
        <c:ser>
          <c:idx val="0"/>
          <c:order val="0"/>
          <c:tx>
            <c:strRef>
              <c:f>Pivotable!$U$1:$U$2</c:f>
              <c:strCache>
                <c:ptCount val="1"/>
                <c:pt idx="0">
                  <c:v>Female</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7-C92B-4F50-A8BF-5270C750D66C}"/>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6-C92B-4F50-A8BF-5270C750D66C}"/>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C92B-4F50-A8BF-5270C750D66C}"/>
              </c:ext>
            </c:extLst>
          </c:dPt>
          <c:dLbls>
            <c:dLbl>
              <c:idx val="0"/>
              <c:layout>
                <c:manualLayout>
                  <c:x val="-1.872015461963299E-2"/>
                  <c:y val="2.704756164634461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92B-4F50-A8BF-5270C750D66C}"/>
                </c:ext>
              </c:extLst>
            </c:dLbl>
            <c:dLbl>
              <c:idx val="1"/>
              <c:layout>
                <c:manualLayout>
                  <c:x val="-2.9952247391412785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92B-4F50-A8BF-5270C750D66C}"/>
                </c:ext>
              </c:extLst>
            </c:dLbl>
            <c:dLbl>
              <c:idx val="2"/>
              <c:layout>
                <c:manualLayout>
                  <c:x val="-3.3696278315339383E-2"/>
                  <c:y val="-1.2396655880681366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92B-4F50-A8BF-5270C750D66C}"/>
                </c:ext>
              </c:extLst>
            </c:dLbl>
            <c:spPr>
              <a:solidFill>
                <a:schemeClr val="tx1">
                  <a:lumMod val="50000"/>
                  <a:lumOff val="50000"/>
                  <a:alpha val="0"/>
                </a:schemeClr>
              </a:solid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Pivotable!$T$3:$T$8</c:f>
              <c:strCache>
                <c:ptCount val="5"/>
                <c:pt idx="0">
                  <c:v>18-27</c:v>
                </c:pt>
                <c:pt idx="1">
                  <c:v>28-37</c:v>
                </c:pt>
                <c:pt idx="2">
                  <c:v>38-47</c:v>
                </c:pt>
                <c:pt idx="3">
                  <c:v>48-57</c:v>
                </c:pt>
                <c:pt idx="4">
                  <c:v>58-67</c:v>
                </c:pt>
              </c:strCache>
            </c:strRef>
          </c:cat>
          <c:val>
            <c:numRef>
              <c:f>Pivotable!$U$3:$U$8</c:f>
              <c:numCache>
                <c:formatCode>General</c:formatCode>
                <c:ptCount val="5"/>
                <c:pt idx="0">
                  <c:v>79</c:v>
                </c:pt>
                <c:pt idx="1">
                  <c:v>249</c:v>
                </c:pt>
                <c:pt idx="2">
                  <c:v>168</c:v>
                </c:pt>
                <c:pt idx="3">
                  <c:v>78</c:v>
                </c:pt>
                <c:pt idx="4">
                  <c:v>14</c:v>
                </c:pt>
              </c:numCache>
            </c:numRef>
          </c:val>
          <c:extLst>
            <c:ext xmlns:c16="http://schemas.microsoft.com/office/drawing/2014/chart" uri="{C3380CC4-5D6E-409C-BE32-E72D297353CC}">
              <c16:uniqueId val="{00000000-C92B-4F50-A8BF-5270C750D66C}"/>
            </c:ext>
          </c:extLst>
        </c:ser>
        <c:ser>
          <c:idx val="1"/>
          <c:order val="1"/>
          <c:tx>
            <c:strRef>
              <c:f>Pivotable!$V$1:$V$2</c:f>
              <c:strCache>
                <c:ptCount val="1"/>
                <c:pt idx="0">
                  <c:v>Male</c:v>
                </c:pt>
              </c:strCache>
            </c:strRef>
          </c:tx>
          <c:spPr>
            <a:solidFill>
              <a:srgbClr val="E8EAE5"/>
            </a:solidFill>
            <a:ln>
              <a:noFill/>
            </a:ln>
            <a:effectLst/>
          </c:spPr>
          <c:invertIfNegative val="0"/>
          <c:dPt>
            <c:idx val="4"/>
            <c:invertIfNegative val="0"/>
            <c:bubble3D val="0"/>
            <c:spPr>
              <a:solidFill>
                <a:srgbClr val="E8EAE5"/>
              </a:solidFill>
              <a:ln>
                <a:noFill/>
              </a:ln>
              <a:effectLst/>
            </c:spPr>
            <c:extLst>
              <c:ext xmlns:c16="http://schemas.microsoft.com/office/drawing/2014/chart" uri="{C3380CC4-5D6E-409C-BE32-E72D297353CC}">
                <c16:uniqueId val="{00000003-C92B-4F50-A8BF-5270C750D66C}"/>
              </c:ext>
            </c:extLst>
          </c:dPt>
          <c:dLbls>
            <c:dLbl>
              <c:idx val="4"/>
              <c:layout>
                <c:manualLayout>
                  <c:x val="3.7984500529239344E-3"/>
                  <c:y val="-0.1217140274085507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92B-4F50-A8BF-5270C750D66C}"/>
                </c:ext>
              </c:extLst>
            </c:dLbl>
            <c:spPr>
              <a:solidFill>
                <a:schemeClr val="tx1">
                  <a:lumMod val="50000"/>
                  <a:lumOff val="50000"/>
                  <a:alpha val="0"/>
                </a:schemeClr>
              </a:solid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Pivotable!$T$3:$T$8</c:f>
              <c:strCache>
                <c:ptCount val="5"/>
                <c:pt idx="0">
                  <c:v>18-27</c:v>
                </c:pt>
                <c:pt idx="1">
                  <c:v>28-37</c:v>
                </c:pt>
                <c:pt idx="2">
                  <c:v>38-47</c:v>
                </c:pt>
                <c:pt idx="3">
                  <c:v>48-57</c:v>
                </c:pt>
                <c:pt idx="4">
                  <c:v>58-67</c:v>
                </c:pt>
              </c:strCache>
            </c:strRef>
          </c:cat>
          <c:val>
            <c:numRef>
              <c:f>Pivotable!$V$3:$V$8</c:f>
              <c:numCache>
                <c:formatCode>General</c:formatCode>
                <c:ptCount val="5"/>
                <c:pt idx="0">
                  <c:v>131</c:v>
                </c:pt>
                <c:pt idx="1">
                  <c:v>389</c:v>
                </c:pt>
                <c:pt idx="2">
                  <c:v>238</c:v>
                </c:pt>
                <c:pt idx="3">
                  <c:v>109</c:v>
                </c:pt>
                <c:pt idx="4">
                  <c:v>15</c:v>
                </c:pt>
              </c:numCache>
            </c:numRef>
          </c:val>
          <c:extLst>
            <c:ext xmlns:c16="http://schemas.microsoft.com/office/drawing/2014/chart" uri="{C3380CC4-5D6E-409C-BE32-E72D297353CC}">
              <c16:uniqueId val="{00000001-C92B-4F50-A8BF-5270C750D66C}"/>
            </c:ext>
          </c:extLst>
        </c:ser>
        <c:dLbls>
          <c:dLblPos val="outEnd"/>
          <c:showLegendKey val="0"/>
          <c:showVal val="1"/>
          <c:showCatName val="0"/>
          <c:showSerName val="0"/>
          <c:showPercent val="0"/>
          <c:showBubbleSize val="0"/>
        </c:dLbls>
        <c:gapWidth val="330"/>
        <c:overlap val="-11"/>
        <c:axId val="518041040"/>
        <c:axId val="518045616"/>
      </c:barChart>
      <c:catAx>
        <c:axId val="5180410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crossAx val="518045616"/>
        <c:crosses val="autoZero"/>
        <c:auto val="1"/>
        <c:lblAlgn val="ctr"/>
        <c:lblOffset val="100"/>
        <c:noMultiLvlLbl val="0"/>
      </c:catAx>
      <c:valAx>
        <c:axId val="518045616"/>
        <c:scaling>
          <c:orientation val="minMax"/>
        </c:scaling>
        <c:delete val="1"/>
        <c:axPos val="l"/>
        <c:numFmt formatCode="General" sourceLinked="1"/>
        <c:majorTickMark val="none"/>
        <c:minorTickMark val="none"/>
        <c:tickLblPos val="nextTo"/>
        <c:crossAx val="518041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5400000" algn="t" rotWithShape="0">
        <a:prstClr val="black"/>
      </a:outerShdw>
    </a:effectLst>
  </c:spPr>
  <c:txPr>
    <a:bodyPr/>
    <a:lstStyle/>
    <a:p>
      <a:pPr>
        <a:defRPr b="1">
          <a:solidFill>
            <a:srgbClr val="E8EAE5"/>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Atrrition.xlsx]Pivotable!PivotTable24</c:name>
    <c:fmtId val="2"/>
  </c:pivotSource>
  <c:chart>
    <c:title>
      <c:tx>
        <c:rich>
          <a:bodyPr rot="0" spcFirstLastPara="1" vertOverflow="ellipsis" vert="horz" wrap="square" anchor="ctr" anchorCtr="1"/>
          <a:lstStyle/>
          <a:p>
            <a:pPr>
              <a:defRPr sz="1400" b="1" i="0" u="none" strike="noStrike" kern="1200" spc="0" baseline="0">
                <a:solidFill>
                  <a:srgbClr val="E8EAE5"/>
                </a:solidFill>
                <a:latin typeface="Segoe UI" panose="020B0502040204020203" pitchFamily="34" charset="0"/>
                <a:ea typeface="+mn-ea"/>
                <a:cs typeface="Segoe UI" panose="020B0502040204020203" pitchFamily="34" charset="0"/>
              </a:defRPr>
            </a:pPr>
            <a:r>
              <a:rPr lang="en-US" sz="1100"/>
              <a:t>Education Level vs Avg. Monthly Income</a:t>
            </a:r>
          </a:p>
        </c:rich>
      </c:tx>
      <c:layout>
        <c:manualLayout>
          <c:xMode val="edge"/>
          <c:yMode val="edge"/>
          <c:x val="1.981746420170921E-3"/>
          <c:y val="6.8411869620982084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E8EAE5"/>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rgbClr val="96B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E8EAE5"/>
            </a:solidFill>
            <a:prstDash val="sysDot"/>
            <a:round/>
          </a:ln>
          <a:effectLst/>
        </c:spPr>
        <c:marker>
          <c:symbol val="circle"/>
          <c:size val="7"/>
          <c:spPr>
            <a:solidFill>
              <a:srgbClr val="96BF8A"/>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6BF8A"/>
          </a:solidFill>
          <a:ln>
            <a:noFill/>
          </a:ln>
          <a:effectLst/>
        </c:spPr>
      </c:pivotFmt>
      <c:pivotFmt>
        <c:idx val="3"/>
        <c:spPr>
          <a:solidFill>
            <a:srgbClr val="96B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E8EAE5"/>
            </a:solidFill>
            <a:prstDash val="sysDot"/>
            <a:round/>
          </a:ln>
          <a:effectLst/>
        </c:spPr>
        <c:marker>
          <c:symbol val="circle"/>
          <c:size val="7"/>
          <c:spPr>
            <a:solidFill>
              <a:srgbClr val="96BF8A"/>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noFill/>
            <a:prstDash val="sysDot"/>
            <a:round/>
          </a:ln>
          <a:effectLst/>
        </c:spPr>
        <c:marker>
          <c:symbol val="circle"/>
          <c:size val="5"/>
          <c:spPr>
            <a:solidFill>
              <a:srgbClr val="E8EAE5"/>
            </a:solidFill>
            <a:ln w="9525">
              <a:no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noFill/>
            <a:prstDash val="sysDot"/>
            <a:round/>
          </a:ln>
          <a:effectLst/>
        </c:spPr>
        <c:marker>
          <c:symbol val="circle"/>
          <c:size val="5"/>
          <c:spPr>
            <a:solidFill>
              <a:srgbClr val="E8EAE5"/>
            </a:solidFill>
            <a:ln w="9525">
              <a:noFill/>
            </a:ln>
            <a:effectLst/>
          </c:spPr>
        </c:marker>
        <c:dLbl>
          <c:idx val="0"/>
          <c:layout>
            <c:manualLayout>
              <c:x val="-5.7493320054036408E-2"/>
              <c:y val="-8.2094243545178497E-2"/>
            </c:manualLayout>
          </c:layout>
          <c:spPr>
            <a:no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noFill/>
            <a:prstDash val="sysDot"/>
            <a:round/>
          </a:ln>
          <a:effectLst/>
        </c:spPr>
        <c:marker>
          <c:symbol val="circle"/>
          <c:size val="5"/>
          <c:spPr>
            <a:solidFill>
              <a:srgbClr val="E8EAE5"/>
            </a:solidFill>
            <a:ln w="9525">
              <a:noFill/>
            </a:ln>
            <a:effectLst/>
          </c:spPr>
        </c:marker>
        <c:dLbl>
          <c:idx val="0"/>
          <c:layout>
            <c:manualLayout>
              <c:x val="-5.4879987324307489E-2"/>
              <c:y val="-8.2094243545178497E-2"/>
            </c:manualLayout>
          </c:layout>
          <c:spPr>
            <a:no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noFill/>
            <a:prstDash val="sysDot"/>
            <a:round/>
          </a:ln>
          <a:effectLst/>
        </c:spPr>
        <c:marker>
          <c:symbol val="circle"/>
          <c:size val="5"/>
          <c:spPr>
            <a:solidFill>
              <a:srgbClr val="E8EAE5"/>
            </a:solidFill>
            <a:ln w="9525">
              <a:noFill/>
            </a:ln>
            <a:effectLst/>
          </c:spPr>
        </c:marker>
        <c:dLbl>
          <c:idx val="0"/>
          <c:layout>
            <c:manualLayout>
              <c:x val="2.6133327297289234E-3"/>
              <c:y val="6.8411869620982084E-3"/>
            </c:manualLayout>
          </c:layout>
          <c:spPr>
            <a:no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noFill/>
            <a:prstDash val="sysDot"/>
            <a:round/>
          </a:ln>
          <a:effectLst/>
        </c:spPr>
        <c:marker>
          <c:symbol val="circle"/>
          <c:size val="5"/>
          <c:spPr>
            <a:solidFill>
              <a:srgbClr val="E8EAE5"/>
            </a:solidFill>
            <a:ln w="9525">
              <a:noFill/>
            </a:ln>
            <a:effectLst/>
          </c:spPr>
        </c:marker>
        <c:dLbl>
          <c:idx val="0"/>
          <c:layout>
            <c:manualLayout>
              <c:x val="-4.7039989135120669E-2"/>
              <c:y val="-8.2094243545178497E-2"/>
            </c:manualLayout>
          </c:layout>
          <c:spPr>
            <a:no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noFill/>
            <a:prstDash val="sysDot"/>
            <a:round/>
          </a:ln>
          <a:effectLst/>
        </c:spPr>
        <c:marker>
          <c:symbol val="circle"/>
          <c:size val="5"/>
          <c:spPr>
            <a:solidFill>
              <a:srgbClr val="E8EAE5"/>
            </a:solidFill>
            <a:ln w="9525">
              <a:noFill/>
            </a:ln>
            <a:effectLst/>
          </c:spPr>
        </c:marker>
        <c:dLbl>
          <c:idx val="0"/>
          <c:layout>
            <c:manualLayout>
              <c:x val="-4.4426656405391694E-2"/>
              <c:y val="-8.8935430507276772E-2"/>
            </c:manualLayout>
          </c:layout>
          <c:spPr>
            <a:no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dLbl>
          <c:idx val="0"/>
          <c:layout>
            <c:manualLayout>
              <c:x val="0"/>
              <c:y val="3.4205934810491105E-2"/>
            </c:manualLayout>
          </c:layout>
          <c:spPr>
            <a:no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dLbl>
          <c:idx val="0"/>
          <c:layout>
            <c:manualLayout>
              <c:x val="0"/>
              <c:y val="1.3682373924196292E-2"/>
            </c:manualLayout>
          </c:layout>
          <c:spPr>
            <a:no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dLbl>
          <c:idx val="0"/>
          <c:layout>
            <c:manualLayout>
              <c:x val="-9.5821093156615644E-17"/>
              <c:y val="4.1047121772589248E-2"/>
            </c:manualLayout>
          </c:layout>
          <c:spPr>
            <a:no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793200844329182E-2"/>
          <c:y val="0.27795742627005021"/>
          <c:w val="0.78982450963175532"/>
          <c:h val="0.50371821204770739"/>
        </c:manualLayout>
      </c:layout>
      <c:barChart>
        <c:barDir val="col"/>
        <c:grouping val="clustered"/>
        <c:varyColors val="0"/>
        <c:ser>
          <c:idx val="0"/>
          <c:order val="0"/>
          <c:tx>
            <c:strRef>
              <c:f>Pivotable!$U$34</c:f>
              <c:strCache>
                <c:ptCount val="1"/>
                <c:pt idx="0">
                  <c:v>Sum of total</c:v>
                </c:pt>
              </c:strCache>
            </c:strRef>
          </c:tx>
          <c:spPr>
            <a:solidFill>
              <a:schemeClr val="accent6">
                <a:lumMod val="75000"/>
              </a:schemeClr>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9-C17C-4FC6-895D-EBBD5FC0FC62}"/>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8-C17C-4FC6-895D-EBBD5FC0FC62}"/>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A-C17C-4FC6-895D-EBBD5FC0FC62}"/>
              </c:ext>
            </c:extLst>
          </c:dPt>
          <c:dLbls>
            <c:dLbl>
              <c:idx val="0"/>
              <c:layout>
                <c:manualLayout>
                  <c:x val="0"/>
                  <c:y val="1.368237392419629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17C-4FC6-895D-EBBD5FC0FC62}"/>
                </c:ext>
              </c:extLst>
            </c:dLbl>
            <c:dLbl>
              <c:idx val="1"/>
              <c:layout>
                <c:manualLayout>
                  <c:x val="0"/>
                  <c:y val="3.420593481049110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17C-4FC6-895D-EBBD5FC0FC62}"/>
                </c:ext>
              </c:extLst>
            </c:dLbl>
            <c:dLbl>
              <c:idx val="3"/>
              <c:layout>
                <c:manualLayout>
                  <c:x val="-9.5821093156615644E-17"/>
                  <c:y val="4.104712177258924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17C-4FC6-895D-EBBD5FC0FC62}"/>
                </c:ext>
              </c:extLst>
            </c:dLbl>
            <c:spPr>
              <a:no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Pivotable!$T$35:$T$40</c:f>
              <c:strCache>
                <c:ptCount val="5"/>
                <c:pt idx="0">
                  <c:v>Below College</c:v>
                </c:pt>
                <c:pt idx="1">
                  <c:v>College</c:v>
                </c:pt>
                <c:pt idx="2">
                  <c:v>Bachelor's</c:v>
                </c:pt>
                <c:pt idx="3">
                  <c:v>Master's</c:v>
                </c:pt>
                <c:pt idx="4">
                  <c:v>Doctorate</c:v>
                </c:pt>
              </c:strCache>
            </c:strRef>
          </c:cat>
          <c:val>
            <c:numRef>
              <c:f>Pivotable!$U$35:$U$40</c:f>
              <c:numCache>
                <c:formatCode>General</c:formatCode>
                <c:ptCount val="5"/>
                <c:pt idx="0">
                  <c:v>31</c:v>
                </c:pt>
                <c:pt idx="1">
                  <c:v>44</c:v>
                </c:pt>
                <c:pt idx="2">
                  <c:v>99</c:v>
                </c:pt>
                <c:pt idx="3">
                  <c:v>58</c:v>
                </c:pt>
                <c:pt idx="4">
                  <c:v>5</c:v>
                </c:pt>
              </c:numCache>
            </c:numRef>
          </c:val>
          <c:extLst>
            <c:ext xmlns:c16="http://schemas.microsoft.com/office/drawing/2014/chart" uri="{C3380CC4-5D6E-409C-BE32-E72D297353CC}">
              <c16:uniqueId val="{00000000-C17C-4FC6-895D-EBBD5FC0FC62}"/>
            </c:ext>
          </c:extLst>
        </c:ser>
        <c:dLbls>
          <c:dLblPos val="inBase"/>
          <c:showLegendKey val="0"/>
          <c:showVal val="1"/>
          <c:showCatName val="0"/>
          <c:showSerName val="0"/>
          <c:showPercent val="0"/>
          <c:showBubbleSize val="0"/>
        </c:dLbls>
        <c:gapWidth val="350"/>
        <c:overlap val="-27"/>
        <c:axId val="716148496"/>
        <c:axId val="716146416"/>
      </c:barChart>
      <c:lineChart>
        <c:grouping val="standard"/>
        <c:varyColors val="0"/>
        <c:ser>
          <c:idx val="1"/>
          <c:order val="1"/>
          <c:tx>
            <c:strRef>
              <c:f>Pivotable!$V$34</c:f>
              <c:strCache>
                <c:ptCount val="1"/>
                <c:pt idx="0">
                  <c:v>Sum of AVG(MonthlyIncome)</c:v>
                </c:pt>
              </c:strCache>
            </c:strRef>
          </c:tx>
          <c:spPr>
            <a:ln w="28575" cap="rnd">
              <a:noFill/>
              <a:prstDash val="sysDot"/>
              <a:round/>
            </a:ln>
            <a:effectLst/>
          </c:spPr>
          <c:marker>
            <c:symbol val="circle"/>
            <c:size val="5"/>
            <c:spPr>
              <a:solidFill>
                <a:srgbClr val="E8EAE5"/>
              </a:solidFill>
              <a:ln w="9525">
                <a:noFill/>
              </a:ln>
              <a:effectLst/>
            </c:spPr>
          </c:marker>
          <c:dPt>
            <c:idx val="0"/>
            <c:marker>
              <c:symbol val="circle"/>
              <c:size val="5"/>
              <c:spPr>
                <a:solidFill>
                  <a:srgbClr val="E8EAE5"/>
                </a:solidFill>
                <a:ln w="9525">
                  <a:noFill/>
                </a:ln>
                <a:effectLst/>
              </c:spPr>
            </c:marker>
            <c:bubble3D val="0"/>
            <c:spPr>
              <a:ln w="28575" cap="rnd">
                <a:noFill/>
                <a:prstDash val="sysDot"/>
                <a:round/>
              </a:ln>
              <a:effectLst/>
            </c:spPr>
            <c:extLst>
              <c:ext xmlns:c16="http://schemas.microsoft.com/office/drawing/2014/chart" uri="{C3380CC4-5D6E-409C-BE32-E72D297353CC}">
                <c16:uniqueId val="{00000007-C17C-4FC6-895D-EBBD5FC0FC62}"/>
              </c:ext>
            </c:extLst>
          </c:dPt>
          <c:dPt>
            <c:idx val="1"/>
            <c:marker>
              <c:symbol val="circle"/>
              <c:size val="5"/>
              <c:spPr>
                <a:solidFill>
                  <a:srgbClr val="E8EAE5"/>
                </a:solidFill>
                <a:ln w="9525">
                  <a:noFill/>
                </a:ln>
                <a:effectLst/>
              </c:spPr>
            </c:marker>
            <c:bubble3D val="0"/>
            <c:spPr>
              <a:ln w="28575" cap="rnd">
                <a:noFill/>
                <a:prstDash val="sysDot"/>
                <a:round/>
              </a:ln>
              <a:effectLst/>
            </c:spPr>
            <c:extLst>
              <c:ext xmlns:c16="http://schemas.microsoft.com/office/drawing/2014/chart" uri="{C3380CC4-5D6E-409C-BE32-E72D297353CC}">
                <c16:uniqueId val="{00000006-C17C-4FC6-895D-EBBD5FC0FC62}"/>
              </c:ext>
            </c:extLst>
          </c:dPt>
          <c:dPt>
            <c:idx val="2"/>
            <c:marker>
              <c:symbol val="circle"/>
              <c:size val="5"/>
              <c:spPr>
                <a:solidFill>
                  <a:srgbClr val="E8EAE5"/>
                </a:solidFill>
                <a:ln w="9525">
                  <a:noFill/>
                </a:ln>
                <a:effectLst/>
              </c:spPr>
            </c:marker>
            <c:bubble3D val="0"/>
            <c:spPr>
              <a:ln w="28575" cap="rnd">
                <a:noFill/>
                <a:prstDash val="sysDot"/>
                <a:round/>
              </a:ln>
              <a:effectLst/>
            </c:spPr>
            <c:extLst>
              <c:ext xmlns:c16="http://schemas.microsoft.com/office/drawing/2014/chart" uri="{C3380CC4-5D6E-409C-BE32-E72D297353CC}">
                <c16:uniqueId val="{00000005-C17C-4FC6-895D-EBBD5FC0FC62}"/>
              </c:ext>
            </c:extLst>
          </c:dPt>
          <c:dPt>
            <c:idx val="3"/>
            <c:marker>
              <c:symbol val="circle"/>
              <c:size val="5"/>
              <c:spPr>
                <a:solidFill>
                  <a:srgbClr val="E8EAE5"/>
                </a:solidFill>
                <a:ln w="9525">
                  <a:noFill/>
                </a:ln>
                <a:effectLst/>
              </c:spPr>
            </c:marker>
            <c:bubble3D val="0"/>
            <c:spPr>
              <a:ln w="28575" cap="rnd">
                <a:noFill/>
                <a:prstDash val="sysDot"/>
                <a:round/>
              </a:ln>
              <a:effectLst/>
            </c:spPr>
            <c:extLst>
              <c:ext xmlns:c16="http://schemas.microsoft.com/office/drawing/2014/chart" uri="{C3380CC4-5D6E-409C-BE32-E72D297353CC}">
                <c16:uniqueId val="{00000004-C17C-4FC6-895D-EBBD5FC0FC62}"/>
              </c:ext>
            </c:extLst>
          </c:dPt>
          <c:dPt>
            <c:idx val="4"/>
            <c:marker>
              <c:symbol val="circle"/>
              <c:size val="5"/>
              <c:spPr>
                <a:solidFill>
                  <a:srgbClr val="E8EAE5"/>
                </a:solidFill>
                <a:ln w="9525">
                  <a:noFill/>
                </a:ln>
                <a:effectLst/>
              </c:spPr>
            </c:marker>
            <c:bubble3D val="0"/>
            <c:spPr>
              <a:ln w="28575" cap="rnd">
                <a:noFill/>
                <a:prstDash val="sysDot"/>
                <a:round/>
              </a:ln>
              <a:effectLst/>
            </c:spPr>
            <c:extLst>
              <c:ext xmlns:c16="http://schemas.microsoft.com/office/drawing/2014/chart" uri="{C3380CC4-5D6E-409C-BE32-E72D297353CC}">
                <c16:uniqueId val="{00000003-C17C-4FC6-895D-EBBD5FC0FC62}"/>
              </c:ext>
            </c:extLst>
          </c:dPt>
          <c:dLbls>
            <c:dLbl>
              <c:idx val="0"/>
              <c:layout>
                <c:manualLayout>
                  <c:x val="-4.4426656405391694E-2"/>
                  <c:y val="-8.8935430507276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17C-4FC6-895D-EBBD5FC0FC62}"/>
                </c:ext>
              </c:extLst>
            </c:dLbl>
            <c:dLbl>
              <c:idx val="1"/>
              <c:layout>
                <c:manualLayout>
                  <c:x val="-4.7039989135120669E-2"/>
                  <c:y val="-8.20942435451784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17C-4FC6-895D-EBBD5FC0FC62}"/>
                </c:ext>
              </c:extLst>
            </c:dLbl>
            <c:dLbl>
              <c:idx val="2"/>
              <c:layout>
                <c:manualLayout>
                  <c:x val="2.6133327297289234E-3"/>
                  <c:y val="6.841186962098208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17C-4FC6-895D-EBBD5FC0FC62}"/>
                </c:ext>
              </c:extLst>
            </c:dLbl>
            <c:dLbl>
              <c:idx val="3"/>
              <c:layout>
                <c:manualLayout>
                  <c:x val="-5.4879987324307489E-2"/>
                  <c:y val="-8.20942435451784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17C-4FC6-895D-EBBD5FC0FC62}"/>
                </c:ext>
              </c:extLst>
            </c:dLbl>
            <c:dLbl>
              <c:idx val="4"/>
              <c:layout>
                <c:manualLayout>
                  <c:x val="-5.7493320054036408E-2"/>
                  <c:y val="-8.209424354517849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17C-4FC6-895D-EBBD5FC0FC62}"/>
                </c:ext>
              </c:extLst>
            </c:dLbl>
            <c:spPr>
              <a:no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Pivotable!$T$35:$T$40</c:f>
              <c:strCache>
                <c:ptCount val="5"/>
                <c:pt idx="0">
                  <c:v>Below College</c:v>
                </c:pt>
                <c:pt idx="1">
                  <c:v>College</c:v>
                </c:pt>
                <c:pt idx="2">
                  <c:v>Bachelor's</c:v>
                </c:pt>
                <c:pt idx="3">
                  <c:v>Master's</c:v>
                </c:pt>
                <c:pt idx="4">
                  <c:v>Doctorate</c:v>
                </c:pt>
              </c:strCache>
            </c:strRef>
          </c:cat>
          <c:val>
            <c:numRef>
              <c:f>Pivotable!$V$35:$V$40</c:f>
              <c:numCache>
                <c:formatCode>[&gt;=1000000]"$"0.0,,"M";[&gt;=1000]"$"0.0,"K";"$ "0</c:formatCode>
                <c:ptCount val="5"/>
                <c:pt idx="0">
                  <c:v>4360.1612999999998</c:v>
                </c:pt>
                <c:pt idx="1">
                  <c:v>4282.5455000000002</c:v>
                </c:pt>
                <c:pt idx="2">
                  <c:v>4770.2424000000001</c:v>
                </c:pt>
                <c:pt idx="3">
                  <c:v>5335.1552000000001</c:v>
                </c:pt>
                <c:pt idx="4">
                  <c:v>5850.2</c:v>
                </c:pt>
              </c:numCache>
            </c:numRef>
          </c:val>
          <c:smooth val="0"/>
          <c:extLst>
            <c:ext xmlns:c16="http://schemas.microsoft.com/office/drawing/2014/chart" uri="{C3380CC4-5D6E-409C-BE32-E72D297353CC}">
              <c16:uniqueId val="{00000001-C17C-4FC6-895D-EBBD5FC0FC62}"/>
            </c:ext>
          </c:extLst>
        </c:ser>
        <c:dLbls>
          <c:showLegendKey val="0"/>
          <c:showVal val="1"/>
          <c:showCatName val="0"/>
          <c:showSerName val="0"/>
          <c:showPercent val="0"/>
          <c:showBubbleSize val="0"/>
        </c:dLbls>
        <c:marker val="1"/>
        <c:smooth val="0"/>
        <c:axId val="716162224"/>
        <c:axId val="716161808"/>
      </c:lineChart>
      <c:catAx>
        <c:axId val="716148496"/>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crossAx val="716146416"/>
        <c:crosses val="autoZero"/>
        <c:auto val="1"/>
        <c:lblAlgn val="ctr"/>
        <c:lblOffset val="100"/>
        <c:noMultiLvlLbl val="0"/>
      </c:catAx>
      <c:valAx>
        <c:axId val="7161464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crossAx val="716148496"/>
        <c:crosses val="autoZero"/>
        <c:crossBetween val="between"/>
      </c:valAx>
      <c:valAx>
        <c:axId val="716161808"/>
        <c:scaling>
          <c:orientation val="minMax"/>
        </c:scaling>
        <c:delete val="0"/>
        <c:axPos val="r"/>
        <c:numFmt formatCode="[&gt;=1000000]&quot;$&quot;0.0,,&quot;M&quot;;[&gt;=1000]&quot;$&quot;0.0,&quot;K&quot;;&quot;$ &quot;0"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crossAx val="716162224"/>
        <c:crosses val="max"/>
        <c:crossBetween val="between"/>
      </c:valAx>
      <c:catAx>
        <c:axId val="716162224"/>
        <c:scaling>
          <c:orientation val="minMax"/>
        </c:scaling>
        <c:delete val="1"/>
        <c:axPos val="t"/>
        <c:numFmt formatCode="General" sourceLinked="1"/>
        <c:majorTickMark val="out"/>
        <c:minorTickMark val="none"/>
        <c:tickLblPos val="nextTo"/>
        <c:crossAx val="716161808"/>
        <c:crosses val="max"/>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14040000" algn="tl" rotWithShape="0">
        <a:prstClr val="black">
          <a:alpha val="98000"/>
        </a:prstClr>
      </a:outerShdw>
    </a:effectLst>
  </c:spPr>
  <c:txPr>
    <a:bodyPr/>
    <a:lstStyle/>
    <a:p>
      <a:pPr>
        <a:defRPr b="1">
          <a:solidFill>
            <a:srgbClr val="E8EAE5"/>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100" b="1">
                <a:latin typeface="Segoe UI" panose="020B0502040204020203" pitchFamily="34" charset="0"/>
                <a:cs typeface="Segoe UI" panose="020B0502040204020203" pitchFamily="34" charset="0"/>
              </a:rPr>
              <a:t>Retention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3.0555555555555555E-2"/>
          <c:y val="0.45746126922330044"/>
          <c:w val="0.93888888888888888"/>
          <c:h val="0.4314623522483822"/>
        </c:manualLayout>
      </c:layout>
      <c:barChart>
        <c:barDir val="col"/>
        <c:grouping val="clustered"/>
        <c:varyColors val="0"/>
        <c:ser>
          <c:idx val="0"/>
          <c:order val="0"/>
          <c:spPr>
            <a:noFill/>
            <a:ln>
              <a:noFill/>
            </a:ln>
            <a:effectLst/>
          </c:spPr>
          <c:invertIfNegative val="0"/>
          <c:dLbls>
            <c:dLbl>
              <c:idx val="0"/>
              <c:layout>
                <c:manualLayout>
                  <c:x val="-3.5487959442332066E-2"/>
                  <c:y val="-9.1895563723186689E-17"/>
                </c:manualLayout>
              </c:layout>
              <c:tx>
                <c:rich>
                  <a:bodyPr/>
                  <a:lstStyle/>
                  <a:p>
                    <a:r>
                      <a:rPr lang="en-US" sz="1400" b="1">
                        <a:solidFill>
                          <a:srgbClr val="96BF8A"/>
                        </a:solidFill>
                        <a:latin typeface="Segoe UI" panose="020B0502040204020203" pitchFamily="34" charset="0"/>
                        <a:cs typeface="Segoe UI" panose="020B0502040204020203" pitchFamily="34" charset="0"/>
                      </a:rPr>
                      <a:t>▲</a:t>
                    </a:r>
                    <a:fld id="{C85F9E55-0EE4-4D84-A3D6-B9AFE4786536}" type="VALUE">
                      <a:rPr lang="en-US" sz="1400" b="1">
                        <a:latin typeface="Segoe UI" panose="020B0502040204020203" pitchFamily="34" charset="0"/>
                        <a:cs typeface="Segoe UI" panose="020B0502040204020203" pitchFamily="34" charset="0"/>
                      </a:rPr>
                      <a:pPr/>
                      <a:t>[VALUE]</a:t>
                    </a:fld>
                    <a:endParaRPr lang="en-US" sz="1400" b="1">
                      <a:solidFill>
                        <a:srgbClr val="96BF8A"/>
                      </a:solidFill>
                      <a:latin typeface="Segoe UI" panose="020B0502040204020203" pitchFamily="34" charset="0"/>
                      <a:cs typeface="Segoe UI" panose="020B0502040204020203" pitchFamily="34" charset="0"/>
                    </a:endParaRPr>
                  </a:p>
                </c:rich>
              </c:tx>
              <c:dLblPos val="outEnd"/>
              <c:showLegendKey val="0"/>
              <c:showVal val="1"/>
              <c:showCatName val="0"/>
              <c:showSerName val="0"/>
              <c:showPercent val="0"/>
              <c:showBubbleSize val="0"/>
              <c:extLst>
                <c:ext xmlns:c15="http://schemas.microsoft.com/office/drawing/2012/chart" uri="{CE6537A1-D6FC-4f65-9D91-7224C49458BB}">
                  <c15:layout>
                    <c:manualLayout>
                      <c:w val="0.30038022813688214"/>
                      <c:h val="0.43348473581923902"/>
                    </c:manualLayout>
                  </c15:layout>
                  <c15:dlblFieldTable/>
                  <c15:showDataLabelsRange val="0"/>
                </c:ext>
                <c:ext xmlns:c16="http://schemas.microsoft.com/office/drawing/2014/chart" uri="{C3380CC4-5D6E-409C-BE32-E72D297353CC}">
                  <c16:uniqueId val="{00000002-8998-4DAE-90F9-CEB2952132F0}"/>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Pivotable!$D$117</c:f>
              <c:numCache>
                <c:formatCode>General</c:formatCode>
                <c:ptCount val="1"/>
              </c:numCache>
            </c:numRef>
          </c:val>
          <c:extLst>
            <c:ext xmlns:c16="http://schemas.microsoft.com/office/drawing/2014/chart" uri="{C3380CC4-5D6E-409C-BE32-E72D297353CC}">
              <c16:uniqueId val="{00000000-8998-4DAE-90F9-CEB2952132F0}"/>
            </c:ext>
          </c:extLst>
        </c:ser>
        <c:dLbls>
          <c:showLegendKey val="0"/>
          <c:showVal val="0"/>
          <c:showCatName val="0"/>
          <c:showSerName val="0"/>
          <c:showPercent val="0"/>
          <c:showBubbleSize val="0"/>
        </c:dLbls>
        <c:gapWidth val="182"/>
        <c:axId val="2131497456"/>
        <c:axId val="2131502448"/>
      </c:barChart>
      <c:catAx>
        <c:axId val="2131497456"/>
        <c:scaling>
          <c:orientation val="minMax"/>
        </c:scaling>
        <c:delete val="1"/>
        <c:axPos val="b"/>
        <c:numFmt formatCode="General" sourceLinked="1"/>
        <c:majorTickMark val="none"/>
        <c:minorTickMark val="none"/>
        <c:tickLblPos val="nextTo"/>
        <c:crossAx val="2131502448"/>
        <c:crosses val="autoZero"/>
        <c:auto val="1"/>
        <c:lblAlgn val="ctr"/>
        <c:lblOffset val="100"/>
        <c:noMultiLvlLbl val="0"/>
      </c:catAx>
      <c:valAx>
        <c:axId val="2131502448"/>
        <c:scaling>
          <c:orientation val="minMax"/>
        </c:scaling>
        <c:delete val="1"/>
        <c:axPos val="l"/>
        <c:numFmt formatCode="General" sourceLinked="1"/>
        <c:majorTickMark val="none"/>
        <c:minorTickMark val="none"/>
        <c:tickLblPos val="nextTo"/>
        <c:crossAx val="21314974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Atrrition.xlsx]Pivotable!PivotTable32</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Segoe UI" panose="020B0502040204020203" pitchFamily="34" charset="0"/>
                <a:ea typeface="+mn-ea"/>
                <a:cs typeface="Segoe UI" panose="020B0502040204020203" pitchFamily="34" charset="0"/>
              </a:defRPr>
            </a:pPr>
            <a:r>
              <a:rPr lang="en-US" sz="1100" b="1"/>
              <a:t>Attrition by Job Role vs. Distance</a:t>
            </a:r>
          </a:p>
        </c:rich>
      </c:tx>
      <c:layout>
        <c:manualLayout>
          <c:xMode val="edge"/>
          <c:yMode val="edge"/>
          <c:x val="5.0809061488672914E-3"/>
          <c:y val="2.120610117898408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28575" cap="rnd">
            <a:noFill/>
            <a:round/>
          </a:ln>
          <a:effectLst/>
        </c:spPr>
        <c:marker>
          <c:symbol val="circle"/>
          <c:size val="5"/>
          <c:spPr>
            <a:solidFill>
              <a:schemeClr val="accent6">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5"/>
          <c:spPr>
            <a:solidFill>
              <a:schemeClr val="accent6">
                <a:lumMod val="75000"/>
              </a:schemeClr>
            </a:solidFill>
            <a:ln w="9525">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5"/>
          <c:spPr>
            <a:solidFill>
              <a:schemeClr val="accent6">
                <a:lumMod val="75000"/>
              </a:schemeClr>
            </a:solidFill>
            <a:ln w="9525">
              <a:no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649003579925125E-2"/>
          <c:y val="0.20886713485138683"/>
          <c:w val="0.94893216337559194"/>
          <c:h val="0.32941306660991698"/>
        </c:manualLayout>
      </c:layout>
      <c:lineChart>
        <c:grouping val="standard"/>
        <c:varyColors val="0"/>
        <c:ser>
          <c:idx val="0"/>
          <c:order val="0"/>
          <c:tx>
            <c:strRef>
              <c:f>Pivotable!$AU$2</c:f>
              <c:strCache>
                <c:ptCount val="1"/>
                <c:pt idx="0">
                  <c:v>Total</c:v>
                </c:pt>
              </c:strCache>
            </c:strRef>
          </c:tx>
          <c:spPr>
            <a:ln w="28575" cap="rnd">
              <a:noFill/>
              <a:round/>
            </a:ln>
            <a:effectLst/>
          </c:spPr>
          <c:marker>
            <c:symbol val="circle"/>
            <c:size val="5"/>
            <c:spPr>
              <a:solidFill>
                <a:schemeClr val="accent6">
                  <a:lumMod val="75000"/>
                </a:schemeClr>
              </a:solidFill>
              <a:ln w="9525">
                <a:no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Pivotable!$AT$3:$AT$12</c:f>
              <c:strCache>
                <c:ptCount val="9"/>
                <c:pt idx="0">
                  <c:v>Laboratory Technician</c:v>
                </c:pt>
                <c:pt idx="1">
                  <c:v>Sales Executive</c:v>
                </c:pt>
                <c:pt idx="2">
                  <c:v>Research Scientist</c:v>
                </c:pt>
                <c:pt idx="3">
                  <c:v>Sales Representative</c:v>
                </c:pt>
                <c:pt idx="4">
                  <c:v>Human Resources</c:v>
                </c:pt>
                <c:pt idx="5">
                  <c:v>Manufacturing Director</c:v>
                </c:pt>
                <c:pt idx="6">
                  <c:v>Healthcare Representative</c:v>
                </c:pt>
                <c:pt idx="7">
                  <c:v>Manager</c:v>
                </c:pt>
                <c:pt idx="8">
                  <c:v>Research Director</c:v>
                </c:pt>
              </c:strCache>
            </c:strRef>
          </c:cat>
          <c:val>
            <c:numRef>
              <c:f>Pivotable!$AU$3:$AU$12</c:f>
              <c:numCache>
                <c:formatCode>General</c:formatCode>
                <c:ptCount val="9"/>
                <c:pt idx="0">
                  <c:v>62</c:v>
                </c:pt>
                <c:pt idx="1">
                  <c:v>57</c:v>
                </c:pt>
                <c:pt idx="2">
                  <c:v>47</c:v>
                </c:pt>
                <c:pt idx="3">
                  <c:v>33</c:v>
                </c:pt>
                <c:pt idx="4">
                  <c:v>12</c:v>
                </c:pt>
                <c:pt idx="5">
                  <c:v>10</c:v>
                </c:pt>
                <c:pt idx="6">
                  <c:v>9</c:v>
                </c:pt>
                <c:pt idx="7">
                  <c:v>5</c:v>
                </c:pt>
                <c:pt idx="8">
                  <c:v>2</c:v>
                </c:pt>
              </c:numCache>
            </c:numRef>
          </c:val>
          <c:smooth val="0"/>
          <c:extLst>
            <c:ext xmlns:c16="http://schemas.microsoft.com/office/drawing/2014/chart" uri="{C3380CC4-5D6E-409C-BE32-E72D297353CC}">
              <c16:uniqueId val="{00000000-B338-47F5-80EF-A41067E70218}"/>
            </c:ext>
          </c:extLst>
        </c:ser>
        <c:dLbls>
          <c:dLblPos val="t"/>
          <c:showLegendKey val="0"/>
          <c:showVal val="1"/>
          <c:showCatName val="0"/>
          <c:showSerName val="0"/>
          <c:showPercent val="0"/>
          <c:showBubbleSize val="0"/>
        </c:dLbls>
        <c:dropLines>
          <c:spPr>
            <a:ln w="12700" cap="flat" cmpd="sng" algn="ctr">
              <a:solidFill>
                <a:schemeClr val="accent6">
                  <a:lumMod val="75000"/>
                </a:schemeClr>
              </a:solidFill>
              <a:round/>
            </a:ln>
            <a:effectLst/>
          </c:spPr>
        </c:dropLines>
        <c:marker val="1"/>
        <c:smooth val="0"/>
        <c:axId val="115323104"/>
        <c:axId val="115324768"/>
      </c:lineChart>
      <c:catAx>
        <c:axId val="115323104"/>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115324768"/>
        <c:crosses val="autoZero"/>
        <c:auto val="1"/>
        <c:lblAlgn val="ctr"/>
        <c:lblOffset val="100"/>
        <c:noMultiLvlLbl val="0"/>
      </c:catAx>
      <c:valAx>
        <c:axId val="115324768"/>
        <c:scaling>
          <c:orientation val="minMax"/>
        </c:scaling>
        <c:delete val="1"/>
        <c:axPos val="l"/>
        <c:numFmt formatCode="General" sourceLinked="1"/>
        <c:majorTickMark val="none"/>
        <c:minorTickMark val="none"/>
        <c:tickLblPos val="nextTo"/>
        <c:crossAx val="115323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5400000" algn="t" rotWithShape="0">
        <a:prstClr val="black"/>
      </a:outerShdw>
    </a:effectLst>
  </c:spPr>
  <c:txPr>
    <a:bodyPr/>
    <a:lstStyle/>
    <a:p>
      <a:pPr>
        <a:defRPr>
          <a:solidFill>
            <a:schemeClr val="bg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layout>
            <c:manualLayout>
              <c:x val="-2.5518354126438422E-2"/>
              <c:y val="4.9038614672703602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fld id="{508A17F4-389F-42D6-8986-A9B25DE7BAA1}" type="VALUE">
                  <a:rPr lang="en-US" sz="1100" b="1">
                    <a:latin typeface="Segoe UI" panose="020B0502040204020203" pitchFamily="34" charset="0"/>
                    <a:cs typeface="Segoe UI" panose="020B0502040204020203" pitchFamily="34" charset="0"/>
                  </a:rPr>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a:noFill/>
          </a:ln>
          <a:effectLst/>
        </c:spPr>
        <c:dLbl>
          <c:idx val="0"/>
          <c:layout>
            <c:manualLayout>
              <c:x val="-2.5518354126438422E-2"/>
              <c:y val="4.9038614672703602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fld id="{508A17F4-389F-42D6-8986-A9B25DE7BAA1}" type="VALUE">
                  <a:rPr lang="en-US" sz="1100" b="1">
                    <a:latin typeface="Segoe UI" panose="020B0502040204020203" pitchFamily="34" charset="0"/>
                    <a:cs typeface="Segoe UI" panose="020B0502040204020203" pitchFamily="34" charset="0"/>
                  </a:rPr>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a:noFill/>
          </a:ln>
          <a:effectLst/>
        </c:spPr>
        <c:dLbl>
          <c:idx val="0"/>
          <c:layout>
            <c:manualLayout>
              <c:x val="-2.5518354126438422E-2"/>
              <c:y val="4.9038614672703602E-2"/>
            </c:manualLayout>
          </c:layout>
          <c:tx>
            <c:rich>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fld id="{508A17F4-389F-42D6-8986-A9B25DE7BAA1}" type="VALUE">
                  <a:rPr lang="en-US" sz="1400" b="1">
                    <a:solidFill>
                      <a:schemeClr val="bg1"/>
                    </a:solidFill>
                    <a:latin typeface="Segoe UI" panose="020B0502040204020203" pitchFamily="34" charset="0"/>
                    <a:cs typeface="Segoe UI" panose="020B0502040204020203" pitchFamily="34" charset="0"/>
                  </a:rPr>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a:noFill/>
          </a:ln>
          <a:effectLst/>
        </c:spPr>
        <c:dLbl>
          <c:idx val="0"/>
          <c:layout>
            <c:manualLayout>
              <c:x val="-2.5518354126438422E-2"/>
              <c:y val="4.9038614672703602E-2"/>
            </c:manualLayout>
          </c:layout>
          <c:tx>
            <c:rich>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fld id="{508A17F4-389F-42D6-8986-A9B25DE7BAA1}" type="VALUE">
                  <a:rPr lang="en-US" sz="1400" b="1">
                    <a:solidFill>
                      <a:schemeClr val="bg1"/>
                    </a:solidFill>
                    <a:latin typeface="Segoe UI" panose="020B0502040204020203" pitchFamily="34" charset="0"/>
                    <a:cs typeface="Segoe UI" panose="020B0502040204020203" pitchFamily="34" charset="0"/>
                  </a:rPr>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a:noFill/>
          </a:ln>
          <a:effectLst/>
        </c:spPr>
        <c:dLbl>
          <c:idx val="0"/>
          <c:layout>
            <c:manualLayout>
              <c:x val="-1.7448677848652332E-2"/>
              <c:y val="4.9037909627968126E-2"/>
            </c:manualLayout>
          </c:layout>
          <c:tx>
            <c:rich>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fld id="{508A17F4-389F-42D6-8986-A9B25DE7BAA1}" type="VALUE">
                  <a:rPr lang="en-US" sz="1400" b="1">
                    <a:solidFill>
                      <a:schemeClr val="bg1"/>
                    </a:solidFill>
                    <a:latin typeface="Segoe UI" panose="020B0502040204020203" pitchFamily="34" charset="0"/>
                    <a:cs typeface="Segoe UI" panose="020B0502040204020203" pitchFamily="34" charset="0"/>
                  </a:rPr>
                  <a:pPr>
                    <a:defRPr sz="1400" b="1">
                      <a:solidFill>
                        <a:schemeClr val="bg1"/>
                      </a:solidFill>
                      <a:latin typeface="Segoe UI" panose="020B0502040204020203" pitchFamily="34" charset="0"/>
                      <a:cs typeface="Segoe U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62408652545868037"/>
                  <c:h val="0.48492886977561528"/>
                </c:manualLayout>
              </c15:layout>
              <c15:dlblFieldTable/>
              <c15:showDataLabelsRange val="0"/>
            </c:ext>
          </c:extLst>
        </c:dLbl>
      </c:pivotFmt>
    </c:pivotFmts>
    <c:plotArea>
      <c:layout>
        <c:manualLayout>
          <c:layoutTarget val="inner"/>
          <c:xMode val="edge"/>
          <c:yMode val="edge"/>
          <c:x val="5.5766793409378963E-2"/>
          <c:y val="0.72557783993127112"/>
          <c:w val="0.88846641318124209"/>
          <c:h val="6.5271689754646173E-2"/>
        </c:manualLayout>
      </c:layout>
      <c:barChart>
        <c:barDir val="col"/>
        <c:grouping val="clustered"/>
        <c:varyColors val="0"/>
        <c:ser>
          <c:idx val="0"/>
          <c:order val="0"/>
          <c:tx>
            <c:strRef>
              <c:f>Pivotable!$A$3</c:f>
              <c:strCache>
                <c:ptCount val="1"/>
                <c:pt idx="0">
                  <c:v>Total</c:v>
                </c:pt>
              </c:strCache>
            </c:strRef>
          </c:tx>
          <c:spPr>
            <a:solidFill>
              <a:schemeClr val="accent1"/>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1-17F8-46A2-A935-66DE353F3E81}"/>
              </c:ext>
            </c:extLst>
          </c:dPt>
          <c:dLbls>
            <c:dLbl>
              <c:idx val="0"/>
              <c:layout>
                <c:manualLayout>
                  <c:x val="-1.7448677848652332E-2"/>
                  <c:y val="4.9037909627968126E-2"/>
                </c:manualLayout>
              </c:layout>
              <c:tx>
                <c:rich>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fld id="{508A17F4-389F-42D6-8986-A9B25DE7BAA1}" type="VALUE">
                      <a:rPr lang="en-US" sz="1400" b="1">
                        <a:solidFill>
                          <a:schemeClr val="bg1"/>
                        </a:solidFill>
                        <a:latin typeface="Segoe UI" panose="020B0502040204020203" pitchFamily="34" charset="0"/>
                        <a:cs typeface="Segoe UI" panose="020B0502040204020203" pitchFamily="34" charset="0"/>
                      </a:rPr>
                      <a:pPr>
                        <a:defRPr sz="1400" b="1">
                          <a:solidFill>
                            <a:schemeClr val="bg1"/>
                          </a:solidFill>
                          <a:latin typeface="Segoe UI" panose="020B0502040204020203" pitchFamily="34" charset="0"/>
                          <a:cs typeface="Segoe U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62408652545868037"/>
                      <c:h val="0.48492886977561528"/>
                    </c:manualLayout>
                  </c15:layout>
                  <c15:dlblFieldTable/>
                  <c15:showDataLabelsRange val="0"/>
                </c:ext>
                <c:ext xmlns:c16="http://schemas.microsoft.com/office/drawing/2014/chart" uri="{C3380CC4-5D6E-409C-BE32-E72D297353CC}">
                  <c16:uniqueId val="{00000001-17F8-46A2-A935-66DE353F3E81}"/>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Pivotable!$A$4</c:f>
              <c:strCache>
                <c:ptCount val="1"/>
                <c:pt idx="0">
                  <c:v>Total</c:v>
                </c:pt>
              </c:strCache>
            </c:strRef>
          </c:cat>
          <c:val>
            <c:numRef>
              <c:f>Pivotable!$A$4</c:f>
              <c:numCache>
                <c:formatCode>General</c:formatCode>
                <c:ptCount val="1"/>
                <c:pt idx="0">
                  <c:v>1470</c:v>
                </c:pt>
              </c:numCache>
            </c:numRef>
          </c:val>
          <c:extLst>
            <c:ext xmlns:c16="http://schemas.microsoft.com/office/drawing/2014/chart" uri="{C3380CC4-5D6E-409C-BE32-E72D297353CC}">
              <c16:uniqueId val="{00000002-17F8-46A2-A935-66DE353F3E81}"/>
            </c:ext>
          </c:extLst>
        </c:ser>
        <c:dLbls>
          <c:dLblPos val="outEnd"/>
          <c:showLegendKey val="0"/>
          <c:showVal val="1"/>
          <c:showCatName val="0"/>
          <c:showSerName val="0"/>
          <c:showPercent val="0"/>
          <c:showBubbleSize val="0"/>
        </c:dLbls>
        <c:gapWidth val="219"/>
        <c:overlap val="-27"/>
        <c:axId val="943623984"/>
        <c:axId val="943625648"/>
      </c:barChart>
      <c:catAx>
        <c:axId val="943623984"/>
        <c:scaling>
          <c:orientation val="minMax"/>
        </c:scaling>
        <c:delete val="1"/>
        <c:axPos val="b"/>
        <c:numFmt formatCode="General" sourceLinked="1"/>
        <c:majorTickMark val="none"/>
        <c:minorTickMark val="none"/>
        <c:tickLblPos val="nextTo"/>
        <c:crossAx val="943625648"/>
        <c:crosses val="autoZero"/>
        <c:auto val="1"/>
        <c:lblAlgn val="ctr"/>
        <c:lblOffset val="100"/>
        <c:noMultiLvlLbl val="0"/>
      </c:catAx>
      <c:valAx>
        <c:axId val="943625648"/>
        <c:scaling>
          <c:orientation val="minMax"/>
        </c:scaling>
        <c:delete val="1"/>
        <c:axPos val="l"/>
        <c:numFmt formatCode="General" sourceLinked="1"/>
        <c:majorTickMark val="none"/>
        <c:minorTickMark val="none"/>
        <c:tickLblPos val="nextTo"/>
        <c:crossAx val="9436239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Atrrition.xlsx]Pivotable!PivotTable2</c:name>
    <c:fmtId val="5"/>
  </c:pivotSource>
  <c:chart>
    <c:title>
      <c:tx>
        <c:rich>
          <a:bodyPr rot="0" spcFirstLastPara="1" vertOverflow="ellipsis" vert="horz" wrap="square" anchor="ctr" anchorCtr="1"/>
          <a:lstStyle/>
          <a:p>
            <a:pPr>
              <a:defRPr sz="1100" b="1" i="0" u="none" strike="noStrike" kern="1200" spc="0" baseline="0">
                <a:solidFill>
                  <a:schemeClr val="bg1"/>
                </a:solidFill>
                <a:latin typeface="Segoe UI" panose="020B0502040204020203" pitchFamily="34" charset="0"/>
                <a:ea typeface="+mn-ea"/>
                <a:cs typeface="Segoe UI" panose="020B0502040204020203" pitchFamily="34" charset="0"/>
              </a:defRPr>
            </a:pPr>
            <a:r>
              <a:rPr lang="en-US" sz="1100" b="1" baseline="0">
                <a:solidFill>
                  <a:schemeClr val="bg1"/>
                </a:solidFill>
                <a:latin typeface="Segoe UI" panose="020B0502040204020203" pitchFamily="34" charset="0"/>
                <a:cs typeface="Segoe UI" panose="020B0502040204020203" pitchFamily="34" charset="0"/>
              </a:rPr>
              <a:t>Avg. Monthly Income</a:t>
            </a:r>
            <a:endParaRPr lang="en-US" sz="1100" b="1">
              <a:solidFill>
                <a:schemeClr val="bg1"/>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bg1"/>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layout>
            <c:manualLayout>
              <c:x val="9.1103366177588453E-4"/>
              <c:y val="-0.21520461902302881"/>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fld id="{BFE91A78-7DEC-4773-A94E-B7B9D38B3A84}" type="VALUE">
                  <a:rPr lang="en-US" sz="1050"/>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8605682486410509"/>
                  <c:h val="0.3186991265489339"/>
                </c:manualLayout>
              </c15:layout>
              <c15:dlblFieldTable/>
              <c15:showDataLabelsRange val="0"/>
            </c:ext>
          </c:extLst>
        </c:dLbl>
      </c:pivotFmt>
      <c:pivotFmt>
        <c:idx val="2"/>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a:noFill/>
          </a:ln>
          <a:effectLst/>
        </c:spPr>
        <c:dLbl>
          <c:idx val="0"/>
          <c:layout>
            <c:manualLayout>
              <c:x val="9.1103366177588453E-4"/>
              <c:y val="-0.21520461902302881"/>
            </c:manualLayout>
          </c:layout>
          <c:tx>
            <c:rich>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fld id="{BFE91A78-7DEC-4773-A94E-B7B9D38B3A84}" type="VALUE">
                  <a:rPr lang="en-US" sz="1050"/>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8605682486410509"/>
                  <c:h val="0.3186991265489339"/>
                </c:manualLayout>
              </c15:layout>
              <c15:dlblFieldTable/>
              <c15:showDataLabelsRange val="0"/>
            </c:ext>
          </c:extLst>
        </c:dLbl>
      </c:pivotFmt>
      <c:pivotFmt>
        <c:idx val="4"/>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a:noFill/>
          </a:ln>
          <a:effectLst/>
        </c:spPr>
        <c:dLbl>
          <c:idx val="0"/>
          <c:layout>
            <c:manualLayout>
              <c:x val="-3.6125984251968501E-2"/>
              <c:y val="-0.22805623045094256"/>
            </c:manualLayout>
          </c:layout>
          <c:tx>
            <c:rich>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fld id="{BFE91A78-7DEC-4773-A94E-B7B9D38B3A84}" type="VALUE">
                  <a:rPr lang="en-US" sz="1400">
                    <a:solidFill>
                      <a:schemeClr val="bg1"/>
                    </a:solidFill>
                  </a:rPr>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8605682486410509"/>
                  <c:h val="0.3186991265489339"/>
                </c:manualLayout>
              </c15:layout>
              <c15:dlblFieldTable/>
              <c15:showDataLabelsRange val="0"/>
            </c:ext>
          </c:extLst>
        </c:dLbl>
      </c:pivotFmt>
      <c:pivotFmt>
        <c:idx val="6"/>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a:noFill/>
          </a:ln>
          <a:effectLst/>
        </c:spPr>
        <c:dLbl>
          <c:idx val="0"/>
          <c:layout>
            <c:manualLayout>
              <c:x val="-3.6125984251968501E-2"/>
              <c:y val="-0.22805623045094256"/>
            </c:manualLayout>
          </c:layout>
          <c:tx>
            <c:rich>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fld id="{BFE91A78-7DEC-4773-A94E-B7B9D38B3A84}" type="VALUE">
                  <a:rPr lang="en-US" sz="1400">
                    <a:solidFill>
                      <a:schemeClr val="bg1"/>
                    </a:solidFill>
                  </a:rPr>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8605682486410509"/>
                  <c:h val="0.3186991265489339"/>
                </c:manualLayout>
              </c15:layout>
              <c15:dlblFieldTable/>
              <c15:showDataLabelsRange val="0"/>
            </c:ext>
          </c:extLst>
        </c:dLbl>
      </c:pivotFmt>
      <c:pivotFmt>
        <c:idx val="8"/>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a:noFill/>
          </a:ln>
          <a:effectLst/>
        </c:spPr>
        <c:dLbl>
          <c:idx val="0"/>
          <c:layout>
            <c:manualLayout>
              <c:x val="-3.6125984251968501E-2"/>
              <c:y val="-0.22805623045094256"/>
            </c:manualLayout>
          </c:layout>
          <c:tx>
            <c:rich>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r>
                  <a:rPr lang="en-US" sz="1400">
                    <a:solidFill>
                      <a:schemeClr val="accent6">
                        <a:lumMod val="75000"/>
                      </a:schemeClr>
                    </a:solidFill>
                  </a:rPr>
                  <a:t>▲</a:t>
                </a:r>
                <a:fld id="{BFE91A78-7DEC-4773-A94E-B7B9D38B3A84}" type="VALUE">
                  <a:rPr lang="en-US" sz="1400">
                    <a:solidFill>
                      <a:schemeClr val="bg1"/>
                    </a:solidFill>
                  </a:rPr>
                  <a:pPr>
                    <a:defRPr sz="1400" b="1">
                      <a:solidFill>
                        <a:schemeClr val="bg1"/>
                      </a:solidFill>
                      <a:latin typeface="Segoe UI" panose="020B0502040204020203" pitchFamily="34" charset="0"/>
                      <a:cs typeface="Segoe UI" panose="020B0502040204020203" pitchFamily="34" charset="0"/>
                    </a:defRPr>
                  </a:pPr>
                  <a:t>[VALUE]</a:t>
                </a:fld>
                <a:endParaRPr lang="en-US" sz="1400">
                  <a:solidFill>
                    <a:schemeClr val="accent6">
                      <a:lumMod val="75000"/>
                    </a:schemeClr>
                  </a:solidFill>
                </a:endParaRPr>
              </a:p>
            </c:rich>
          </c:tx>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8605682486410509"/>
                  <c:h val="0.3186991265489339"/>
                </c:manualLayout>
              </c15:layout>
              <c15:dlblFieldTable/>
              <c15:showDataLabelsRange val="0"/>
            </c:ext>
          </c:extLst>
        </c:dLbl>
      </c:pivotFmt>
    </c:pivotFmts>
    <c:plotArea>
      <c:layout>
        <c:manualLayout>
          <c:layoutTarget val="inner"/>
          <c:xMode val="edge"/>
          <c:yMode val="edge"/>
          <c:x val="0.25683060109289618"/>
          <c:y val="0.86671376956808754"/>
          <c:w val="0.51912568306010931"/>
          <c:h val="3.9718944502074686E-2"/>
        </c:manualLayout>
      </c:layout>
      <c:barChart>
        <c:barDir val="col"/>
        <c:grouping val="clustered"/>
        <c:varyColors val="0"/>
        <c:ser>
          <c:idx val="0"/>
          <c:order val="0"/>
          <c:tx>
            <c:strRef>
              <c:f>Pivotable!$A$9</c:f>
              <c:strCache>
                <c:ptCount val="1"/>
                <c:pt idx="0">
                  <c:v>Total</c:v>
                </c:pt>
              </c:strCache>
            </c:strRef>
          </c:tx>
          <c:spPr>
            <a:no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1-57EB-46AB-B07B-AF3BE241F060}"/>
              </c:ext>
            </c:extLst>
          </c:dPt>
          <c:dLbls>
            <c:dLbl>
              <c:idx val="0"/>
              <c:layout>
                <c:manualLayout>
                  <c:x val="-3.6125984251968501E-2"/>
                  <c:y val="-0.22805623045094256"/>
                </c:manualLayout>
              </c:layout>
              <c:tx>
                <c:rich>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r>
                      <a:rPr lang="en-US" sz="1400">
                        <a:solidFill>
                          <a:schemeClr val="accent6">
                            <a:lumMod val="75000"/>
                          </a:schemeClr>
                        </a:solidFill>
                      </a:rPr>
                      <a:t>▲</a:t>
                    </a:r>
                    <a:fld id="{BFE91A78-7DEC-4773-A94E-B7B9D38B3A84}" type="VALUE">
                      <a:rPr lang="en-US" sz="1400">
                        <a:solidFill>
                          <a:schemeClr val="bg1"/>
                        </a:solidFill>
                      </a:rPr>
                      <a:pPr>
                        <a:defRPr sz="1400" b="1">
                          <a:solidFill>
                            <a:schemeClr val="bg1"/>
                          </a:solidFill>
                          <a:latin typeface="Segoe UI" panose="020B0502040204020203" pitchFamily="34" charset="0"/>
                          <a:cs typeface="Segoe UI" panose="020B0502040204020203" pitchFamily="34" charset="0"/>
                        </a:defRPr>
                      </a:pPr>
                      <a:t>[VALUE]</a:t>
                    </a:fld>
                    <a:endParaRPr lang="en-US" sz="1400">
                      <a:solidFill>
                        <a:schemeClr val="accent6">
                          <a:lumMod val="75000"/>
                        </a:schemeClr>
                      </a:solidFill>
                    </a:endParaRPr>
                  </a:p>
                </c:rich>
              </c:tx>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8605682486410509"/>
                      <c:h val="0.3186991265489339"/>
                    </c:manualLayout>
                  </c15:layout>
                  <c15:dlblFieldTable/>
                  <c15:showDataLabelsRange val="0"/>
                </c:ext>
                <c:ext xmlns:c16="http://schemas.microsoft.com/office/drawing/2014/chart" uri="{C3380CC4-5D6E-409C-BE32-E72D297353CC}">
                  <c16:uniqueId val="{00000001-57EB-46AB-B07B-AF3BE241F060}"/>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Pivotable!$A$10</c:f>
              <c:strCache>
                <c:ptCount val="1"/>
                <c:pt idx="0">
                  <c:v>Total</c:v>
                </c:pt>
              </c:strCache>
            </c:strRef>
          </c:cat>
          <c:val>
            <c:numRef>
              <c:f>Pivotable!$A$10</c:f>
              <c:numCache>
                <c:formatCode>[&gt;=1000000]"$"0.0,,"M";[&gt;=1000]"$"0.0,"K";"$ "0</c:formatCode>
                <c:ptCount val="1"/>
                <c:pt idx="0">
                  <c:v>6502.9313000000002</c:v>
                </c:pt>
              </c:numCache>
            </c:numRef>
          </c:val>
          <c:extLst>
            <c:ext xmlns:c16="http://schemas.microsoft.com/office/drawing/2014/chart" uri="{C3380CC4-5D6E-409C-BE32-E72D297353CC}">
              <c16:uniqueId val="{00000002-57EB-46AB-B07B-AF3BE241F060}"/>
            </c:ext>
          </c:extLst>
        </c:ser>
        <c:dLbls>
          <c:dLblPos val="outEnd"/>
          <c:showLegendKey val="0"/>
          <c:showVal val="1"/>
          <c:showCatName val="0"/>
          <c:showSerName val="0"/>
          <c:showPercent val="0"/>
          <c:showBubbleSize val="0"/>
        </c:dLbls>
        <c:gapWidth val="219"/>
        <c:overlap val="-27"/>
        <c:axId val="939514512"/>
        <c:axId val="939513680"/>
      </c:barChart>
      <c:catAx>
        <c:axId val="939514512"/>
        <c:scaling>
          <c:orientation val="minMax"/>
        </c:scaling>
        <c:delete val="1"/>
        <c:axPos val="b"/>
        <c:numFmt formatCode="General" sourceLinked="1"/>
        <c:majorTickMark val="none"/>
        <c:minorTickMark val="none"/>
        <c:tickLblPos val="nextTo"/>
        <c:crossAx val="939513680"/>
        <c:crosses val="autoZero"/>
        <c:auto val="1"/>
        <c:lblAlgn val="ctr"/>
        <c:lblOffset val="100"/>
        <c:noMultiLvlLbl val="0"/>
      </c:catAx>
      <c:valAx>
        <c:axId val="939513680"/>
        <c:scaling>
          <c:orientation val="minMax"/>
        </c:scaling>
        <c:delete val="1"/>
        <c:axPos val="l"/>
        <c:numFmt formatCode="[&gt;=1000000]&quot;$&quot;0.0,,&quot;M&quot;;[&gt;=1000]&quot;$&quot;0.0,&quot;K&quot;;&quot;$ &quot;0" sourceLinked="1"/>
        <c:majorTickMark val="none"/>
        <c:minorTickMark val="none"/>
        <c:tickLblPos val="nextTo"/>
        <c:crossAx val="939514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Atrrition.xlsx]Pivotable!PivotTable13</c:name>
    <c:fmtId val="4"/>
  </c:pivotSource>
  <c:chart>
    <c:title>
      <c:tx>
        <c:rich>
          <a:bodyPr rot="0" spcFirstLastPara="1" vertOverflow="ellipsis" vert="horz" wrap="square" anchor="ctr" anchorCtr="1"/>
          <a:lstStyle/>
          <a:p>
            <a:pPr>
              <a:defRPr sz="1100" b="1" i="0" u="none" strike="noStrike" kern="1200" spc="0" baseline="0">
                <a:solidFill>
                  <a:schemeClr val="bg1"/>
                </a:solidFill>
                <a:latin typeface="Segoe UI" panose="020B0502040204020203" pitchFamily="34" charset="0"/>
                <a:ea typeface="+mn-ea"/>
                <a:cs typeface="Segoe UI" panose="020B0502040204020203" pitchFamily="34" charset="0"/>
              </a:defRPr>
            </a:pPr>
            <a:r>
              <a:rPr lang="en-US" sz="1100" b="1">
                <a:solidFill>
                  <a:schemeClr val="bg1"/>
                </a:solidFill>
                <a:latin typeface="Segoe UI" panose="020B0502040204020203" pitchFamily="34" charset="0"/>
                <a:cs typeface="Segoe UI" panose="020B0502040204020203" pitchFamily="34" charset="0"/>
              </a:rPr>
              <a:t>Atrrition</a:t>
            </a:r>
            <a:r>
              <a:rPr lang="en-US" sz="1100" b="1" baseline="0">
                <a:solidFill>
                  <a:schemeClr val="bg1"/>
                </a:solidFill>
                <a:latin typeface="Segoe UI" panose="020B0502040204020203" pitchFamily="34" charset="0"/>
                <a:cs typeface="Segoe UI" panose="020B0502040204020203" pitchFamily="34" charset="0"/>
              </a:rPr>
              <a:t> Rate</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bg1"/>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noFill/>
          <a:ln>
            <a:noFill/>
          </a:ln>
          <a:effectLst/>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r>
                  <a:rPr lang="en-US" sz="1400"/>
                  <a:t>▼</a:t>
                </a:r>
                <a:fld id="{01F90741-4046-446D-89B7-454EB310EFAB}" type="VALUE">
                  <a:rPr lang="en-US" sz="1400"/>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t>[VALUE]</a:t>
                </a:fld>
                <a:endParaRPr lang="en-US" sz="1400"/>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6702594625552"/>
                  <c:h val="0.36236629384011348"/>
                </c:manualLayout>
              </c15:layout>
              <c15:dlblFieldTable/>
              <c15:showDataLabelsRange val="0"/>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noFill/>
          <a:ln>
            <a:noFill/>
          </a:ln>
          <a:effectLst/>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r>
                  <a:rPr lang="en-US" sz="1400"/>
                  <a:t>▼</a:t>
                </a:r>
                <a:fld id="{01F90741-4046-446D-89B7-454EB310EFAB}" type="VALUE">
                  <a:rPr lang="en-US" sz="1400"/>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t>[VALUE]</a:t>
                </a:fld>
                <a:endParaRPr lang="en-US" sz="1400"/>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6702594625552"/>
                  <c:h val="0.36236629384011348"/>
                </c:manualLayout>
              </c15:layout>
              <c15:dlblFieldTable/>
              <c15:showDataLabelsRange val="0"/>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noFill/>
          <a:ln>
            <a:noFill/>
          </a:ln>
          <a:effectLst/>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r>
                  <a:rPr lang="en-US" sz="1400"/>
                  <a:t>▼</a:t>
                </a:r>
                <a:fld id="{01F90741-4046-446D-89B7-454EB310EFAB}" type="VALUE">
                  <a:rPr lang="en-US" sz="1400"/>
                  <a:pPr>
                    <a:defRPr sz="1400" b="1">
                      <a:solidFill>
                        <a:schemeClr val="bg1"/>
                      </a:solidFill>
                      <a:latin typeface="Segoe UI" panose="020B0502040204020203" pitchFamily="34" charset="0"/>
                      <a:cs typeface="Segoe UI" panose="020B0502040204020203" pitchFamily="34" charset="0"/>
                    </a:defRPr>
                  </a:pPr>
                  <a:t>[VALUE]</a:t>
                </a:fld>
                <a:endParaRPr lang="en-US" sz="1400"/>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6702594625552"/>
                  <c:h val="0.36236629384011348"/>
                </c:manualLayout>
              </c15:layout>
              <c15:dlblFieldTable/>
              <c15:showDataLabelsRange val="0"/>
            </c:ext>
          </c:extLst>
        </c:dLbl>
      </c:pivotFmt>
    </c:pivotFmts>
    <c:plotArea>
      <c:layout>
        <c:manualLayout>
          <c:layoutTarget val="inner"/>
          <c:xMode val="edge"/>
          <c:yMode val="edge"/>
          <c:x val="6.8535825545171333E-2"/>
          <c:y val="0.79553775586812625"/>
          <c:w val="0.86292834890965731"/>
          <c:h val="8.4734301669849105E-2"/>
        </c:manualLayout>
      </c:layout>
      <c:barChart>
        <c:barDir val="col"/>
        <c:grouping val="clustered"/>
        <c:varyColors val="0"/>
        <c:ser>
          <c:idx val="0"/>
          <c:order val="0"/>
          <c:tx>
            <c:strRef>
              <c:f>Pivotable!$A$119</c:f>
              <c:strCache>
                <c:ptCount val="1"/>
                <c:pt idx="0">
                  <c:v>Total</c:v>
                </c:pt>
              </c:strCache>
            </c:strRef>
          </c:tx>
          <c:spPr>
            <a:solidFill>
              <a:schemeClr val="accent1"/>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1-5C52-4799-BAF0-18F161448CDD}"/>
              </c:ext>
            </c:extLst>
          </c:dPt>
          <c:dLbls>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r>
                      <a:rPr lang="en-US" sz="1400"/>
                      <a:t>▼</a:t>
                    </a:r>
                    <a:fld id="{01F90741-4046-446D-89B7-454EB310EFAB}" type="VALUE">
                      <a:rPr lang="en-US" sz="1400"/>
                      <a:pPr>
                        <a:defRPr sz="1400" b="1">
                          <a:solidFill>
                            <a:schemeClr val="bg1"/>
                          </a:solidFill>
                          <a:latin typeface="Segoe UI" panose="020B0502040204020203" pitchFamily="34" charset="0"/>
                          <a:cs typeface="Segoe UI" panose="020B0502040204020203" pitchFamily="34" charset="0"/>
                        </a:defRPr>
                      </a:pPr>
                      <a:t>[VALUE]</a:t>
                    </a:fld>
                    <a:endParaRPr lang="en-US" sz="1400"/>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8686702594625552"/>
                      <c:h val="0.36236629384011348"/>
                    </c:manualLayout>
                  </c15:layout>
                  <c15:dlblFieldTable/>
                  <c15:showDataLabelsRange val="0"/>
                </c:ext>
                <c:ext xmlns:c16="http://schemas.microsoft.com/office/drawing/2014/chart" uri="{C3380CC4-5D6E-409C-BE32-E72D297353CC}">
                  <c16:uniqueId val="{00000001-5C52-4799-BAF0-18F161448CD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Pivotable!$A$120</c:f>
              <c:strCache>
                <c:ptCount val="1"/>
                <c:pt idx="0">
                  <c:v>Total</c:v>
                </c:pt>
              </c:strCache>
            </c:strRef>
          </c:cat>
          <c:val>
            <c:numRef>
              <c:f>Pivotable!$A$120</c:f>
              <c:numCache>
                <c:formatCode>0%</c:formatCode>
                <c:ptCount val="1"/>
                <c:pt idx="0">
                  <c:v>0.16120000000000001</c:v>
                </c:pt>
              </c:numCache>
            </c:numRef>
          </c:val>
          <c:extLst>
            <c:ext xmlns:c16="http://schemas.microsoft.com/office/drawing/2014/chart" uri="{C3380CC4-5D6E-409C-BE32-E72D297353CC}">
              <c16:uniqueId val="{00000002-5C52-4799-BAF0-18F161448CDD}"/>
            </c:ext>
          </c:extLst>
        </c:ser>
        <c:dLbls>
          <c:dLblPos val="outEnd"/>
          <c:showLegendKey val="0"/>
          <c:showVal val="1"/>
          <c:showCatName val="0"/>
          <c:showSerName val="0"/>
          <c:showPercent val="0"/>
          <c:showBubbleSize val="0"/>
        </c:dLbls>
        <c:gapWidth val="219"/>
        <c:overlap val="-27"/>
        <c:axId val="1775066880"/>
        <c:axId val="1775088512"/>
      </c:barChart>
      <c:catAx>
        <c:axId val="1775066880"/>
        <c:scaling>
          <c:orientation val="minMax"/>
        </c:scaling>
        <c:delete val="1"/>
        <c:axPos val="b"/>
        <c:numFmt formatCode="General" sourceLinked="1"/>
        <c:majorTickMark val="none"/>
        <c:minorTickMark val="none"/>
        <c:tickLblPos val="nextTo"/>
        <c:crossAx val="1775088512"/>
        <c:crosses val="autoZero"/>
        <c:auto val="1"/>
        <c:lblAlgn val="ctr"/>
        <c:lblOffset val="100"/>
        <c:noMultiLvlLbl val="0"/>
      </c:catAx>
      <c:valAx>
        <c:axId val="1775088512"/>
        <c:scaling>
          <c:orientation val="minMax"/>
        </c:scaling>
        <c:delete val="1"/>
        <c:axPos val="l"/>
        <c:numFmt formatCode="0%" sourceLinked="1"/>
        <c:majorTickMark val="none"/>
        <c:minorTickMark val="none"/>
        <c:tickLblPos val="nextTo"/>
        <c:crossAx val="1775066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Atrrition.xlsx]Pivotable!PivotTable15</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1" i="0" u="none" strike="noStrike" kern="1200" spc="0" baseline="0">
                <a:solidFill>
                  <a:sysClr val="window" lastClr="FFFFFF"/>
                </a:solidFill>
                <a:latin typeface="Segoe UI" panose="020B0502040204020203" pitchFamily="34" charset="0"/>
                <a:ea typeface="+mn-ea"/>
                <a:cs typeface="Segoe UI" panose="020B0502040204020203" pitchFamily="34" charset="0"/>
              </a:defRPr>
            </a:pPr>
            <a:r>
              <a:rPr lang="en-US" sz="1100" b="1">
                <a:solidFill>
                  <a:schemeClr val="bg1"/>
                </a:solidFill>
                <a:latin typeface="Segoe UI" panose="020B0502040204020203" pitchFamily="34" charset="0"/>
                <a:cs typeface="Segoe UI" panose="020B0502040204020203" pitchFamily="34" charset="0"/>
              </a:rPr>
              <a:t>Average Monthly Income </a:t>
            </a:r>
            <a:r>
              <a:rPr lang="en-US" sz="1100" b="1" i="0" baseline="0">
                <a:effectLst/>
              </a:rPr>
              <a:t>(Attrition)</a:t>
            </a:r>
            <a:endParaRPr lang="en-US" sz="1100">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100" b="1">
                <a:solidFill>
                  <a:sysClr val="window" lastClr="FFFFFF"/>
                </a:solidFill>
                <a:latin typeface="Segoe UI" panose="020B0502040204020203" pitchFamily="34" charset="0"/>
                <a:cs typeface="Segoe UI" panose="020B0502040204020203" pitchFamily="34" charset="0"/>
              </a:defRPr>
            </a:pPr>
            <a:endParaRPr lang="en-US" sz="1100" b="1">
              <a:solidFill>
                <a:schemeClr val="bg1"/>
              </a:solidFill>
              <a:latin typeface="Segoe UI" panose="020B0502040204020203" pitchFamily="34" charset="0"/>
              <a:cs typeface="Segoe UI" panose="020B0502040204020203"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1" i="0" u="none" strike="noStrike" kern="1200" spc="0" baseline="0">
              <a:solidFill>
                <a:sysClr val="window" lastClr="FFFFFF"/>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a:noFill/>
          </a:ln>
          <a:effectLst/>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r>
                  <a:rPr lang="en-US" sz="1400"/>
                  <a:t>▲</a:t>
                </a:r>
                <a:fld id="{580E67BB-9A7B-44B2-B061-11C579D163A1}" type="VALUE">
                  <a:rPr lang="en-US" sz="1400"/>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t>[VALUE]</a:t>
                </a:fld>
                <a:endParaRPr lang="en-US" sz="1400"/>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754820936639117"/>
                  <c:h val="0.29074724049253292"/>
                </c:manualLayout>
              </c15:layout>
              <c15:dlblFieldTable/>
              <c15:showDataLabelsRange val="0"/>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a:noFill/>
          </a:ln>
          <a:effectLst/>
        </c:spPr>
        <c:dLbl>
          <c:idx val="0"/>
          <c:tx>
            <c:rich>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r>
                  <a:rPr lang="en-US" sz="1400"/>
                  <a:t>▲</a:t>
                </a:r>
                <a:fld id="{580E67BB-9A7B-44B2-B061-11C579D163A1}" type="VALUE">
                  <a:rPr lang="en-US" sz="1400"/>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t>[VALUE]</a:t>
                </a:fld>
                <a:endParaRPr lang="en-US" sz="1400"/>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754820936639117"/>
                  <c:h val="0.29074724049253292"/>
                </c:manualLayout>
              </c15:layout>
              <c15:dlblFieldTable/>
              <c15:showDataLabelsRange val="0"/>
            </c:ext>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a:noFill/>
          </a:ln>
          <a:effectLst/>
        </c:spPr>
        <c:dLbl>
          <c:idx val="0"/>
          <c:layout>
            <c:manualLayout>
              <c:x val="0"/>
              <c:y val="-7.5327485015910869E-2"/>
            </c:manualLayout>
          </c:layout>
          <c:tx>
            <c:rich>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r>
                  <a:rPr lang="en-US" sz="1400">
                    <a:solidFill>
                      <a:srgbClr val="E7E6C4"/>
                    </a:solidFill>
                  </a:rPr>
                  <a:t>▼</a:t>
                </a:r>
                <a:fld id="{580E67BB-9A7B-44B2-B061-11C579D163A1}" type="VALUE">
                  <a:rPr lang="en-US" sz="1400"/>
                  <a:pPr>
                    <a:defRPr sz="1400" b="1">
                      <a:solidFill>
                        <a:schemeClr val="bg1"/>
                      </a:solidFill>
                      <a:latin typeface="Segoe UI" panose="020B0502040204020203" pitchFamily="34" charset="0"/>
                      <a:cs typeface="Segoe UI" panose="020B0502040204020203" pitchFamily="34" charset="0"/>
                    </a:defRPr>
                  </a:pPr>
                  <a:t>[VALUE]</a:t>
                </a:fld>
                <a:endParaRPr lang="en-US" sz="1400">
                  <a:solidFill>
                    <a:srgbClr val="E7E6C4"/>
                  </a:solidFill>
                </a:endParaRPr>
              </a:p>
            </c:rich>
          </c:tx>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2754820936639117"/>
                  <c:h val="0.29074724049253292"/>
                </c:manualLayout>
              </c15:layout>
              <c15:dlblFieldTable/>
              <c15:showDataLabelsRange val="0"/>
            </c:ext>
          </c:extLst>
        </c:dLbl>
      </c:pivotFmt>
    </c:pivotFmts>
    <c:plotArea>
      <c:layout>
        <c:manualLayout>
          <c:layoutTarget val="inner"/>
          <c:xMode val="edge"/>
          <c:yMode val="edge"/>
          <c:x val="3.0555555555555555E-2"/>
          <c:y val="0.85226851851851848"/>
          <c:w val="0.93888888888888888"/>
          <c:h val="9.6805555555555534E-2"/>
        </c:manualLayout>
      </c:layout>
      <c:barChart>
        <c:barDir val="col"/>
        <c:grouping val="clustered"/>
        <c:varyColors val="0"/>
        <c:ser>
          <c:idx val="0"/>
          <c:order val="0"/>
          <c:tx>
            <c:strRef>
              <c:f>Pivotable!$A$128</c:f>
              <c:strCache>
                <c:ptCount val="1"/>
                <c:pt idx="0">
                  <c:v>Total</c:v>
                </c:pt>
              </c:strCache>
            </c:strRef>
          </c:tx>
          <c:spPr>
            <a:solidFill>
              <a:schemeClr val="accent1"/>
            </a:solid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1-CCC0-4C04-9899-644CAAD6FE6D}"/>
              </c:ext>
            </c:extLst>
          </c:dPt>
          <c:dLbls>
            <c:dLbl>
              <c:idx val="0"/>
              <c:layout>
                <c:manualLayout>
                  <c:x val="0"/>
                  <c:y val="-7.5327485015910869E-2"/>
                </c:manualLayout>
              </c:layout>
              <c:tx>
                <c:rich>
                  <a:bodyPr/>
                  <a:lstStyle/>
                  <a:p>
                    <a:r>
                      <a:rPr lang="en-US" sz="1400">
                        <a:solidFill>
                          <a:srgbClr val="E7E6C4"/>
                        </a:solidFill>
                      </a:rPr>
                      <a:t>▼</a:t>
                    </a:r>
                    <a:fld id="{580E67BB-9A7B-44B2-B061-11C579D163A1}" type="VALUE">
                      <a:rPr lang="en-US" sz="1400"/>
                      <a:pPr/>
                      <a:t>[VALUE]</a:t>
                    </a:fld>
                    <a:endParaRPr lang="en-US" sz="1400">
                      <a:solidFill>
                        <a:srgbClr val="E7E6C4"/>
                      </a:solidFill>
                    </a:endParaRPr>
                  </a:p>
                </c:rich>
              </c:tx>
              <c:dLblPos val="outEnd"/>
              <c:showLegendKey val="0"/>
              <c:showVal val="1"/>
              <c:showCatName val="0"/>
              <c:showSerName val="0"/>
              <c:showPercent val="0"/>
              <c:showBubbleSize val="0"/>
              <c:extLst>
                <c:ext xmlns:c15="http://schemas.microsoft.com/office/drawing/2012/chart" uri="{CE6537A1-D6FC-4f65-9D91-7224C49458BB}">
                  <c15:layout>
                    <c:manualLayout>
                      <c:w val="0.32754820936639117"/>
                      <c:h val="0.29074724049253292"/>
                    </c:manualLayout>
                  </c15:layout>
                  <c15:dlblFieldTable/>
                  <c15:showDataLabelsRange val="0"/>
                </c:ext>
                <c:ext xmlns:c16="http://schemas.microsoft.com/office/drawing/2014/chart" uri="{C3380CC4-5D6E-409C-BE32-E72D297353CC}">
                  <c16:uniqueId val="{00000001-CCC0-4C04-9899-644CAAD6FE6D}"/>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Pivotable!$A$129</c:f>
              <c:strCache>
                <c:ptCount val="1"/>
                <c:pt idx="0">
                  <c:v>Total</c:v>
                </c:pt>
              </c:strCache>
            </c:strRef>
          </c:cat>
          <c:val>
            <c:numRef>
              <c:f>Pivotable!$A$129</c:f>
              <c:numCache>
                <c:formatCode>[&gt;=1000000]"$"0.0,,"M";[&gt;=1000]"$"0.0,"K";"$ "0</c:formatCode>
                <c:ptCount val="1"/>
                <c:pt idx="0">
                  <c:v>4787.0928000000004</c:v>
                </c:pt>
              </c:numCache>
            </c:numRef>
          </c:val>
          <c:extLst>
            <c:ext xmlns:c16="http://schemas.microsoft.com/office/drawing/2014/chart" uri="{C3380CC4-5D6E-409C-BE32-E72D297353CC}">
              <c16:uniqueId val="{00000002-CCC0-4C04-9899-644CAAD6FE6D}"/>
            </c:ext>
          </c:extLst>
        </c:ser>
        <c:dLbls>
          <c:showLegendKey val="0"/>
          <c:showVal val="0"/>
          <c:showCatName val="0"/>
          <c:showSerName val="0"/>
          <c:showPercent val="0"/>
          <c:showBubbleSize val="0"/>
        </c:dLbls>
        <c:gapWidth val="219"/>
        <c:overlap val="-27"/>
        <c:axId val="1775101824"/>
        <c:axId val="1775095168"/>
      </c:barChart>
      <c:catAx>
        <c:axId val="1775101824"/>
        <c:scaling>
          <c:orientation val="minMax"/>
        </c:scaling>
        <c:delete val="1"/>
        <c:axPos val="b"/>
        <c:numFmt formatCode="General" sourceLinked="1"/>
        <c:majorTickMark val="none"/>
        <c:minorTickMark val="none"/>
        <c:tickLblPos val="nextTo"/>
        <c:crossAx val="1775095168"/>
        <c:crosses val="autoZero"/>
        <c:auto val="1"/>
        <c:lblAlgn val="ctr"/>
        <c:lblOffset val="100"/>
        <c:noMultiLvlLbl val="0"/>
      </c:catAx>
      <c:valAx>
        <c:axId val="1775095168"/>
        <c:scaling>
          <c:orientation val="minMax"/>
        </c:scaling>
        <c:delete val="1"/>
        <c:axPos val="l"/>
        <c:numFmt formatCode="[&gt;=1000000]&quot;$&quot;0.0,,&quot;M&quot;;[&gt;=1000]&quot;$&quot;0.0,&quot;K&quot;;&quot;$ &quot;0" sourceLinked="1"/>
        <c:majorTickMark val="none"/>
        <c:minorTickMark val="none"/>
        <c:tickLblPos val="nextTo"/>
        <c:crossAx val="1775101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Atrrition.xlsx]Pivotable!PivotTable16</c:name>
    <c:fmtId val="2"/>
  </c:pivotSource>
  <c:chart>
    <c:title>
      <c:tx>
        <c:rich>
          <a:bodyPr rot="0" spcFirstLastPara="1" vertOverflow="ellipsis" vert="horz" wrap="square" anchor="ctr" anchorCtr="1"/>
          <a:lstStyle/>
          <a:p>
            <a:pPr>
              <a:defRPr sz="1400" b="1" i="0" u="none" strike="noStrike" kern="1200" spc="0" baseline="0">
                <a:solidFill>
                  <a:srgbClr val="E8EAE5"/>
                </a:solidFill>
                <a:latin typeface="Segoe UI" panose="020B0502040204020203" pitchFamily="34" charset="0"/>
                <a:ea typeface="+mn-ea"/>
                <a:cs typeface="Segoe UI" panose="020B0502040204020203" pitchFamily="34" charset="0"/>
              </a:defRPr>
            </a:pPr>
            <a:r>
              <a:rPr lang="en-US" sz="1050"/>
              <a:t>Attrition by Department</a:t>
            </a:r>
          </a:p>
        </c:rich>
      </c:tx>
      <c:layout>
        <c:manualLayout>
          <c:xMode val="edge"/>
          <c:yMode val="edge"/>
          <c:x val="1.2546314433224494E-2"/>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E8EAE5"/>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8EAE5"/>
          </a:solidFill>
          <a:ln w="19050">
            <a:noFill/>
          </a:ln>
          <a:effectLst/>
        </c:spPr>
      </c:pivotFmt>
      <c:pivotFmt>
        <c:idx val="2"/>
        <c:spPr>
          <a:solidFill>
            <a:srgbClr val="96BF8A"/>
          </a:solidFill>
          <a:ln w="19050">
            <a:no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8EAE5"/>
          </a:solidFill>
          <a:ln w="19050">
            <a:noFill/>
          </a:ln>
          <a:effectLst/>
        </c:spPr>
      </c:pivotFmt>
      <c:pivotFmt>
        <c:idx val="5"/>
        <c:spPr>
          <a:solidFill>
            <a:srgbClr val="96BF8A"/>
          </a:solidFill>
          <a:ln w="19050">
            <a:no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E8EAE5"/>
          </a:solidFill>
          <a:ln w="19050">
            <a:noFill/>
          </a:ln>
          <a:effectLst/>
        </c:spPr>
        <c:dLbl>
          <c:idx val="0"/>
          <c:layout>
            <c:manualLayout>
              <c:x val="0.1357867556576825"/>
              <c:y val="-8.2532808416006954E-3"/>
            </c:manualLayout>
          </c:layout>
          <c:spPr>
            <a:no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w="19050">
            <a:noFill/>
          </a:ln>
          <a:effectLst/>
        </c:spPr>
        <c:dLbl>
          <c:idx val="0"/>
          <c:layout>
            <c:manualLayout>
              <c:x val="-5.2117263843648211E-2"/>
              <c:y val="-4.1025685201626201E-2"/>
            </c:manualLayout>
          </c:layout>
          <c:spPr>
            <a:no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74216491673746"/>
          <c:y val="0.27584234555935316"/>
          <c:w val="0.46482627117353387"/>
          <c:h val="0.68115467020354026"/>
        </c:manualLayout>
      </c:layout>
      <c:doughnutChart>
        <c:varyColors val="1"/>
        <c:ser>
          <c:idx val="0"/>
          <c:order val="0"/>
          <c:tx>
            <c:strRef>
              <c:f>Pivotable!$B$135</c:f>
              <c:strCache>
                <c:ptCount val="1"/>
                <c:pt idx="0">
                  <c:v>Total</c:v>
                </c:pt>
              </c:strCache>
            </c:strRef>
          </c:tx>
          <c:spPr>
            <a:ln>
              <a:noFill/>
            </a:ln>
          </c:spPr>
          <c:dPt>
            <c:idx val="0"/>
            <c:bubble3D val="0"/>
            <c:explosion val="10"/>
            <c:spPr>
              <a:solidFill>
                <a:srgbClr val="E8EAE5"/>
              </a:solidFill>
              <a:ln w="19050">
                <a:noFill/>
              </a:ln>
              <a:effectLst/>
            </c:spPr>
            <c:extLst>
              <c:ext xmlns:c16="http://schemas.microsoft.com/office/drawing/2014/chart" uri="{C3380CC4-5D6E-409C-BE32-E72D297353CC}">
                <c16:uniqueId val="{00000001-8BBE-4FA5-8A21-E5B623836C25}"/>
              </c:ext>
            </c:extLst>
          </c:dPt>
          <c:dPt>
            <c:idx val="1"/>
            <c:bubble3D val="0"/>
            <c:spPr>
              <a:solidFill>
                <a:schemeClr val="accent6">
                  <a:lumMod val="75000"/>
                </a:schemeClr>
              </a:solidFill>
              <a:ln w="19050">
                <a:noFill/>
              </a:ln>
              <a:effectLst/>
            </c:spPr>
            <c:extLst>
              <c:ext xmlns:c16="http://schemas.microsoft.com/office/drawing/2014/chart" uri="{C3380CC4-5D6E-409C-BE32-E72D297353CC}">
                <c16:uniqueId val="{00000003-8BBE-4FA5-8A21-E5B623836C25}"/>
              </c:ext>
            </c:extLst>
          </c:dPt>
          <c:dLbls>
            <c:dLbl>
              <c:idx val="0"/>
              <c:layout>
                <c:manualLayout>
                  <c:x val="0.1357867556576825"/>
                  <c:y val="-8.253280841600695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BBE-4FA5-8A21-E5B623836C25}"/>
                </c:ext>
              </c:extLst>
            </c:dLbl>
            <c:dLbl>
              <c:idx val="1"/>
              <c:layout>
                <c:manualLayout>
                  <c:x val="-5.2117263843648211E-2"/>
                  <c:y val="-4.10256852016262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BBE-4FA5-8A21-E5B623836C25}"/>
                </c:ext>
              </c:extLst>
            </c:dLbl>
            <c:spPr>
              <a:no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Pivotable!$A$136:$A$138</c:f>
              <c:strCache>
                <c:ptCount val="2"/>
                <c:pt idx="0">
                  <c:v>No</c:v>
                </c:pt>
                <c:pt idx="1">
                  <c:v>Yes</c:v>
                </c:pt>
              </c:strCache>
            </c:strRef>
          </c:cat>
          <c:val>
            <c:numRef>
              <c:f>Pivotable!$B$136:$B$138</c:f>
              <c:numCache>
                <c:formatCode>General</c:formatCode>
                <c:ptCount val="2"/>
                <c:pt idx="0">
                  <c:v>1233</c:v>
                </c:pt>
                <c:pt idx="1">
                  <c:v>237</c:v>
                </c:pt>
              </c:numCache>
            </c:numRef>
          </c:val>
          <c:extLst>
            <c:ext xmlns:c16="http://schemas.microsoft.com/office/drawing/2014/chart" uri="{C3380CC4-5D6E-409C-BE32-E72D297353CC}">
              <c16:uniqueId val="{00000004-8BBE-4FA5-8A21-E5B623836C25}"/>
            </c:ext>
          </c:extLst>
        </c:ser>
        <c:dLbls>
          <c:showLegendKey val="0"/>
          <c:showVal val="1"/>
          <c:showCatName val="0"/>
          <c:showSerName val="0"/>
          <c:showPercent val="0"/>
          <c:showBubbleSize val="0"/>
          <c:showLeaderLines val="1"/>
        </c:dLbls>
        <c:firstSliceAng val="0"/>
        <c:holeSize val="89"/>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5400000" algn="t" rotWithShape="0">
        <a:prstClr val="black"/>
      </a:outerShdw>
    </a:effectLst>
  </c:spPr>
  <c:txPr>
    <a:bodyPr/>
    <a:lstStyle/>
    <a:p>
      <a:pPr>
        <a:defRPr b="1">
          <a:solidFill>
            <a:srgbClr val="E8EAE5"/>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Atrrition.xlsx]Pivotable!PivotTable8</c:name>
    <c:fmtId val="6"/>
  </c:pivotSource>
  <c:chart>
    <c:title>
      <c:tx>
        <c:rich>
          <a:bodyPr rot="0" spcFirstLastPara="1" vertOverflow="ellipsis" vert="horz" wrap="square" anchor="ctr" anchorCtr="1"/>
          <a:lstStyle/>
          <a:p>
            <a:pPr>
              <a:defRPr sz="1400" b="1" i="0" u="none" strike="noStrike" kern="1200" spc="0" baseline="0">
                <a:solidFill>
                  <a:srgbClr val="E8EAE5"/>
                </a:solidFill>
                <a:latin typeface="Segoe UI" panose="020B0502040204020203" pitchFamily="34" charset="0"/>
                <a:ea typeface="+mn-ea"/>
                <a:cs typeface="Segoe UI" panose="020B0502040204020203" pitchFamily="34" charset="0"/>
              </a:defRPr>
            </a:pPr>
            <a:r>
              <a:rPr lang="en-US" sz="1100"/>
              <a:t>Attrition</a:t>
            </a:r>
            <a:r>
              <a:rPr lang="en-US" sz="1100" baseline="0"/>
              <a:t> by Job Satisfaction</a:t>
            </a:r>
            <a:endParaRPr lang="en-US" sz="1100"/>
          </a:p>
        </c:rich>
      </c:tx>
      <c:layout>
        <c:manualLayout>
          <c:xMode val="edge"/>
          <c:yMode val="edge"/>
          <c:x val="7.3512741745350909E-3"/>
          <c:y val="2.26760743608590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E8EAE5"/>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412E"/>
          </a:solidFill>
          <a:ln w="19050">
            <a:solidFill>
              <a:schemeClr val="lt1"/>
            </a:solidFill>
          </a:ln>
          <a:effectLst/>
        </c:spPr>
        <c:dLbl>
          <c:idx val="0"/>
          <c:layout>
            <c:manualLayout>
              <c:x val="8.2644663952913755E-2"/>
              <c:y val="-1.47737808431757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6BF8A"/>
          </a:solidFill>
          <a:ln w="19050">
            <a:solidFill>
              <a:schemeClr val="lt1"/>
            </a:solidFill>
          </a:ln>
          <a:effectLst/>
        </c:spPr>
        <c:dLbl>
          <c:idx val="0"/>
          <c:layout>
            <c:manualLayout>
              <c:x val="3.3057865581165469E-2"/>
              <c:y val="-3.69344521079393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65000"/>
              <a:lumOff val="35000"/>
            </a:schemeClr>
          </a:solidFill>
          <a:ln w="19050">
            <a:solidFill>
              <a:schemeClr val="lt1"/>
            </a:solidFill>
          </a:ln>
          <a:effectLst/>
        </c:spPr>
        <c:dLbl>
          <c:idx val="0"/>
          <c:layout>
            <c:manualLayout>
              <c:x val="-2.2038577054110345E-2"/>
              <c:y val="-8.86426850590544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6BF8A"/>
          </a:solidFill>
          <a:ln w="19050">
            <a:solidFill>
              <a:schemeClr val="lt1"/>
            </a:solidFill>
          </a:ln>
          <a:effectLst/>
        </c:spPr>
        <c:dLbl>
          <c:idx val="0"/>
          <c:layout>
            <c:manualLayout>
              <c:x val="3.3057865581165469E-2"/>
              <c:y val="-3.69344521079393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412E"/>
          </a:solidFill>
          <a:ln w="19050">
            <a:solidFill>
              <a:schemeClr val="lt1"/>
            </a:solidFill>
          </a:ln>
          <a:effectLst/>
        </c:spPr>
        <c:dLbl>
          <c:idx val="0"/>
          <c:layout>
            <c:manualLayout>
              <c:x val="8.2644663952913755E-2"/>
              <c:y val="-1.47737808431757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lumMod val="65000"/>
              <a:lumOff val="35000"/>
            </a:schemeClr>
          </a:solidFill>
          <a:ln w="19050">
            <a:solidFill>
              <a:schemeClr val="lt1"/>
            </a:solidFill>
          </a:ln>
          <a:effectLst/>
        </c:spPr>
        <c:dLbl>
          <c:idx val="0"/>
          <c:layout>
            <c:manualLayout>
              <c:x val="-2.2038577054110345E-2"/>
              <c:y val="-8.86426850590544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6BF8A"/>
          </a:solidFill>
          <a:ln w="19050">
            <a:noFill/>
          </a:ln>
          <a:effectLst/>
        </c:spPr>
        <c:dLbl>
          <c:idx val="0"/>
          <c:layout>
            <c:manualLayout>
              <c:x val="0.10832660584480812"/>
              <c:y val="-3.6934452107939338E-2"/>
            </c:manualLayout>
          </c:layout>
          <c:spPr>
            <a:no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E8EAE5"/>
          </a:solidFill>
          <a:ln w="19050">
            <a:noFill/>
          </a:ln>
          <a:effectLst/>
        </c:spPr>
        <c:dLbl>
          <c:idx val="0"/>
          <c:layout>
            <c:manualLayout>
              <c:x val="0.1794188381249843"/>
              <c:y val="-2.2160671264763603E-2"/>
            </c:manualLayout>
          </c:layout>
          <c:spPr>
            <a:no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1">
              <a:lumMod val="65000"/>
              <a:lumOff val="35000"/>
            </a:schemeClr>
          </a:solidFill>
          <a:ln w="19050">
            <a:noFill/>
          </a:ln>
          <a:effectLst/>
        </c:spPr>
        <c:dLbl>
          <c:idx val="0"/>
          <c:layout>
            <c:manualLayout>
              <c:x val="-2.2038577054110345E-2"/>
              <c:y val="-8.8642685059054482E-2"/>
            </c:manualLayout>
          </c:layout>
          <c:spPr>
            <a:no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96BF8A"/>
          </a:solidFill>
          <a:ln w="19050">
            <a:noFill/>
          </a:ln>
          <a:effectLst/>
        </c:spPr>
        <c:dLbl>
          <c:idx val="0"/>
          <c:layout>
            <c:manualLayout>
              <c:x val="0.10832660584480812"/>
              <c:y val="-3.6934452107939338E-2"/>
            </c:manualLayout>
          </c:layout>
          <c:spPr>
            <a:no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E8EAE5"/>
          </a:solidFill>
          <a:ln w="19050">
            <a:noFill/>
          </a:ln>
          <a:effectLst/>
        </c:spPr>
        <c:dLbl>
          <c:idx val="0"/>
          <c:layout>
            <c:manualLayout>
              <c:x val="0.1794188381249843"/>
              <c:y val="-2.2160671264763603E-2"/>
            </c:manualLayout>
          </c:layout>
          <c:spPr>
            <a:no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tx1">
              <a:lumMod val="65000"/>
              <a:lumOff val="35000"/>
            </a:schemeClr>
          </a:solidFill>
          <a:ln w="19050">
            <a:noFill/>
          </a:ln>
          <a:effectLst/>
        </c:spPr>
        <c:dLbl>
          <c:idx val="0"/>
          <c:layout>
            <c:manualLayout>
              <c:x val="-2.2038577054110345E-2"/>
              <c:y val="-8.8642685059054482E-2"/>
            </c:manualLayout>
          </c:layout>
          <c:spPr>
            <a:no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75000"/>
            </a:schemeClr>
          </a:solidFill>
          <a:ln w="19050">
            <a:noFill/>
          </a:ln>
          <a:effectLst/>
        </c:spPr>
        <c:dLbl>
          <c:idx val="0"/>
          <c:layout>
            <c:manualLayout>
              <c:x val="0.10832660584480812"/>
              <c:y val="-3.6934452107939338E-2"/>
            </c:manualLayout>
          </c:layout>
          <c:spPr>
            <a:no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E8EAE5"/>
          </a:solidFill>
          <a:ln w="19050">
            <a:noFill/>
          </a:ln>
          <a:effectLst/>
        </c:spPr>
        <c:dLbl>
          <c:idx val="0"/>
          <c:layout>
            <c:manualLayout>
              <c:x val="0.1794188381249843"/>
              <c:y val="-2.2160671264763603E-2"/>
            </c:manualLayout>
          </c:layout>
          <c:spPr>
            <a:no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tx1">
              <a:lumMod val="65000"/>
              <a:lumOff val="35000"/>
            </a:schemeClr>
          </a:solidFill>
          <a:ln w="19050">
            <a:noFill/>
          </a:ln>
          <a:effectLst/>
        </c:spPr>
        <c:dLbl>
          <c:idx val="0"/>
          <c:layout>
            <c:manualLayout>
              <c:x val="-2.2038577054110345E-2"/>
              <c:y val="-8.8642685059054482E-2"/>
            </c:manualLayout>
          </c:layout>
          <c:spPr>
            <a:no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84648363721114"/>
          <c:y val="0.38112231688772358"/>
          <c:w val="0.33827137259386225"/>
          <c:h val="0.50707154271702226"/>
        </c:manualLayout>
      </c:layout>
      <c:doughnutChart>
        <c:varyColors val="1"/>
        <c:ser>
          <c:idx val="0"/>
          <c:order val="0"/>
          <c:tx>
            <c:strRef>
              <c:f>Pivotable!$B$61:$B$62</c:f>
              <c:strCache>
                <c:ptCount val="1"/>
                <c:pt idx="0">
                  <c:v>Yes</c:v>
                </c:pt>
              </c:strCache>
            </c:strRef>
          </c:tx>
          <c:spPr>
            <a:ln>
              <a:noFill/>
            </a:ln>
          </c:spPr>
          <c:dPt>
            <c:idx val="0"/>
            <c:bubble3D val="0"/>
            <c:spPr>
              <a:solidFill>
                <a:schemeClr val="accent6">
                  <a:lumMod val="75000"/>
                </a:schemeClr>
              </a:solidFill>
              <a:ln w="19050">
                <a:noFill/>
              </a:ln>
              <a:effectLst/>
            </c:spPr>
            <c:extLst>
              <c:ext xmlns:c16="http://schemas.microsoft.com/office/drawing/2014/chart" uri="{C3380CC4-5D6E-409C-BE32-E72D297353CC}">
                <c16:uniqueId val="{00000001-45EB-4245-AEC6-98A374C6B792}"/>
              </c:ext>
            </c:extLst>
          </c:dPt>
          <c:dPt>
            <c:idx val="1"/>
            <c:bubble3D val="0"/>
            <c:spPr>
              <a:solidFill>
                <a:srgbClr val="E8EAE5"/>
              </a:solidFill>
              <a:ln w="19050">
                <a:noFill/>
              </a:ln>
              <a:effectLst/>
            </c:spPr>
            <c:extLst>
              <c:ext xmlns:c16="http://schemas.microsoft.com/office/drawing/2014/chart" uri="{C3380CC4-5D6E-409C-BE32-E72D297353CC}">
                <c16:uniqueId val="{00000003-45EB-4245-AEC6-98A374C6B792}"/>
              </c:ext>
            </c:extLst>
          </c:dPt>
          <c:dPt>
            <c:idx val="2"/>
            <c:bubble3D val="0"/>
            <c:spPr>
              <a:solidFill>
                <a:schemeClr val="tx1">
                  <a:lumMod val="65000"/>
                  <a:lumOff val="35000"/>
                </a:schemeClr>
              </a:solidFill>
              <a:ln w="19050">
                <a:noFill/>
              </a:ln>
              <a:effectLst/>
            </c:spPr>
            <c:extLst>
              <c:ext xmlns:c16="http://schemas.microsoft.com/office/drawing/2014/chart" uri="{C3380CC4-5D6E-409C-BE32-E72D297353CC}">
                <c16:uniqueId val="{00000005-45EB-4245-AEC6-98A374C6B792}"/>
              </c:ext>
            </c:extLst>
          </c:dPt>
          <c:dLbls>
            <c:dLbl>
              <c:idx val="0"/>
              <c:layout>
                <c:manualLayout>
                  <c:x val="0.10832660584480812"/>
                  <c:y val="-3.69344521079393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5EB-4245-AEC6-98A374C6B792}"/>
                </c:ext>
              </c:extLst>
            </c:dLbl>
            <c:dLbl>
              <c:idx val="1"/>
              <c:layout>
                <c:manualLayout>
                  <c:x val="0.1794188381249843"/>
                  <c:y val="-2.21606712647636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5EB-4245-AEC6-98A374C6B792}"/>
                </c:ext>
              </c:extLst>
            </c:dLbl>
            <c:dLbl>
              <c:idx val="2"/>
              <c:layout>
                <c:manualLayout>
                  <c:x val="-2.2038577054110345E-2"/>
                  <c:y val="-8.86426850590544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5EB-4245-AEC6-98A374C6B792}"/>
                </c:ext>
              </c:extLst>
            </c:dLbl>
            <c:spPr>
              <a:no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Pivotable!$A$63:$A$66</c:f>
              <c:strCache>
                <c:ptCount val="3"/>
                <c:pt idx="0">
                  <c:v>Excellent</c:v>
                </c:pt>
                <c:pt idx="1">
                  <c:v>fair</c:v>
                </c:pt>
                <c:pt idx="2">
                  <c:v>Good</c:v>
                </c:pt>
              </c:strCache>
            </c:strRef>
          </c:cat>
          <c:val>
            <c:numRef>
              <c:f>Pivotable!$B$63:$B$66</c:f>
              <c:numCache>
                <c:formatCode>0%</c:formatCode>
                <c:ptCount val="3"/>
                <c:pt idx="0">
                  <c:v>0.21940928270042195</c:v>
                </c:pt>
                <c:pt idx="1">
                  <c:v>0.47257383966244726</c:v>
                </c:pt>
                <c:pt idx="2">
                  <c:v>0.30801687763713081</c:v>
                </c:pt>
              </c:numCache>
            </c:numRef>
          </c:val>
          <c:extLst>
            <c:ext xmlns:c16="http://schemas.microsoft.com/office/drawing/2014/chart" uri="{C3380CC4-5D6E-409C-BE32-E72D297353CC}">
              <c16:uniqueId val="{00000006-45EB-4245-AEC6-98A374C6B792}"/>
            </c:ext>
          </c:extLst>
        </c:ser>
        <c:dLbls>
          <c:showLegendKey val="0"/>
          <c:showVal val="1"/>
          <c:showCatName val="0"/>
          <c:showSerName val="0"/>
          <c:showPercent val="0"/>
          <c:showBubbleSize val="0"/>
          <c:showLeaderLines val="1"/>
        </c:dLbls>
        <c:firstSliceAng val="0"/>
        <c:holeSize val="8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rgbClr val="E8EAE5"/>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5400000" algn="t" rotWithShape="0">
        <a:prstClr val="black"/>
      </a:outerShdw>
    </a:effectLst>
  </c:spPr>
  <c:txPr>
    <a:bodyPr/>
    <a:lstStyle/>
    <a:p>
      <a:pPr>
        <a:defRPr b="1">
          <a:solidFill>
            <a:srgbClr val="E8EAE5"/>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Atrrition.xlsx]Pivotable!PivotTable17</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100" b="1">
                <a:latin typeface="Segoe UI" panose="020B0502040204020203" pitchFamily="34" charset="0"/>
                <a:cs typeface="Segoe UI" panose="020B0502040204020203" pitchFamily="34" charset="0"/>
              </a:rPr>
              <a:t>Attrition</a:t>
            </a:r>
            <a:r>
              <a:rPr lang="en-US" sz="1100" b="1" baseline="0">
                <a:latin typeface="Segoe UI" panose="020B0502040204020203" pitchFamily="34" charset="0"/>
                <a:cs typeface="Segoe UI" panose="020B0502040204020203" pitchFamily="34" charset="0"/>
              </a:rPr>
              <a:t> by Martial Status vs. Income</a:t>
            </a:r>
            <a:endParaRPr lang="en-US" sz="1100" b="1">
              <a:latin typeface="Segoe UI" panose="020B0502040204020203" pitchFamily="34" charset="0"/>
              <a:cs typeface="Segoe UI" panose="020B0502040204020203" pitchFamily="34" charset="0"/>
            </a:endParaRPr>
          </a:p>
        </c:rich>
      </c:tx>
      <c:layout>
        <c:manualLayout>
          <c:xMode val="edge"/>
          <c:yMode val="edge"/>
          <c:x val="1.1998879975392335E-2"/>
          <c:y val="3.5798412655161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8EA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6B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8EAE5"/>
          </a:solidFill>
          <a:ln>
            <a:noFill/>
          </a:ln>
          <a:effectLst/>
        </c:spPr>
      </c:pivotFmt>
      <c:pivotFmt>
        <c:idx val="9"/>
        <c:spPr>
          <a:solidFill>
            <a:srgbClr val="E8EAE5"/>
          </a:solidFill>
          <a:ln>
            <a:noFill/>
          </a:ln>
          <a:effectLst/>
        </c:spPr>
      </c:pivotFmt>
      <c:pivotFmt>
        <c:idx val="10"/>
        <c:spPr>
          <a:solidFill>
            <a:srgbClr val="E8EA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6B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E8EAE5"/>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0.34384375355282804"/>
          <c:w val="0.71987639405150028"/>
          <c:h val="0.54757806355956495"/>
        </c:manualLayout>
      </c:layout>
      <c:barChart>
        <c:barDir val="col"/>
        <c:grouping val="clustered"/>
        <c:varyColors val="0"/>
        <c:ser>
          <c:idx val="0"/>
          <c:order val="0"/>
          <c:tx>
            <c:strRef>
              <c:f>Pivotable!$B$142</c:f>
              <c:strCache>
                <c:ptCount val="1"/>
                <c:pt idx="0">
                  <c:v>Avg MonthlyIncome</c:v>
                </c:pt>
              </c:strCache>
            </c:strRef>
          </c:tx>
          <c:spPr>
            <a:solidFill>
              <a:srgbClr val="E8EAE5"/>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Pivotable!$A$143:$A$145</c:f>
              <c:strCache>
                <c:ptCount val="2"/>
                <c:pt idx="0">
                  <c:v>Yes</c:v>
                </c:pt>
                <c:pt idx="1">
                  <c:v>No</c:v>
                </c:pt>
              </c:strCache>
            </c:strRef>
          </c:cat>
          <c:val>
            <c:numRef>
              <c:f>Pivotable!$B$143:$B$145</c:f>
              <c:numCache>
                <c:formatCode>[&gt;=1000000]"$"0.0,,"M";[&gt;=1000]"$"0.0,"K";"$ "0</c:formatCode>
                <c:ptCount val="2"/>
                <c:pt idx="0">
                  <c:v>14200.285100000001</c:v>
                </c:pt>
                <c:pt idx="1">
                  <c:v>20442.8351</c:v>
                </c:pt>
              </c:numCache>
            </c:numRef>
          </c:val>
          <c:extLst>
            <c:ext xmlns:c16="http://schemas.microsoft.com/office/drawing/2014/chart" uri="{C3380CC4-5D6E-409C-BE32-E72D297353CC}">
              <c16:uniqueId val="{00000000-4B1D-4DEC-8286-12BEAC17EFDC}"/>
            </c:ext>
          </c:extLst>
        </c:ser>
        <c:ser>
          <c:idx val="1"/>
          <c:order val="1"/>
          <c:tx>
            <c:strRef>
              <c:f>Pivotable!$C$142</c:f>
              <c:strCache>
                <c:ptCount val="1"/>
                <c:pt idx="0">
                  <c:v>Sum of 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Pivotable!$A$143:$A$145</c:f>
              <c:strCache>
                <c:ptCount val="2"/>
                <c:pt idx="0">
                  <c:v>Yes</c:v>
                </c:pt>
                <c:pt idx="1">
                  <c:v>No</c:v>
                </c:pt>
              </c:strCache>
            </c:strRef>
          </c:cat>
          <c:val>
            <c:numRef>
              <c:f>Pivotable!$C$143:$C$145</c:f>
              <c:numCache>
                <c:formatCode>General</c:formatCode>
                <c:ptCount val="2"/>
                <c:pt idx="0">
                  <c:v>237</c:v>
                </c:pt>
                <c:pt idx="1">
                  <c:v>1233</c:v>
                </c:pt>
              </c:numCache>
            </c:numRef>
          </c:val>
          <c:extLst>
            <c:ext xmlns:c16="http://schemas.microsoft.com/office/drawing/2014/chart" uri="{C3380CC4-5D6E-409C-BE32-E72D297353CC}">
              <c16:uniqueId val="{00000001-4B1D-4DEC-8286-12BEAC17EFDC}"/>
            </c:ext>
          </c:extLst>
        </c:ser>
        <c:dLbls>
          <c:dLblPos val="outEnd"/>
          <c:showLegendKey val="0"/>
          <c:showVal val="1"/>
          <c:showCatName val="0"/>
          <c:showSerName val="0"/>
          <c:showPercent val="0"/>
          <c:showBubbleSize val="0"/>
        </c:dLbls>
        <c:gapWidth val="433"/>
        <c:overlap val="-27"/>
        <c:axId val="1932626704"/>
        <c:axId val="1932622544"/>
      </c:barChart>
      <c:catAx>
        <c:axId val="1932626704"/>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32622544"/>
        <c:crosses val="autoZero"/>
        <c:auto val="1"/>
        <c:lblAlgn val="ctr"/>
        <c:lblOffset val="100"/>
        <c:noMultiLvlLbl val="0"/>
      </c:catAx>
      <c:valAx>
        <c:axId val="1932622544"/>
        <c:scaling>
          <c:orientation val="minMax"/>
        </c:scaling>
        <c:delete val="1"/>
        <c:axPos val="l"/>
        <c:numFmt formatCode="[&gt;=1000000]&quot;$&quot;0.0,,&quot;M&quot;;[&gt;=1000]&quot;$&quot;0.0,&quot;K&quot;;&quot;$ &quot;0" sourceLinked="1"/>
        <c:majorTickMark val="out"/>
        <c:minorTickMark val="none"/>
        <c:tickLblPos val="nextTo"/>
        <c:crossAx val="1932626704"/>
        <c:crosses val="autoZero"/>
        <c:crossBetween val="between"/>
      </c:valAx>
      <c:spPr>
        <a:noFill/>
        <a:ln>
          <a:noFill/>
        </a:ln>
        <a:effectLst/>
      </c:spPr>
    </c:plotArea>
    <c:legend>
      <c:legendPos val="r"/>
      <c:layout>
        <c:manualLayout>
          <c:xMode val="edge"/>
          <c:yMode val="edge"/>
          <c:x val="0.67886318368771592"/>
          <c:y val="0.43401065308143527"/>
          <c:w val="0.29891456806145511"/>
          <c:h val="0.23716589322677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16200000" rotWithShape="0">
        <a:prstClr val="black">
          <a:alpha val="40000"/>
        </a:prstClr>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Atrrition.xlsx]Pivotable!PivotTable18</c:name>
    <c:fmtId val="2"/>
  </c:pivotSource>
  <c:chart>
    <c:title>
      <c:tx>
        <c:rich>
          <a:bodyPr rot="0" vert="horz"/>
          <a:lstStyle/>
          <a:p>
            <a:pPr>
              <a:defRPr/>
            </a:pPr>
            <a:r>
              <a:rPr lang="en-US" sz="1100"/>
              <a:t>Attrition by Overtime</a:t>
            </a:r>
          </a:p>
        </c:rich>
      </c:tx>
      <c:layout>
        <c:manualLayout>
          <c:xMode val="edge"/>
          <c:yMode val="edge"/>
          <c:x val="1.2763975406848168E-2"/>
          <c:y val="2.4529970988963444E-2"/>
        </c:manualLayout>
      </c:layout>
      <c:overlay val="0"/>
      <c:spPr>
        <a:noFill/>
        <a:ln>
          <a:noFill/>
        </a:ln>
        <a:effectLst/>
      </c:spPr>
    </c:title>
    <c:autoTitleDeleted val="0"/>
    <c:pivotFmts>
      <c:pivotFmt>
        <c:idx val="0"/>
        <c:spPr>
          <a:solidFill>
            <a:srgbClr val="96B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6B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8EA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6BF8A"/>
          </a:solidFill>
          <a:ln>
            <a:noFill/>
          </a:ln>
          <a:effectLst/>
        </c:spPr>
      </c:pivotFmt>
      <c:pivotFmt>
        <c:idx val="4"/>
      </c:pivotFmt>
      <c:pivotFmt>
        <c:idx val="5"/>
        <c:spPr>
          <a:solidFill>
            <a:srgbClr val="96B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6BF8A"/>
          </a:solidFill>
          <a:ln>
            <a:noFill/>
          </a:ln>
          <a:effectLst/>
        </c:spPr>
      </c:pivotFmt>
      <c:pivotFmt>
        <c:idx val="7"/>
        <c:spPr>
          <a:solidFill>
            <a:srgbClr val="E8EA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8EAE5"/>
          </a:solidFill>
          <a:ln>
            <a:noFill/>
          </a:ln>
          <a:effectLst/>
        </c:spPr>
      </c:pivotFmt>
      <c:pivotFmt>
        <c:idx val="9"/>
        <c:spPr>
          <a:solidFill>
            <a:srgbClr val="96BF8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6BF8A"/>
          </a:solidFill>
          <a:ln>
            <a:noFill/>
          </a:ln>
          <a:effectLst/>
        </c:spPr>
      </c:pivotFmt>
      <c:pivotFmt>
        <c:idx val="11"/>
        <c:spPr>
          <a:solidFill>
            <a:srgbClr val="E8EAE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E8EAE5"/>
          </a:solidFill>
          <a:ln>
            <a:noFill/>
          </a:ln>
          <a:effectLst/>
        </c:spPr>
      </c:pivotFmt>
      <c:pivotFmt>
        <c:idx val="13"/>
        <c:spPr>
          <a:solidFill>
            <a:schemeClr val="accent6">
              <a:lumMod val="75000"/>
            </a:schemeClr>
          </a:solidFill>
        </c:spPr>
        <c:marker>
          <c:symbol val="none"/>
        </c:marker>
        <c:dLbl>
          <c:idx val="0"/>
          <c:spPr>
            <a:noFill/>
            <a:ln>
              <a:noFill/>
            </a:ln>
            <a:effectLst/>
          </c:spPr>
          <c:txPr>
            <a:bodyPr rot="0" vert="horz" wrap="none" anchor="t" anchorCtr="1"/>
            <a:lstStyle/>
            <a:p>
              <a:pPr>
                <a:defRPr b="1">
                  <a:solidFill>
                    <a:schemeClr val="bg1"/>
                  </a:solidFill>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dLbl>
          <c:idx val="0"/>
          <c:layout>
            <c:manualLayout>
              <c:x val="-0.1000486220534192"/>
              <c:y val="-0.22956383007490344"/>
            </c:manualLayout>
          </c:layout>
          <c:spPr>
            <a:solidFill>
              <a:srgbClr val="96BF8A">
                <a:alpha val="38000"/>
              </a:srgbClr>
            </a:solidFill>
            <a:ln>
              <a:noFill/>
            </a:ln>
            <a:effectLst/>
          </c:spPr>
          <c:txPr>
            <a:bodyPr rot="0" vert="horz" wrap="none" anchor="t" anchorCtr="1"/>
            <a:lstStyle/>
            <a:p>
              <a:pPr>
                <a:defRPr b="1">
                  <a:solidFill>
                    <a:schemeClr val="bg1"/>
                  </a:solidFill>
                </a:defRPr>
              </a:pPr>
              <a:endParaRPr lang="en-US"/>
            </a:p>
          </c:txPr>
          <c:showLegendKey val="1"/>
          <c:showVal val="1"/>
          <c:showCatName val="0"/>
          <c:showSerName val="0"/>
          <c:showPercent val="0"/>
          <c:showBubbleSize val="0"/>
          <c:extLst>
            <c:ext xmlns:c15="http://schemas.microsoft.com/office/drawing/2012/chart" uri="{CE6537A1-D6FC-4f65-9D91-7224C49458BB}">
              <c15:layout>
                <c:manualLayout>
                  <c:w val="0.23983541696326521"/>
                  <c:h val="0.10911346367053351"/>
                </c:manualLayout>
              </c15:layout>
            </c:ext>
          </c:extLst>
        </c:dLbl>
      </c:pivotFmt>
      <c:pivotFmt>
        <c:idx val="15"/>
        <c:spPr>
          <a:solidFill>
            <a:srgbClr val="E8EAE5"/>
          </a:solidFill>
        </c:spPr>
        <c:marker>
          <c:symbol val="none"/>
        </c:marker>
        <c:dLbl>
          <c:idx val="0"/>
          <c:spPr>
            <a:solidFill>
              <a:srgbClr val="E7E6C4">
                <a:alpha val="38000"/>
              </a:srgbClr>
            </a:solidFill>
            <a:ln>
              <a:noFill/>
            </a:ln>
            <a:effectLst/>
          </c:spPr>
          <c:txPr>
            <a:bodyPr rot="0" vert="horz"/>
            <a:lstStyle/>
            <a:p>
              <a:pPr>
                <a:defRPr b="1">
                  <a:solidFill>
                    <a:schemeClr val="tx1"/>
                  </a:solidFill>
                </a:defRPr>
              </a:pPr>
              <a:endParaRPr lang="en-US"/>
            </a:p>
          </c:txPr>
          <c:showLegendKey val="1"/>
          <c:showVal val="1"/>
          <c:showCatName val="0"/>
          <c:showSerName val="0"/>
          <c:showPercent val="0"/>
          <c:showBubbleSize val="0"/>
          <c:extLst>
            <c:ext xmlns:c15="http://schemas.microsoft.com/office/drawing/2012/chart" uri="{CE6537A1-D6FC-4f65-9D91-7224C49458BB}"/>
          </c:extLst>
        </c:dLbl>
      </c:pivotFmt>
      <c:pivotFmt>
        <c:idx val="16"/>
        <c:spPr>
          <a:solidFill>
            <a:srgbClr val="E8EAE5"/>
          </a:solidFill>
          <a:ln>
            <a:noFill/>
          </a:ln>
          <a:effectLst/>
        </c:spPr>
        <c:dLbl>
          <c:idx val="0"/>
          <c:layout>
            <c:manualLayout>
              <c:x val="0.22696545300551854"/>
              <c:y val="-4.8711307350879023E-2"/>
            </c:manualLayout>
          </c:layout>
          <c:spPr>
            <a:solidFill>
              <a:srgbClr val="E7E6C4">
                <a:alpha val="38000"/>
              </a:srgbClr>
            </a:solidFill>
            <a:ln>
              <a:noFill/>
            </a:ln>
            <a:effectLst/>
          </c:spPr>
          <c:txPr>
            <a:bodyPr rot="0" vert="horz"/>
            <a:lstStyle/>
            <a:p>
              <a:pPr>
                <a:defRPr b="1">
                  <a:solidFill>
                    <a:schemeClr val="bg1"/>
                  </a:solidFill>
                </a:defRPr>
              </a:pPr>
              <a:endParaRPr lang="en-US"/>
            </a:p>
          </c:txPr>
          <c:showLegendKey val="1"/>
          <c:showVal val="1"/>
          <c:showCatName val="0"/>
          <c:showSerName val="0"/>
          <c:showPercent val="0"/>
          <c:showBubbleSize val="0"/>
          <c:extLst>
            <c:ext xmlns:c15="http://schemas.microsoft.com/office/drawing/2012/chart" uri="{CE6537A1-D6FC-4f65-9D91-7224C49458BB}">
              <c15:layout>
                <c:manualLayout>
                  <c:w val="0.21885111999633222"/>
                  <c:h val="0.13364343465949696"/>
                </c:manualLayout>
              </c15:layout>
            </c:ext>
          </c:extLst>
        </c:dLbl>
      </c:pivotFmt>
    </c:pivotFmts>
    <c:plotArea>
      <c:layout/>
      <c:doughnutChart>
        <c:varyColors val="1"/>
        <c:ser>
          <c:idx val="0"/>
          <c:order val="0"/>
          <c:tx>
            <c:strRef>
              <c:f>Pivotable!$B$154:$B$155</c:f>
              <c:strCache>
                <c:ptCount val="1"/>
                <c:pt idx="0">
                  <c:v>Yes</c:v>
                </c:pt>
              </c:strCache>
            </c:strRef>
          </c:tx>
          <c:spPr>
            <a:solidFill>
              <a:schemeClr val="accent6">
                <a:lumMod val="75000"/>
              </a:schemeClr>
            </a:solidFill>
          </c:spPr>
          <c:dPt>
            <c:idx val="0"/>
            <c:bubble3D val="0"/>
            <c:spPr>
              <a:solidFill>
                <a:schemeClr val="accent6">
                  <a:lumMod val="75000"/>
                </a:schemeClr>
              </a:solidFill>
              <a:ln>
                <a:noFill/>
              </a:ln>
              <a:effectLst/>
            </c:spPr>
            <c:extLst>
              <c:ext xmlns:c16="http://schemas.microsoft.com/office/drawing/2014/chart" uri="{C3380CC4-5D6E-409C-BE32-E72D297353CC}">
                <c16:uniqueId val="{00000005-91E4-44C1-90EC-8E196244B184}"/>
              </c:ext>
            </c:extLst>
          </c:dPt>
          <c:dLbls>
            <c:dLbl>
              <c:idx val="0"/>
              <c:layout>
                <c:manualLayout>
                  <c:x val="-0.1000486220534192"/>
                  <c:y val="-0.22956383007490344"/>
                </c:manualLayout>
              </c:layout>
              <c:spPr>
                <a:solidFill>
                  <a:srgbClr val="96BF8A">
                    <a:alpha val="38000"/>
                  </a:srgbClr>
                </a:solidFill>
                <a:ln>
                  <a:noFill/>
                </a:ln>
                <a:effectLst/>
              </c:spPr>
              <c:txPr>
                <a:bodyPr rot="0" vert="horz" wrap="none" anchor="t" anchorCtr="1"/>
                <a:lstStyle/>
                <a:p>
                  <a:pPr>
                    <a:defRPr b="1">
                      <a:solidFill>
                        <a:schemeClr val="bg1"/>
                      </a:solidFill>
                    </a:defRPr>
                  </a:pPr>
                  <a:endParaRPr lang="en-US"/>
                </a:p>
              </c:txPr>
              <c:showLegendKey val="1"/>
              <c:showVal val="1"/>
              <c:showCatName val="0"/>
              <c:showSerName val="0"/>
              <c:showPercent val="0"/>
              <c:showBubbleSize val="0"/>
              <c:extLst>
                <c:ext xmlns:c15="http://schemas.microsoft.com/office/drawing/2012/chart" uri="{CE6537A1-D6FC-4f65-9D91-7224C49458BB}">
                  <c15:layout>
                    <c:manualLayout>
                      <c:w val="0.23983541696326521"/>
                      <c:h val="0.10911346367053351"/>
                    </c:manualLayout>
                  </c15:layout>
                </c:ext>
                <c:ext xmlns:c16="http://schemas.microsoft.com/office/drawing/2014/chart" uri="{C3380CC4-5D6E-409C-BE32-E72D297353CC}">
                  <c16:uniqueId val="{00000005-91E4-44C1-90EC-8E196244B184}"/>
                </c:ext>
              </c:extLst>
            </c:dLbl>
            <c:spPr>
              <a:noFill/>
              <a:ln>
                <a:noFill/>
              </a:ln>
              <a:effectLst/>
            </c:spPr>
            <c:txPr>
              <a:bodyPr rot="0" vert="horz" wrap="none" anchor="t" anchorCtr="1"/>
              <a:lstStyle/>
              <a:p>
                <a:pPr>
                  <a:defRPr b="1">
                    <a:solidFill>
                      <a:schemeClr val="bg1"/>
                    </a:solidFill>
                  </a:defRPr>
                </a:pPr>
                <a:endParaRPr lang="en-US"/>
              </a:p>
            </c:txPr>
            <c:showLegendKey val="1"/>
            <c:showVal val="1"/>
            <c:showCatName val="0"/>
            <c:showSerName val="0"/>
            <c:showPercent val="0"/>
            <c:showBubbleSize val="0"/>
            <c:showLeaderLines val="0"/>
            <c:extLst>
              <c:ext xmlns:c15="http://schemas.microsoft.com/office/drawing/2012/chart" uri="{CE6537A1-D6FC-4f65-9D91-7224C49458BB}"/>
            </c:extLst>
          </c:dLbls>
          <c:cat>
            <c:strRef>
              <c:f>Pivotable!$A$156:$A$157</c:f>
              <c:strCache>
                <c:ptCount val="1"/>
                <c:pt idx="0">
                  <c:v>Yes</c:v>
                </c:pt>
              </c:strCache>
            </c:strRef>
          </c:cat>
          <c:val>
            <c:numRef>
              <c:f>Pivotable!$B$156:$B$157</c:f>
              <c:numCache>
                <c:formatCode>0.00%</c:formatCode>
                <c:ptCount val="1"/>
                <c:pt idx="0">
                  <c:v>0.53586497890295359</c:v>
                </c:pt>
              </c:numCache>
            </c:numRef>
          </c:val>
          <c:extLst>
            <c:ext xmlns:c16="http://schemas.microsoft.com/office/drawing/2014/chart" uri="{C3380CC4-5D6E-409C-BE32-E72D297353CC}">
              <c16:uniqueId val="{00000006-91E4-44C1-90EC-8E196244B184}"/>
            </c:ext>
          </c:extLst>
        </c:ser>
        <c:ser>
          <c:idx val="1"/>
          <c:order val="1"/>
          <c:tx>
            <c:strRef>
              <c:f>Pivotable!$C$154:$C$155</c:f>
              <c:strCache>
                <c:ptCount val="1"/>
                <c:pt idx="0">
                  <c:v>No</c:v>
                </c:pt>
              </c:strCache>
            </c:strRef>
          </c:tx>
          <c:spPr>
            <a:solidFill>
              <a:srgbClr val="E8EAE5"/>
            </a:solidFill>
          </c:spPr>
          <c:dPt>
            <c:idx val="0"/>
            <c:bubble3D val="0"/>
            <c:spPr>
              <a:solidFill>
                <a:srgbClr val="E8EAE5"/>
              </a:solidFill>
              <a:ln>
                <a:noFill/>
              </a:ln>
              <a:effectLst/>
            </c:spPr>
            <c:extLst>
              <c:ext xmlns:c16="http://schemas.microsoft.com/office/drawing/2014/chart" uri="{C3380CC4-5D6E-409C-BE32-E72D297353CC}">
                <c16:uniqueId val="{00000009-91E4-44C1-90EC-8E196244B184}"/>
              </c:ext>
            </c:extLst>
          </c:dPt>
          <c:dLbls>
            <c:dLbl>
              <c:idx val="0"/>
              <c:layout>
                <c:manualLayout>
                  <c:x val="0.22696545300551854"/>
                  <c:y val="-4.8711307350879023E-2"/>
                </c:manualLayout>
              </c:layout>
              <c:spPr>
                <a:solidFill>
                  <a:srgbClr val="E7E6C4">
                    <a:alpha val="38000"/>
                  </a:srgbClr>
                </a:solidFill>
                <a:ln>
                  <a:noFill/>
                </a:ln>
                <a:effectLst/>
              </c:spPr>
              <c:txPr>
                <a:bodyPr rot="0" vert="horz"/>
                <a:lstStyle/>
                <a:p>
                  <a:pPr>
                    <a:defRPr b="1">
                      <a:solidFill>
                        <a:schemeClr val="bg1"/>
                      </a:solidFill>
                    </a:defRPr>
                  </a:pPr>
                  <a:endParaRPr lang="en-US"/>
                </a:p>
              </c:txPr>
              <c:showLegendKey val="1"/>
              <c:showVal val="1"/>
              <c:showCatName val="0"/>
              <c:showSerName val="0"/>
              <c:showPercent val="0"/>
              <c:showBubbleSize val="0"/>
              <c:extLst>
                <c:ext xmlns:c15="http://schemas.microsoft.com/office/drawing/2012/chart" uri="{CE6537A1-D6FC-4f65-9D91-7224C49458BB}">
                  <c15:layout>
                    <c:manualLayout>
                      <c:w val="0.21885111999633222"/>
                      <c:h val="0.13364343465949696"/>
                    </c:manualLayout>
                  </c15:layout>
                </c:ext>
                <c:ext xmlns:c16="http://schemas.microsoft.com/office/drawing/2014/chart" uri="{C3380CC4-5D6E-409C-BE32-E72D297353CC}">
                  <c16:uniqueId val="{00000009-91E4-44C1-90EC-8E196244B184}"/>
                </c:ext>
              </c:extLst>
            </c:dLbl>
            <c:spPr>
              <a:solidFill>
                <a:srgbClr val="E7E6C4">
                  <a:alpha val="38000"/>
                </a:srgbClr>
              </a:solidFill>
              <a:ln>
                <a:noFill/>
              </a:ln>
              <a:effectLst/>
            </c:spPr>
            <c:txPr>
              <a:bodyPr rot="0" vert="horz"/>
              <a:lstStyle/>
              <a:p>
                <a:pPr>
                  <a:defRPr b="1">
                    <a:solidFill>
                      <a:schemeClr val="tx1"/>
                    </a:solidFill>
                  </a:defRPr>
                </a:pPr>
                <a:endParaRPr lang="en-US"/>
              </a:p>
            </c:txPr>
            <c:showLegendKey val="1"/>
            <c:showVal val="1"/>
            <c:showCatName val="0"/>
            <c:showSerName val="0"/>
            <c:showPercent val="0"/>
            <c:showBubbleSize val="0"/>
            <c:showLeaderLines val="0"/>
            <c:extLst>
              <c:ext xmlns:c15="http://schemas.microsoft.com/office/drawing/2012/chart" uri="{CE6537A1-D6FC-4f65-9D91-7224C49458BB}"/>
            </c:extLst>
          </c:dLbls>
          <c:cat>
            <c:strRef>
              <c:f>Pivotable!$A$156:$A$157</c:f>
              <c:strCache>
                <c:ptCount val="1"/>
                <c:pt idx="0">
                  <c:v>Yes</c:v>
                </c:pt>
              </c:strCache>
            </c:strRef>
          </c:cat>
          <c:val>
            <c:numRef>
              <c:f>Pivotable!$C$156:$C$157</c:f>
              <c:numCache>
                <c:formatCode>0.00%</c:formatCode>
                <c:ptCount val="1"/>
                <c:pt idx="0">
                  <c:v>0.46413502109704641</c:v>
                </c:pt>
              </c:numCache>
            </c:numRef>
          </c:val>
          <c:extLst>
            <c:ext xmlns:c16="http://schemas.microsoft.com/office/drawing/2014/chart" uri="{C3380CC4-5D6E-409C-BE32-E72D297353CC}">
              <c16:uniqueId val="{0000000A-91E4-44C1-90EC-8E196244B184}"/>
            </c:ext>
          </c:extLst>
        </c:ser>
        <c:dLbls>
          <c:showLegendKey val="0"/>
          <c:showVal val="0"/>
          <c:showCatName val="0"/>
          <c:showSerName val="0"/>
          <c:showPercent val="0"/>
          <c:showBubbleSize val="0"/>
          <c:showLeaderLines val="0"/>
        </c:dLbls>
        <c:firstSliceAng val="0"/>
        <c:holeSize val="70"/>
      </c:doughnutChart>
      <c:spPr>
        <a:noFill/>
        <a:ln>
          <a:noFill/>
        </a:ln>
      </c:spPr>
    </c:plotArea>
    <c:plotVisOnly val="1"/>
    <c:dispBlanksAs val="gap"/>
    <c:showDLblsOverMax val="0"/>
    <c:extLst/>
  </c:chart>
  <c:spPr>
    <a:noFill/>
    <a:ln w="9525" cap="flat" cmpd="sng" algn="ctr">
      <a:noFill/>
      <a:round/>
    </a:ln>
    <a:effectLst>
      <a:outerShdw blurRad="50800" dist="38100" dir="16200000" rotWithShape="0">
        <a:prstClr val="black"/>
      </a:outerShdw>
    </a:effectLst>
  </c:spPr>
  <c:txPr>
    <a:bodyPr/>
    <a:lstStyle/>
    <a:p>
      <a:pPr>
        <a:defRPr>
          <a:solidFill>
            <a:schemeClr val="bg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Atrrition.xlsx]Pivotable!PivotTable21</c:name>
    <c:fmtId val="3"/>
  </c:pivotSource>
  <c:chart>
    <c:title>
      <c:tx>
        <c:rich>
          <a:bodyPr rot="0" spcFirstLastPara="1" vertOverflow="ellipsis" vert="horz" wrap="square" anchor="ctr" anchorCtr="1"/>
          <a:lstStyle/>
          <a:p>
            <a:pPr>
              <a:defRPr sz="1400" b="1" i="0" u="none" strike="noStrike" kern="1200" spc="0" baseline="0">
                <a:solidFill>
                  <a:schemeClr val="bg1"/>
                </a:solidFill>
                <a:latin typeface="Segoe UI" panose="020B0502040204020203" pitchFamily="34" charset="0"/>
                <a:ea typeface="+mn-ea"/>
                <a:cs typeface="Segoe UI" panose="020B0502040204020203" pitchFamily="34" charset="0"/>
              </a:defRPr>
            </a:pPr>
            <a:r>
              <a:rPr lang="en-US" sz="1100" b="1" i="0" u="none" strike="noStrike" baseline="0"/>
              <a:t>Promotion Tenure &amp; Attrition</a:t>
            </a:r>
            <a:endParaRPr lang="en-US" sz="900"/>
          </a:p>
        </c:rich>
      </c:tx>
      <c:layout>
        <c:manualLayout>
          <c:xMode val="edge"/>
          <c:yMode val="edge"/>
          <c:x val="2.1346134518317572E-2"/>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8EAE5"/>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8EAE5"/>
          </a:solidFill>
          <a:ln>
            <a:noFill/>
          </a:ln>
          <a:effectLst/>
        </c:spPr>
      </c:pivotFmt>
    </c:pivotFmts>
    <c:plotArea>
      <c:layout>
        <c:manualLayout>
          <c:layoutTarget val="inner"/>
          <c:xMode val="edge"/>
          <c:yMode val="edge"/>
          <c:x val="0.26384030946256043"/>
          <c:y val="0.33539127154191123"/>
          <c:w val="0.65333917437267008"/>
          <c:h val="0.57806629385895625"/>
        </c:manualLayout>
      </c:layout>
      <c:barChart>
        <c:barDir val="bar"/>
        <c:grouping val="clustered"/>
        <c:varyColors val="0"/>
        <c:ser>
          <c:idx val="0"/>
          <c:order val="0"/>
          <c:tx>
            <c:strRef>
              <c:f>Pivotable!$O$2</c:f>
              <c:strCache>
                <c:ptCount val="1"/>
                <c:pt idx="0">
                  <c:v>Total</c:v>
                </c:pt>
              </c:strCache>
            </c:strRef>
          </c:tx>
          <c:spPr>
            <a:solidFill>
              <a:srgbClr val="E8EAE5"/>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Pivotable!$N$3:$N$7</c:f>
              <c:strCache>
                <c:ptCount val="4"/>
                <c:pt idx="0">
                  <c:v>Less 1yrs</c:v>
                </c:pt>
                <c:pt idx="1">
                  <c:v>1-5yrs</c:v>
                </c:pt>
                <c:pt idx="2">
                  <c:v>6-10yrs</c:v>
                </c:pt>
                <c:pt idx="3">
                  <c:v>11-15yrs</c:v>
                </c:pt>
              </c:strCache>
            </c:strRef>
          </c:cat>
          <c:val>
            <c:numRef>
              <c:f>Pivotable!$O$3:$O$7</c:f>
              <c:numCache>
                <c:formatCode>General</c:formatCode>
                <c:ptCount val="4"/>
                <c:pt idx="0">
                  <c:v>159</c:v>
                </c:pt>
                <c:pt idx="1">
                  <c:v>43</c:v>
                </c:pt>
                <c:pt idx="2">
                  <c:v>27</c:v>
                </c:pt>
                <c:pt idx="3">
                  <c:v>8</c:v>
                </c:pt>
              </c:numCache>
            </c:numRef>
          </c:val>
          <c:extLst>
            <c:ext xmlns:c16="http://schemas.microsoft.com/office/drawing/2014/chart" uri="{C3380CC4-5D6E-409C-BE32-E72D297353CC}">
              <c16:uniqueId val="{00000000-1F4D-4989-9A07-8F4D8F5EAC43}"/>
            </c:ext>
          </c:extLst>
        </c:ser>
        <c:dLbls>
          <c:dLblPos val="outEnd"/>
          <c:showLegendKey val="0"/>
          <c:showVal val="1"/>
          <c:showCatName val="0"/>
          <c:showSerName val="0"/>
          <c:showPercent val="0"/>
          <c:showBubbleSize val="0"/>
        </c:dLbls>
        <c:gapWidth val="369"/>
        <c:overlap val="-3"/>
        <c:axId val="250214991"/>
        <c:axId val="250217487"/>
      </c:barChart>
      <c:catAx>
        <c:axId val="250214991"/>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crossAx val="250217487"/>
        <c:crosses val="autoZero"/>
        <c:auto val="1"/>
        <c:lblAlgn val="ctr"/>
        <c:lblOffset val="100"/>
        <c:noMultiLvlLbl val="0"/>
      </c:catAx>
      <c:valAx>
        <c:axId val="250217487"/>
        <c:scaling>
          <c:orientation val="minMax"/>
        </c:scaling>
        <c:delete val="1"/>
        <c:axPos val="t"/>
        <c:numFmt formatCode="General" sourceLinked="1"/>
        <c:majorTickMark val="none"/>
        <c:minorTickMark val="none"/>
        <c:tickLblPos val="nextTo"/>
        <c:crossAx val="2502149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5400000" algn="t" rotWithShape="0">
        <a:prstClr val="black"/>
      </a:outerShdw>
    </a:effectLst>
  </c:spPr>
  <c:txPr>
    <a:bodyPr/>
    <a:lstStyle/>
    <a:p>
      <a:pPr>
        <a:defRPr b="1">
          <a:solidFill>
            <a:schemeClr val="bg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Atrrition.xlsx]Pivotable!PivotTable27</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Segoe UI" panose="020B0502040204020203" pitchFamily="34" charset="0"/>
                <a:ea typeface="+mn-ea"/>
                <a:cs typeface="Segoe UI" panose="020B0502040204020203" pitchFamily="34" charset="0"/>
              </a:defRPr>
            </a:pPr>
            <a:r>
              <a:rPr lang="en-US" sz="1100"/>
              <a:t>Performance Rating</a:t>
            </a:r>
          </a:p>
        </c:rich>
      </c:tx>
      <c:layout>
        <c:manualLayout>
          <c:xMode val="edge"/>
          <c:yMode val="edge"/>
          <c:x val="1.6168560425220396E-3"/>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6BF8A"/>
          </a:solidFill>
          <a:ln w="19050">
            <a:solidFill>
              <a:schemeClr val="lt1"/>
            </a:solidFill>
          </a:ln>
          <a:effectLst/>
        </c:spPr>
      </c:pivotFmt>
      <c:pivotFmt>
        <c:idx val="2"/>
        <c:spPr>
          <a:solidFill>
            <a:srgbClr val="E8EAE5"/>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6BF8A"/>
          </a:solidFill>
          <a:ln w="19050">
            <a:solidFill>
              <a:schemeClr val="lt1"/>
            </a:solidFill>
          </a:ln>
          <a:effectLst/>
        </c:spPr>
      </c:pivotFmt>
      <c:pivotFmt>
        <c:idx val="5"/>
        <c:spPr>
          <a:solidFill>
            <a:srgbClr val="E8EAE5"/>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6097921761466169"/>
              <c:y val="-4.6512329086997074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E8EAE5"/>
          </a:solidFill>
          <a:ln w="19050">
            <a:solidFill>
              <a:schemeClr val="lt1"/>
            </a:solidFill>
          </a:ln>
          <a:effectLst/>
        </c:spPr>
        <c:dLbl>
          <c:idx val="0"/>
          <c:layout>
            <c:manualLayout>
              <c:x val="-4.943091202951843E-2"/>
              <c:y val="-7.9664580751030029E-2"/>
            </c:manualLayout>
          </c:layout>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70385989278776"/>
          <c:y val="0.46436985943906101"/>
          <c:w val="0.41002474203206668"/>
          <c:h val="0.53036725999006384"/>
        </c:manualLayout>
      </c:layout>
      <c:doughnutChart>
        <c:varyColors val="1"/>
        <c:ser>
          <c:idx val="0"/>
          <c:order val="0"/>
          <c:tx>
            <c:strRef>
              <c:f>Pivotable!$U$57</c:f>
              <c:strCache>
                <c:ptCount val="1"/>
                <c:pt idx="0">
                  <c:v>Total</c:v>
                </c:pt>
              </c:strCache>
            </c:strRef>
          </c:tx>
          <c:explosion val="9"/>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F949-4D78-B092-C569C42E2258}"/>
              </c:ext>
            </c:extLst>
          </c:dPt>
          <c:dPt>
            <c:idx val="1"/>
            <c:bubble3D val="0"/>
            <c:spPr>
              <a:solidFill>
                <a:srgbClr val="E8EAE5"/>
              </a:solidFill>
              <a:ln w="19050">
                <a:solidFill>
                  <a:schemeClr val="lt1"/>
                </a:solidFill>
              </a:ln>
              <a:effectLst/>
            </c:spPr>
            <c:extLst>
              <c:ext xmlns:c16="http://schemas.microsoft.com/office/drawing/2014/chart" uri="{C3380CC4-5D6E-409C-BE32-E72D297353CC}">
                <c16:uniqueId val="{00000003-F949-4D78-B092-C569C42E2258}"/>
              </c:ext>
            </c:extLst>
          </c:dPt>
          <c:dLbls>
            <c:dLbl>
              <c:idx val="0"/>
              <c:layout>
                <c:manualLayout>
                  <c:x val="0.16097921761466169"/>
                  <c:y val="-4.65123290869970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949-4D78-B092-C569C42E2258}"/>
                </c:ext>
              </c:extLst>
            </c:dLbl>
            <c:dLbl>
              <c:idx val="1"/>
              <c:layout>
                <c:manualLayout>
                  <c:x val="-4.943091202951843E-2"/>
                  <c:y val="-7.96645807510300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949-4D78-B092-C569C42E2258}"/>
                </c:ext>
              </c:extLst>
            </c:dLbl>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Pivotable!$T$58:$T$60</c:f>
              <c:strCache>
                <c:ptCount val="2"/>
                <c:pt idx="0">
                  <c:v>Excellent</c:v>
                </c:pt>
                <c:pt idx="1">
                  <c:v>Outstanding</c:v>
                </c:pt>
              </c:strCache>
            </c:strRef>
          </c:cat>
          <c:val>
            <c:numRef>
              <c:f>Pivotable!$U$58:$U$60</c:f>
              <c:numCache>
                <c:formatCode>0%</c:formatCode>
                <c:ptCount val="2"/>
                <c:pt idx="0">
                  <c:v>0.84388185654008441</c:v>
                </c:pt>
                <c:pt idx="1">
                  <c:v>0.15611814345991562</c:v>
                </c:pt>
              </c:numCache>
            </c:numRef>
          </c:val>
          <c:extLst>
            <c:ext xmlns:c16="http://schemas.microsoft.com/office/drawing/2014/chart" uri="{C3380CC4-5D6E-409C-BE32-E72D297353CC}">
              <c16:uniqueId val="{00000004-F949-4D78-B092-C569C42E225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Segoe UI" panose="020B0502040204020203" pitchFamily="34" charset="0"/>
              <a:ea typeface="+mn-ea"/>
              <a:cs typeface="Segoe UI" panose="020B0502040204020203"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5400000" algn="t" rotWithShape="0">
        <a:prstClr val="black"/>
      </a:outerShdw>
    </a:effectLst>
  </c:spPr>
  <c:txPr>
    <a:bodyPr/>
    <a:lstStyle/>
    <a:p>
      <a:pPr>
        <a:defRPr b="1">
          <a:solidFill>
            <a:schemeClr val="bg1"/>
          </a:solidFill>
          <a:latin typeface="Segoe UI" panose="020B0502040204020203" pitchFamily="34" charset="0"/>
          <a:cs typeface="Segoe UI" panose="020B0502040204020203"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Atrrition.xlsx]Pivotable!PivotTable14</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100" b="1">
                <a:latin typeface="Segoe UI" panose="020B0502040204020203" pitchFamily="34" charset="0"/>
                <a:cs typeface="Segoe UI" panose="020B0502040204020203" pitchFamily="34" charset="0"/>
              </a:rPr>
              <a:t>Attrition by Worklife</a:t>
            </a:r>
          </a:p>
        </c:rich>
      </c:tx>
      <c:layout>
        <c:manualLayout>
          <c:xMode val="edge"/>
          <c:yMode val="edge"/>
          <c:x val="9.7163575706062481E-3"/>
          <c:y val="1.80465145359701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noFill/>
            <a:round/>
          </a:ln>
          <a:effectLst/>
        </c:spPr>
        <c:marker>
          <c:symbol val="circle"/>
          <c:size val="5"/>
          <c:spPr>
            <a:solidFill>
              <a:srgbClr val="96BF8A"/>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5"/>
          <c:spPr>
            <a:solidFill>
              <a:srgbClr val="96BF8A"/>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noFill/>
            <a:round/>
          </a:ln>
          <a:effectLst/>
        </c:spPr>
        <c:marker>
          <c:symbol val="circle"/>
          <c:size val="6"/>
          <c:spPr>
            <a:solidFill>
              <a:srgbClr val="96BF8A"/>
            </a:solidFill>
            <a:ln w="9525">
              <a:no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739296560403162E-2"/>
          <c:y val="0.29530113285692428"/>
          <c:w val="0.9205214068791937"/>
          <c:h val="0.56514957529114807"/>
        </c:manualLayout>
      </c:layout>
      <c:lineChart>
        <c:grouping val="standard"/>
        <c:varyColors val="0"/>
        <c:ser>
          <c:idx val="0"/>
          <c:order val="0"/>
          <c:tx>
            <c:strRef>
              <c:f>Pivotable!$K$166:$K$167</c:f>
              <c:strCache>
                <c:ptCount val="1"/>
                <c:pt idx="0">
                  <c:v>Yes</c:v>
                </c:pt>
              </c:strCache>
            </c:strRef>
          </c:tx>
          <c:spPr>
            <a:ln w="28575" cap="rnd">
              <a:noFill/>
              <a:round/>
            </a:ln>
            <a:effectLst/>
          </c:spPr>
          <c:marker>
            <c:symbol val="circle"/>
            <c:size val="6"/>
            <c:spPr>
              <a:solidFill>
                <a:srgbClr val="96BF8A"/>
              </a:solidFill>
              <a:ln w="9525">
                <a:noFill/>
              </a:ln>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Pivotable!$J$168:$J$172</c:f>
              <c:strCache>
                <c:ptCount val="4"/>
                <c:pt idx="0">
                  <c:v>Poor</c:v>
                </c:pt>
                <c:pt idx="1">
                  <c:v>Fair</c:v>
                </c:pt>
                <c:pt idx="2">
                  <c:v>Good</c:v>
                </c:pt>
                <c:pt idx="3">
                  <c:v>Excellent</c:v>
                </c:pt>
              </c:strCache>
            </c:strRef>
          </c:cat>
          <c:val>
            <c:numRef>
              <c:f>Pivotable!$K$168:$K$172</c:f>
              <c:numCache>
                <c:formatCode>General</c:formatCode>
                <c:ptCount val="4"/>
                <c:pt idx="0">
                  <c:v>25</c:v>
                </c:pt>
                <c:pt idx="1">
                  <c:v>58</c:v>
                </c:pt>
                <c:pt idx="2">
                  <c:v>127</c:v>
                </c:pt>
                <c:pt idx="3">
                  <c:v>27</c:v>
                </c:pt>
              </c:numCache>
            </c:numRef>
          </c:val>
          <c:smooth val="0"/>
          <c:extLst>
            <c:ext xmlns:c16="http://schemas.microsoft.com/office/drawing/2014/chart" uri="{C3380CC4-5D6E-409C-BE32-E72D297353CC}">
              <c16:uniqueId val="{00000000-C8F4-447F-BA4B-A59C76AB0A9E}"/>
            </c:ext>
          </c:extLst>
        </c:ser>
        <c:dLbls>
          <c:dLblPos val="t"/>
          <c:showLegendKey val="0"/>
          <c:showVal val="1"/>
          <c:showCatName val="0"/>
          <c:showSerName val="0"/>
          <c:showPercent val="0"/>
          <c:showBubbleSize val="0"/>
        </c:dLbls>
        <c:dropLines>
          <c:spPr>
            <a:ln w="9525" cap="flat" cmpd="sng" algn="ctr">
              <a:solidFill>
                <a:schemeClr val="accent6">
                  <a:lumMod val="75000"/>
                </a:schemeClr>
              </a:solidFill>
              <a:round/>
            </a:ln>
            <a:effectLst/>
          </c:spPr>
        </c:dropLines>
        <c:marker val="1"/>
        <c:smooth val="0"/>
        <c:axId val="168786703"/>
        <c:axId val="168789199"/>
      </c:lineChart>
      <c:catAx>
        <c:axId val="168786703"/>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8789199"/>
        <c:crosses val="autoZero"/>
        <c:auto val="1"/>
        <c:lblAlgn val="ctr"/>
        <c:lblOffset val="100"/>
        <c:noMultiLvlLbl val="0"/>
      </c:catAx>
      <c:valAx>
        <c:axId val="168789199"/>
        <c:scaling>
          <c:orientation val="minMax"/>
        </c:scaling>
        <c:delete val="1"/>
        <c:axPos val="l"/>
        <c:numFmt formatCode="General" sourceLinked="1"/>
        <c:majorTickMark val="none"/>
        <c:minorTickMark val="none"/>
        <c:tickLblPos val="nextTo"/>
        <c:crossAx val="168786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38100" dir="5400000" algn="tr" rotWithShape="0">
        <a:prstClr val="black"/>
      </a:outerShdw>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100" b="1">
                <a:latin typeface="Segoe UI" panose="020B0502040204020203" pitchFamily="34" charset="0"/>
                <a:cs typeface="Segoe UI" panose="020B0502040204020203" pitchFamily="34" charset="0"/>
              </a:rPr>
              <a:t>Retention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5.6422445551415866E-2"/>
          <c:y val="0.49756161481249933"/>
          <c:w val="0.93888888888888888"/>
          <c:h val="0.49161287063218034"/>
        </c:manualLayout>
      </c:layout>
      <c:barChart>
        <c:barDir val="col"/>
        <c:grouping val="clustered"/>
        <c:varyColors val="0"/>
        <c:ser>
          <c:idx val="0"/>
          <c:order val="0"/>
          <c:spPr>
            <a:noFill/>
            <a:ln>
              <a:noFill/>
            </a:ln>
            <a:effectLst/>
          </c:spPr>
          <c:invertIfNegative val="0"/>
          <c:dLbls>
            <c:dLbl>
              <c:idx val="0"/>
              <c:layout>
                <c:manualLayout>
                  <c:x val="-3.5487959442332066E-2"/>
                  <c:y val="-9.1895563723186689E-17"/>
                </c:manualLayout>
              </c:layout>
              <c:tx>
                <c:rich>
                  <a:bodyPr/>
                  <a:lstStyle/>
                  <a:p>
                    <a:r>
                      <a:rPr lang="en-US" sz="1400" b="1">
                        <a:solidFill>
                          <a:srgbClr val="96BF8A"/>
                        </a:solidFill>
                        <a:latin typeface="Segoe UI" panose="020B0502040204020203" pitchFamily="34" charset="0"/>
                        <a:cs typeface="Segoe UI" panose="020B0502040204020203" pitchFamily="34" charset="0"/>
                      </a:rPr>
                      <a:t>▲</a:t>
                    </a:r>
                    <a:fld id="{C85F9E55-0EE4-4D84-A3D6-B9AFE4786536}" type="VALUE">
                      <a:rPr lang="en-US" sz="1400" b="1">
                        <a:latin typeface="Segoe UI" panose="020B0502040204020203" pitchFamily="34" charset="0"/>
                        <a:cs typeface="Segoe UI" panose="020B0502040204020203" pitchFamily="34" charset="0"/>
                      </a:rPr>
                      <a:pPr/>
                      <a:t>[VALUE]</a:t>
                    </a:fld>
                    <a:endParaRPr lang="en-US" sz="1400" b="1">
                      <a:solidFill>
                        <a:srgbClr val="96BF8A"/>
                      </a:solidFill>
                      <a:latin typeface="Segoe UI" panose="020B0502040204020203" pitchFamily="34" charset="0"/>
                      <a:cs typeface="Segoe UI" panose="020B0502040204020203" pitchFamily="34" charset="0"/>
                    </a:endParaRPr>
                  </a:p>
                </c:rich>
              </c:tx>
              <c:dLblPos val="outEnd"/>
              <c:showLegendKey val="0"/>
              <c:showVal val="1"/>
              <c:showCatName val="0"/>
              <c:showSerName val="0"/>
              <c:showPercent val="0"/>
              <c:showBubbleSize val="0"/>
              <c:extLst>
                <c:ext xmlns:c15="http://schemas.microsoft.com/office/drawing/2012/chart" uri="{CE6537A1-D6FC-4f65-9D91-7224C49458BB}">
                  <c15:layout>
                    <c:manualLayout>
                      <c:w val="0.30038022813688214"/>
                      <c:h val="0.43348473581923902"/>
                    </c:manualLayout>
                  </c15:layout>
                  <c15:dlblFieldTable/>
                  <c15:showDataLabelsRange val="0"/>
                </c:ext>
                <c:ext xmlns:c16="http://schemas.microsoft.com/office/drawing/2014/chart" uri="{C3380CC4-5D6E-409C-BE32-E72D297353CC}">
                  <c16:uniqueId val="{00000000-2DF5-4E02-A669-AA692E9A9C5F}"/>
                </c:ext>
              </c:extLst>
            </c:dLbl>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Pivotable!$D$117</c:f>
              <c:numCache>
                <c:formatCode>General</c:formatCode>
                <c:ptCount val="1"/>
              </c:numCache>
            </c:numRef>
          </c:val>
          <c:extLst>
            <c:ext xmlns:c16="http://schemas.microsoft.com/office/drawing/2014/chart" uri="{C3380CC4-5D6E-409C-BE32-E72D297353CC}">
              <c16:uniqueId val="{00000001-2DF5-4E02-A669-AA692E9A9C5F}"/>
            </c:ext>
          </c:extLst>
        </c:ser>
        <c:dLbls>
          <c:showLegendKey val="0"/>
          <c:showVal val="0"/>
          <c:showCatName val="0"/>
          <c:showSerName val="0"/>
          <c:showPercent val="0"/>
          <c:showBubbleSize val="0"/>
        </c:dLbls>
        <c:gapWidth val="182"/>
        <c:axId val="2131497456"/>
        <c:axId val="2131502448"/>
      </c:barChart>
      <c:catAx>
        <c:axId val="2131497456"/>
        <c:scaling>
          <c:orientation val="minMax"/>
        </c:scaling>
        <c:delete val="1"/>
        <c:axPos val="b"/>
        <c:numFmt formatCode="General" sourceLinked="1"/>
        <c:majorTickMark val="none"/>
        <c:minorTickMark val="none"/>
        <c:tickLblPos val="nextTo"/>
        <c:crossAx val="2131502448"/>
        <c:crosses val="autoZero"/>
        <c:auto val="1"/>
        <c:lblAlgn val="ctr"/>
        <c:lblOffset val="100"/>
        <c:noMultiLvlLbl val="0"/>
      </c:catAx>
      <c:valAx>
        <c:axId val="2131502448"/>
        <c:scaling>
          <c:orientation val="minMax"/>
        </c:scaling>
        <c:delete val="1"/>
        <c:axPos val="l"/>
        <c:numFmt formatCode="General" sourceLinked="1"/>
        <c:majorTickMark val="none"/>
        <c:minorTickMark val="none"/>
        <c:tickLblPos val="nextTo"/>
        <c:crossAx val="213149745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chart" Target="../charts/chart26.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5.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28" Type="http://schemas.openxmlformats.org/officeDocument/2006/relationships/chart" Target="../charts/chart28.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 Id="rId27" Type="http://schemas.openxmlformats.org/officeDocument/2006/relationships/chart" Target="../charts/chart27.xml"/></Relationships>
</file>

<file path=xl/drawings/_rels/drawing3.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hyperlink" Target="#Pivotable!A1"/><Relationship Id="rId18" Type="http://schemas.openxmlformats.org/officeDocument/2006/relationships/image" Target="../media/image8.png"/><Relationship Id="rId3" Type="http://schemas.openxmlformats.org/officeDocument/2006/relationships/chart" Target="../charts/chart31.xml"/><Relationship Id="rId21" Type="http://schemas.openxmlformats.org/officeDocument/2006/relationships/chart" Target="../charts/chart37.xml"/><Relationship Id="rId7" Type="http://schemas.openxmlformats.org/officeDocument/2006/relationships/image" Target="../media/image2.png"/><Relationship Id="rId12" Type="http://schemas.microsoft.com/office/2007/relationships/hdphoto" Target="../media/hdphoto1.wdp"/><Relationship Id="rId17" Type="http://schemas.openxmlformats.org/officeDocument/2006/relationships/chart" Target="../charts/chart34.xml"/><Relationship Id="rId2" Type="http://schemas.openxmlformats.org/officeDocument/2006/relationships/chart" Target="../charts/chart30.xml"/><Relationship Id="rId16" Type="http://schemas.openxmlformats.org/officeDocument/2006/relationships/image" Target="../media/image7.png"/><Relationship Id="rId20" Type="http://schemas.openxmlformats.org/officeDocument/2006/relationships/chart" Target="../charts/chart36.xml"/><Relationship Id="rId1" Type="http://schemas.openxmlformats.org/officeDocument/2006/relationships/chart" Target="../charts/chart29.xml"/><Relationship Id="rId6" Type="http://schemas.openxmlformats.org/officeDocument/2006/relationships/image" Target="../media/image1.png"/><Relationship Id="rId11" Type="http://schemas.openxmlformats.org/officeDocument/2006/relationships/image" Target="../media/image5.png"/><Relationship Id="rId24" Type="http://schemas.openxmlformats.org/officeDocument/2006/relationships/image" Target="../media/image9.png"/><Relationship Id="rId5" Type="http://schemas.openxmlformats.org/officeDocument/2006/relationships/chart" Target="../charts/chart33.xml"/><Relationship Id="rId15" Type="http://schemas.openxmlformats.org/officeDocument/2006/relationships/hyperlink" Target="../../../../DATA%20ANALYSIS/SQL/Project%20Hr_employees.sql" TargetMode="External"/><Relationship Id="rId23" Type="http://schemas.openxmlformats.org/officeDocument/2006/relationships/hyperlink" Target="#hr_employee_attrition!A1"/><Relationship Id="rId10" Type="http://schemas.openxmlformats.org/officeDocument/2006/relationships/hyperlink" Target="#DASHBOARD2!A1"/><Relationship Id="rId19" Type="http://schemas.openxmlformats.org/officeDocument/2006/relationships/chart" Target="../charts/chart35.xml"/><Relationship Id="rId4" Type="http://schemas.openxmlformats.org/officeDocument/2006/relationships/chart" Target="../charts/chart32.xml"/><Relationship Id="rId9" Type="http://schemas.openxmlformats.org/officeDocument/2006/relationships/image" Target="../media/image4.png"/><Relationship Id="rId14" Type="http://schemas.openxmlformats.org/officeDocument/2006/relationships/image" Target="../media/image6.png"/><Relationship Id="rId22" Type="http://schemas.openxmlformats.org/officeDocument/2006/relationships/chart" Target="../charts/chart38.xml"/></Relationships>
</file>

<file path=xl/drawings/_rels/drawing4.xml.rels><?xml version="1.0" encoding="UTF-8" standalone="yes"?>
<Relationships xmlns="http://schemas.openxmlformats.org/package/2006/relationships"><Relationship Id="rId8" Type="http://schemas.openxmlformats.org/officeDocument/2006/relationships/chart" Target="../charts/chart46.xml"/><Relationship Id="rId13" Type="http://schemas.openxmlformats.org/officeDocument/2006/relationships/image" Target="../media/image3.png"/><Relationship Id="rId18" Type="http://schemas.openxmlformats.org/officeDocument/2006/relationships/chart" Target="../charts/chart49.xml"/><Relationship Id="rId3" Type="http://schemas.openxmlformats.org/officeDocument/2006/relationships/chart" Target="../charts/chart41.xml"/><Relationship Id="rId21" Type="http://schemas.openxmlformats.org/officeDocument/2006/relationships/image" Target="../media/image6.png"/><Relationship Id="rId7" Type="http://schemas.openxmlformats.org/officeDocument/2006/relationships/chart" Target="../charts/chart45.xml"/><Relationship Id="rId12" Type="http://schemas.openxmlformats.org/officeDocument/2006/relationships/image" Target="../media/image11.png"/><Relationship Id="rId17" Type="http://schemas.openxmlformats.org/officeDocument/2006/relationships/chart" Target="../charts/chart48.xml"/><Relationship Id="rId25" Type="http://schemas.openxmlformats.org/officeDocument/2006/relationships/image" Target="../media/image9.png"/><Relationship Id="rId2" Type="http://schemas.openxmlformats.org/officeDocument/2006/relationships/chart" Target="../charts/chart40.xml"/><Relationship Id="rId16" Type="http://schemas.openxmlformats.org/officeDocument/2006/relationships/image" Target="../media/image8.png"/><Relationship Id="rId20" Type="http://schemas.openxmlformats.org/officeDocument/2006/relationships/hyperlink" Target="#Pivotable!A1"/><Relationship Id="rId1" Type="http://schemas.openxmlformats.org/officeDocument/2006/relationships/chart" Target="../charts/chart39.xml"/><Relationship Id="rId6" Type="http://schemas.openxmlformats.org/officeDocument/2006/relationships/chart" Target="../charts/chart44.xml"/><Relationship Id="rId11" Type="http://schemas.openxmlformats.org/officeDocument/2006/relationships/image" Target="../media/image1.png"/><Relationship Id="rId24" Type="http://schemas.openxmlformats.org/officeDocument/2006/relationships/hyperlink" Target="#hr_employee_attrition!A1"/><Relationship Id="rId5" Type="http://schemas.openxmlformats.org/officeDocument/2006/relationships/chart" Target="../charts/chart43.xml"/><Relationship Id="rId15" Type="http://schemas.openxmlformats.org/officeDocument/2006/relationships/chart" Target="../charts/chart47.xml"/><Relationship Id="rId23" Type="http://schemas.openxmlformats.org/officeDocument/2006/relationships/image" Target="../media/image7.png"/><Relationship Id="rId10" Type="http://schemas.openxmlformats.org/officeDocument/2006/relationships/image" Target="../media/image10.png"/><Relationship Id="rId19" Type="http://schemas.openxmlformats.org/officeDocument/2006/relationships/chart" Target="../charts/chart50.xml"/><Relationship Id="rId4" Type="http://schemas.openxmlformats.org/officeDocument/2006/relationships/chart" Target="../charts/chart42.xml"/><Relationship Id="rId9" Type="http://schemas.openxmlformats.org/officeDocument/2006/relationships/hyperlink" Target="#DASHBOARD!A1"/><Relationship Id="rId14" Type="http://schemas.openxmlformats.org/officeDocument/2006/relationships/image" Target="../media/image12.png"/><Relationship Id="rId22" Type="http://schemas.openxmlformats.org/officeDocument/2006/relationships/hyperlink" Target="../../../../DATA%20ANALYSIS/SQL/Project%20Hr_employees.sql" TargetMode="External"/></Relationships>
</file>

<file path=xl/drawings/drawing1.xml><?xml version="1.0" encoding="utf-8"?>
<xdr:wsDr xmlns:xdr="http://schemas.openxmlformats.org/drawingml/2006/spreadsheetDrawing" xmlns:a="http://schemas.openxmlformats.org/drawingml/2006/main">
  <xdr:twoCellAnchor>
    <xdr:from>
      <xdr:col>5</xdr:col>
      <xdr:colOff>85724</xdr:colOff>
      <xdr:row>11</xdr:row>
      <xdr:rowOff>114301</xdr:rowOff>
    </xdr:from>
    <xdr:to>
      <xdr:col>6</xdr:col>
      <xdr:colOff>495300</xdr:colOff>
      <xdr:row>14</xdr:row>
      <xdr:rowOff>114300</xdr:rowOff>
    </xdr:to>
    <xdr:sp macro="" textlink="$J$2">
      <xdr:nvSpPr>
        <xdr:cNvPr id="3" name="Rectangle 2">
          <a:extLst>
            <a:ext uri="{FF2B5EF4-FFF2-40B4-BE49-F238E27FC236}">
              <a16:creationId xmlns:a16="http://schemas.microsoft.com/office/drawing/2014/main" id="{F8DB792C-3D7A-4B98-9040-9005C341BAF8}"/>
            </a:ext>
          </a:extLst>
        </xdr:cNvPr>
        <xdr:cNvSpPr/>
      </xdr:nvSpPr>
      <xdr:spPr>
        <a:xfrm>
          <a:off x="3743324" y="2209801"/>
          <a:ext cx="1019176" cy="57149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bg1"/>
              </a:solidFill>
              <a:latin typeface="Segoe UI" panose="020B0502040204020203" pitchFamily="34" charset="0"/>
              <a:cs typeface="Segoe UI" panose="020B0502040204020203" pitchFamily="34" charset="0"/>
            </a:rPr>
            <a:t>100%</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200026</xdr:colOff>
      <xdr:row>0</xdr:row>
      <xdr:rowOff>38100</xdr:rowOff>
    </xdr:from>
    <xdr:to>
      <xdr:col>6</xdr:col>
      <xdr:colOff>361950</xdr:colOff>
      <xdr:row>6</xdr:row>
      <xdr:rowOff>19051</xdr:rowOff>
    </xdr:to>
    <xdr:graphicFrame macro="">
      <xdr:nvGraphicFramePr>
        <xdr:cNvPr id="2" name="Chart 1">
          <a:extLst>
            <a:ext uri="{FF2B5EF4-FFF2-40B4-BE49-F238E27FC236}">
              <a16:creationId xmlns:a16="http://schemas.microsoft.com/office/drawing/2014/main" id="{0AAEDBE9-0469-4AE9-9AC9-12BB24A8C9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561975</xdr:colOff>
      <xdr:row>5</xdr:row>
      <xdr:rowOff>123825</xdr:rowOff>
    </xdr:from>
    <xdr:to>
      <xdr:col>6</xdr:col>
      <xdr:colOff>476250</xdr:colOff>
      <xdr:row>10</xdr:row>
      <xdr:rowOff>166687</xdr:rowOff>
    </xdr:to>
    <xdr:graphicFrame macro="">
      <xdr:nvGraphicFramePr>
        <xdr:cNvPr id="4" name="Chart 3">
          <a:extLst>
            <a:ext uri="{FF2B5EF4-FFF2-40B4-BE49-F238E27FC236}">
              <a16:creationId xmlns:a16="http://schemas.microsoft.com/office/drawing/2014/main" id="{84DA3CBC-F7AA-4BF4-BCAD-7F51DA89EE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28574</xdr:colOff>
      <xdr:row>10</xdr:row>
      <xdr:rowOff>9525</xdr:rowOff>
    </xdr:from>
    <xdr:to>
      <xdr:col>7</xdr:col>
      <xdr:colOff>304799</xdr:colOff>
      <xdr:row>14</xdr:row>
      <xdr:rowOff>180975</xdr:rowOff>
    </xdr:to>
    <xdr:graphicFrame macro="">
      <xdr:nvGraphicFramePr>
        <xdr:cNvPr id="5" name="Chart 4">
          <a:extLst>
            <a:ext uri="{FF2B5EF4-FFF2-40B4-BE49-F238E27FC236}">
              <a16:creationId xmlns:a16="http://schemas.microsoft.com/office/drawing/2014/main" id="{82295BE6-24A9-48D9-B7E8-8D430236C0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514350</xdr:colOff>
      <xdr:row>13</xdr:row>
      <xdr:rowOff>152400</xdr:rowOff>
    </xdr:from>
    <xdr:to>
      <xdr:col>7</xdr:col>
      <xdr:colOff>190500</xdr:colOff>
      <xdr:row>22</xdr:row>
      <xdr:rowOff>100012</xdr:rowOff>
    </xdr:to>
    <xdr:graphicFrame macro="">
      <xdr:nvGraphicFramePr>
        <xdr:cNvPr id="6" name="Chart 5">
          <a:extLst>
            <a:ext uri="{FF2B5EF4-FFF2-40B4-BE49-F238E27FC236}">
              <a16:creationId xmlns:a16="http://schemas.microsoft.com/office/drawing/2014/main" id="{A3DD7DE8-CB59-4EED-B517-C4C59DC802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342900</xdr:colOff>
      <xdr:row>23</xdr:row>
      <xdr:rowOff>76199</xdr:rowOff>
    </xdr:from>
    <xdr:to>
      <xdr:col>8</xdr:col>
      <xdr:colOff>581025</xdr:colOff>
      <xdr:row>33</xdr:row>
      <xdr:rowOff>33336</xdr:rowOff>
    </xdr:to>
    <xdr:graphicFrame macro="">
      <xdr:nvGraphicFramePr>
        <xdr:cNvPr id="7" name="Chart 6">
          <a:extLst>
            <a:ext uri="{FF2B5EF4-FFF2-40B4-BE49-F238E27FC236}">
              <a16:creationId xmlns:a16="http://schemas.microsoft.com/office/drawing/2014/main" id="{D5619E12-5501-451F-9E78-78B8BE392A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600075</xdr:colOff>
      <xdr:row>34</xdr:row>
      <xdr:rowOff>190499</xdr:rowOff>
    </xdr:from>
    <xdr:to>
      <xdr:col>9</xdr:col>
      <xdr:colOff>180975</xdr:colOff>
      <xdr:row>45</xdr:row>
      <xdr:rowOff>71436</xdr:rowOff>
    </xdr:to>
    <xdr:graphicFrame macro="">
      <xdr:nvGraphicFramePr>
        <xdr:cNvPr id="3" name="Chart 2">
          <a:extLst>
            <a:ext uri="{FF2B5EF4-FFF2-40B4-BE49-F238E27FC236}">
              <a16:creationId xmlns:a16="http://schemas.microsoft.com/office/drawing/2014/main" id="{E82E187D-6204-4288-90FA-DE463E4983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304800</xdr:colOff>
      <xdr:row>58</xdr:row>
      <xdr:rowOff>161925</xdr:rowOff>
    </xdr:from>
    <xdr:to>
      <xdr:col>7</xdr:col>
      <xdr:colOff>28574</xdr:colOff>
      <xdr:row>67</xdr:row>
      <xdr:rowOff>166687</xdr:rowOff>
    </xdr:to>
    <xdr:graphicFrame macro="">
      <xdr:nvGraphicFramePr>
        <xdr:cNvPr id="8" name="Chart 7">
          <a:extLst>
            <a:ext uri="{FF2B5EF4-FFF2-40B4-BE49-F238E27FC236}">
              <a16:creationId xmlns:a16="http://schemas.microsoft.com/office/drawing/2014/main" id="{843FECB8-0255-4AA1-9D3A-675A0403E1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38100</xdr:colOff>
      <xdr:row>70</xdr:row>
      <xdr:rowOff>180974</xdr:rowOff>
    </xdr:from>
    <xdr:to>
      <xdr:col>9</xdr:col>
      <xdr:colOff>238125</xdr:colOff>
      <xdr:row>81</xdr:row>
      <xdr:rowOff>38099</xdr:rowOff>
    </xdr:to>
    <xdr:graphicFrame macro="">
      <xdr:nvGraphicFramePr>
        <xdr:cNvPr id="9" name="Chart 8">
          <a:extLst>
            <a:ext uri="{FF2B5EF4-FFF2-40B4-BE49-F238E27FC236}">
              <a16:creationId xmlns:a16="http://schemas.microsoft.com/office/drawing/2014/main" id="{14E46DA7-D967-4499-83C9-1DF02ED13F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504823</xdr:colOff>
      <xdr:row>84</xdr:row>
      <xdr:rowOff>28575</xdr:rowOff>
    </xdr:from>
    <xdr:to>
      <xdr:col>8</xdr:col>
      <xdr:colOff>200025</xdr:colOff>
      <xdr:row>95</xdr:row>
      <xdr:rowOff>52386</xdr:rowOff>
    </xdr:to>
    <xdr:graphicFrame macro="">
      <xdr:nvGraphicFramePr>
        <xdr:cNvPr id="10" name="Chart 9">
          <a:extLst>
            <a:ext uri="{FF2B5EF4-FFF2-40B4-BE49-F238E27FC236}">
              <a16:creationId xmlns:a16="http://schemas.microsoft.com/office/drawing/2014/main" id="{1C0F4C0E-3273-49D3-BA64-D50A8D0A24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271462</xdr:colOff>
      <xdr:row>99</xdr:row>
      <xdr:rowOff>133349</xdr:rowOff>
    </xdr:from>
    <xdr:to>
      <xdr:col>9</xdr:col>
      <xdr:colOff>266700</xdr:colOff>
      <xdr:row>111</xdr:row>
      <xdr:rowOff>147636</xdr:rowOff>
    </xdr:to>
    <xdr:graphicFrame macro="">
      <xdr:nvGraphicFramePr>
        <xdr:cNvPr id="12" name="Chart 11">
          <a:extLst>
            <a:ext uri="{FF2B5EF4-FFF2-40B4-BE49-F238E27FC236}">
              <a16:creationId xmlns:a16="http://schemas.microsoft.com/office/drawing/2014/main" id="{A0C28890-29F0-4F88-B437-34BCA8AA17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120</xdr:row>
      <xdr:rowOff>76199</xdr:rowOff>
    </xdr:from>
    <xdr:to>
      <xdr:col>1</xdr:col>
      <xdr:colOff>1314450</xdr:colOff>
      <xdr:row>123</xdr:row>
      <xdr:rowOff>185736</xdr:rowOff>
    </xdr:to>
    <xdr:graphicFrame macro="">
      <xdr:nvGraphicFramePr>
        <xdr:cNvPr id="13" name="Chart 12">
          <a:extLst>
            <a:ext uri="{FF2B5EF4-FFF2-40B4-BE49-F238E27FC236}">
              <a16:creationId xmlns:a16="http://schemas.microsoft.com/office/drawing/2014/main" id="{02AF4A3C-7E93-48F7-A73D-356AD881F6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171451</xdr:colOff>
      <xdr:row>126</xdr:row>
      <xdr:rowOff>57150</xdr:rowOff>
    </xdr:from>
    <xdr:to>
      <xdr:col>3</xdr:col>
      <xdr:colOff>628651</xdr:colOff>
      <xdr:row>132</xdr:row>
      <xdr:rowOff>138112</xdr:rowOff>
    </xdr:to>
    <xdr:graphicFrame macro="">
      <xdr:nvGraphicFramePr>
        <xdr:cNvPr id="15" name="Chart 14">
          <a:extLst>
            <a:ext uri="{FF2B5EF4-FFF2-40B4-BE49-F238E27FC236}">
              <a16:creationId xmlns:a16="http://schemas.microsoft.com/office/drawing/2014/main" id="{E5F3BDF6-D4A9-490E-9C66-70F0F604C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9</xdr:col>
      <xdr:colOff>9525</xdr:colOff>
      <xdr:row>28</xdr:row>
      <xdr:rowOff>76200</xdr:rowOff>
    </xdr:from>
    <xdr:to>
      <xdr:col>10</xdr:col>
      <xdr:colOff>504825</xdr:colOff>
      <xdr:row>32</xdr:row>
      <xdr:rowOff>114300</xdr:rowOff>
    </xdr:to>
    <mc:AlternateContent xmlns:mc="http://schemas.openxmlformats.org/markup-compatibility/2006" xmlns:a14="http://schemas.microsoft.com/office/drawing/2010/main">
      <mc:Choice Requires="a14">
        <xdr:graphicFrame macro="">
          <xdr:nvGraphicFramePr>
            <xdr:cNvPr id="16" name="Gender">
              <a:extLst>
                <a:ext uri="{FF2B5EF4-FFF2-40B4-BE49-F238E27FC236}">
                  <a16:creationId xmlns:a16="http://schemas.microsoft.com/office/drawing/2014/main" id="{6AF38664-2716-436F-ACBB-6E727779350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620125" y="5410200"/>
              <a:ext cx="1371600" cy="800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123825</xdr:colOff>
      <xdr:row>130</xdr:row>
      <xdr:rowOff>19051</xdr:rowOff>
    </xdr:from>
    <xdr:to>
      <xdr:col>9</xdr:col>
      <xdr:colOff>619125</xdr:colOff>
      <xdr:row>136</xdr:row>
      <xdr:rowOff>38101</xdr:rowOff>
    </xdr:to>
    <mc:AlternateContent xmlns:mc="http://schemas.openxmlformats.org/markup-compatibility/2006" xmlns:a14="http://schemas.microsoft.com/office/drawing/2010/main">
      <mc:Choice Requires="a14">
        <xdr:graphicFrame macro="">
          <xdr:nvGraphicFramePr>
            <xdr:cNvPr id="17" name="Department">
              <a:extLst>
                <a:ext uri="{FF2B5EF4-FFF2-40B4-BE49-F238E27FC236}">
                  <a16:creationId xmlns:a16="http://schemas.microsoft.com/office/drawing/2014/main" id="{35315690-8C3B-4D02-8DA0-B6E433914C6C}"/>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620000" y="24784051"/>
              <a:ext cx="1828800"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504826</xdr:colOff>
      <xdr:row>131</xdr:row>
      <xdr:rowOff>66675</xdr:rowOff>
    </xdr:from>
    <xdr:to>
      <xdr:col>5</xdr:col>
      <xdr:colOff>647700</xdr:colOff>
      <xdr:row>140</xdr:row>
      <xdr:rowOff>38100</xdr:rowOff>
    </xdr:to>
    <xdr:graphicFrame macro="">
      <xdr:nvGraphicFramePr>
        <xdr:cNvPr id="18" name="Chart 17">
          <a:extLst>
            <a:ext uri="{FF2B5EF4-FFF2-40B4-BE49-F238E27FC236}">
              <a16:creationId xmlns:a16="http://schemas.microsoft.com/office/drawing/2014/main" id="{D9760DC9-8977-4658-A8D8-4DC039C993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933449</xdr:colOff>
      <xdr:row>140</xdr:row>
      <xdr:rowOff>133349</xdr:rowOff>
    </xdr:from>
    <xdr:to>
      <xdr:col>4</xdr:col>
      <xdr:colOff>666750</xdr:colOff>
      <xdr:row>147</xdr:row>
      <xdr:rowOff>85724</xdr:rowOff>
    </xdr:to>
    <xdr:graphicFrame macro="">
      <xdr:nvGraphicFramePr>
        <xdr:cNvPr id="19" name="Chart 18">
          <a:extLst>
            <a:ext uri="{FF2B5EF4-FFF2-40B4-BE49-F238E27FC236}">
              <a16:creationId xmlns:a16="http://schemas.microsoft.com/office/drawing/2014/main" id="{C2352B63-404E-4FB5-B1D6-D456C9581D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xdr:col>
      <xdr:colOff>247650</xdr:colOff>
      <xdr:row>151</xdr:row>
      <xdr:rowOff>114299</xdr:rowOff>
    </xdr:from>
    <xdr:to>
      <xdr:col>7</xdr:col>
      <xdr:colOff>390525</xdr:colOff>
      <xdr:row>162</xdr:row>
      <xdr:rowOff>166686</xdr:rowOff>
    </xdr:to>
    <xdr:graphicFrame macro="">
      <xdr:nvGraphicFramePr>
        <xdr:cNvPr id="20" name="Chart 19">
          <a:extLst>
            <a:ext uri="{FF2B5EF4-FFF2-40B4-BE49-F238E27FC236}">
              <a16:creationId xmlns:a16="http://schemas.microsoft.com/office/drawing/2014/main" id="{ECEAADF0-0180-4B80-BBCD-BED600933B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742949</xdr:colOff>
      <xdr:row>164</xdr:row>
      <xdr:rowOff>114300</xdr:rowOff>
    </xdr:from>
    <xdr:to>
      <xdr:col>7</xdr:col>
      <xdr:colOff>876299</xdr:colOff>
      <xdr:row>177</xdr:row>
      <xdr:rowOff>59816</xdr:rowOff>
    </xdr:to>
    <xdr:graphicFrame macro="">
      <xdr:nvGraphicFramePr>
        <xdr:cNvPr id="21" name="Chart 20">
          <a:extLst>
            <a:ext uri="{FF2B5EF4-FFF2-40B4-BE49-F238E27FC236}">
              <a16:creationId xmlns:a16="http://schemas.microsoft.com/office/drawing/2014/main" id="{ECA4DC1C-48B4-483D-8093-BF85CE9E72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xdr:col>
      <xdr:colOff>771525</xdr:colOff>
      <xdr:row>178</xdr:row>
      <xdr:rowOff>104774</xdr:rowOff>
    </xdr:from>
    <xdr:to>
      <xdr:col>6</xdr:col>
      <xdr:colOff>476250</xdr:colOff>
      <xdr:row>188</xdr:row>
      <xdr:rowOff>80961</xdr:rowOff>
    </xdr:to>
    <xdr:graphicFrame macro="">
      <xdr:nvGraphicFramePr>
        <xdr:cNvPr id="23" name="Chart 22">
          <a:extLst>
            <a:ext uri="{FF2B5EF4-FFF2-40B4-BE49-F238E27FC236}">
              <a16:creationId xmlns:a16="http://schemas.microsoft.com/office/drawing/2014/main" id="{5BF68CCC-8AAF-4601-ACAE-D3B29FDE99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xdr:col>
      <xdr:colOff>790575</xdr:colOff>
      <xdr:row>6</xdr:row>
      <xdr:rowOff>52387</xdr:rowOff>
    </xdr:from>
    <xdr:to>
      <xdr:col>9</xdr:col>
      <xdr:colOff>581025</xdr:colOff>
      <xdr:row>20</xdr:row>
      <xdr:rowOff>128587</xdr:rowOff>
    </xdr:to>
    <xdr:graphicFrame macro="">
      <xdr:nvGraphicFramePr>
        <xdr:cNvPr id="11" name="Chart 10">
          <a:extLst>
            <a:ext uri="{FF2B5EF4-FFF2-40B4-BE49-F238E27FC236}">
              <a16:creationId xmlns:a16="http://schemas.microsoft.com/office/drawing/2014/main" id="{7CC07087-5581-4F9C-96CE-5B88551602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1076325</xdr:colOff>
      <xdr:row>9</xdr:row>
      <xdr:rowOff>95250</xdr:rowOff>
    </xdr:from>
    <xdr:to>
      <xdr:col>13</xdr:col>
      <xdr:colOff>561975</xdr:colOff>
      <xdr:row>20</xdr:row>
      <xdr:rowOff>4762</xdr:rowOff>
    </xdr:to>
    <xdr:graphicFrame macro="">
      <xdr:nvGraphicFramePr>
        <xdr:cNvPr id="22" name="Chart 21">
          <a:extLst>
            <a:ext uri="{FF2B5EF4-FFF2-40B4-BE49-F238E27FC236}">
              <a16:creationId xmlns:a16="http://schemas.microsoft.com/office/drawing/2014/main" id="{09612855-ABF3-4B63-A36B-78AD670F58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4</xdr:col>
      <xdr:colOff>457200</xdr:colOff>
      <xdr:row>111</xdr:row>
      <xdr:rowOff>133349</xdr:rowOff>
    </xdr:from>
    <xdr:to>
      <xdr:col>6</xdr:col>
      <xdr:colOff>381000</xdr:colOff>
      <xdr:row>116</xdr:row>
      <xdr:rowOff>128586</xdr:rowOff>
    </xdr:to>
    <xdr:graphicFrame macro="">
      <xdr:nvGraphicFramePr>
        <xdr:cNvPr id="31" name="Chart 30">
          <a:extLst>
            <a:ext uri="{FF2B5EF4-FFF2-40B4-BE49-F238E27FC236}">
              <a16:creationId xmlns:a16="http://schemas.microsoft.com/office/drawing/2014/main" id="{54EC94A4-4C2C-47B2-8991-E2FDBFA68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21</xdr:col>
      <xdr:colOff>895350</xdr:colOff>
      <xdr:row>7</xdr:row>
      <xdr:rowOff>142875</xdr:rowOff>
    </xdr:from>
    <xdr:to>
      <xdr:col>26</xdr:col>
      <xdr:colOff>28575</xdr:colOff>
      <xdr:row>14</xdr:row>
      <xdr:rowOff>166688</xdr:rowOff>
    </xdr:to>
    <xdr:graphicFrame macro="">
      <xdr:nvGraphicFramePr>
        <xdr:cNvPr id="14" name="Chart 13">
          <a:extLst>
            <a:ext uri="{FF2B5EF4-FFF2-40B4-BE49-F238E27FC236}">
              <a16:creationId xmlns:a16="http://schemas.microsoft.com/office/drawing/2014/main" id="{C60CF134-A25D-412C-96E3-66ADCE7786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22</xdr:col>
      <xdr:colOff>180975</xdr:colOff>
      <xdr:row>17</xdr:row>
      <xdr:rowOff>109537</xdr:rowOff>
    </xdr:from>
    <xdr:to>
      <xdr:col>26</xdr:col>
      <xdr:colOff>581025</xdr:colOff>
      <xdr:row>26</xdr:row>
      <xdr:rowOff>123825</xdr:rowOff>
    </xdr:to>
    <xdr:graphicFrame macro="">
      <xdr:nvGraphicFramePr>
        <xdr:cNvPr id="24" name="Chart 23">
          <a:extLst>
            <a:ext uri="{FF2B5EF4-FFF2-40B4-BE49-F238E27FC236}">
              <a16:creationId xmlns:a16="http://schemas.microsoft.com/office/drawing/2014/main" id="{37E8EFF6-D782-4D4E-8176-D4ACED5D7D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22</xdr:col>
      <xdr:colOff>200025</xdr:colOff>
      <xdr:row>32</xdr:row>
      <xdr:rowOff>28574</xdr:rowOff>
    </xdr:from>
    <xdr:to>
      <xdr:col>27</xdr:col>
      <xdr:colOff>142875</xdr:colOff>
      <xdr:row>41</xdr:row>
      <xdr:rowOff>61911</xdr:rowOff>
    </xdr:to>
    <xdr:graphicFrame macro="">
      <xdr:nvGraphicFramePr>
        <xdr:cNvPr id="25" name="Chart 24">
          <a:extLst>
            <a:ext uri="{FF2B5EF4-FFF2-40B4-BE49-F238E27FC236}">
              <a16:creationId xmlns:a16="http://schemas.microsoft.com/office/drawing/2014/main" id="{203AF843-7B2F-4230-AD50-F64A243A07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21</xdr:col>
      <xdr:colOff>228600</xdr:colOff>
      <xdr:row>45</xdr:row>
      <xdr:rowOff>0</xdr:rowOff>
    </xdr:from>
    <xdr:to>
      <xdr:col>24</xdr:col>
      <xdr:colOff>200025</xdr:colOff>
      <xdr:row>53</xdr:row>
      <xdr:rowOff>119062</xdr:rowOff>
    </xdr:to>
    <xdr:graphicFrame macro="">
      <xdr:nvGraphicFramePr>
        <xdr:cNvPr id="26" name="Chart 25">
          <a:extLst>
            <a:ext uri="{FF2B5EF4-FFF2-40B4-BE49-F238E27FC236}">
              <a16:creationId xmlns:a16="http://schemas.microsoft.com/office/drawing/2014/main" id="{29BCF6F4-7C92-4C45-BAB6-694AB7E7CD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20</xdr:col>
      <xdr:colOff>1543050</xdr:colOff>
      <xdr:row>56</xdr:row>
      <xdr:rowOff>133351</xdr:rowOff>
    </xdr:from>
    <xdr:to>
      <xdr:col>25</xdr:col>
      <xdr:colOff>200025</xdr:colOff>
      <xdr:row>66</xdr:row>
      <xdr:rowOff>185737</xdr:rowOff>
    </xdr:to>
    <xdr:graphicFrame macro="">
      <xdr:nvGraphicFramePr>
        <xdr:cNvPr id="27" name="Chart 26">
          <a:extLst>
            <a:ext uri="{FF2B5EF4-FFF2-40B4-BE49-F238E27FC236}">
              <a16:creationId xmlns:a16="http://schemas.microsoft.com/office/drawing/2014/main" id="{35B7349A-58CC-4AD8-B2FA-0DF0301993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35</xdr:col>
      <xdr:colOff>304800</xdr:colOff>
      <xdr:row>6</xdr:row>
      <xdr:rowOff>52387</xdr:rowOff>
    </xdr:from>
    <xdr:to>
      <xdr:col>39</xdr:col>
      <xdr:colOff>2171700</xdr:colOff>
      <xdr:row>20</xdr:row>
      <xdr:rowOff>128587</xdr:rowOff>
    </xdr:to>
    <xdr:graphicFrame macro="">
      <xdr:nvGraphicFramePr>
        <xdr:cNvPr id="28" name="Chart 27">
          <a:extLst>
            <a:ext uri="{FF2B5EF4-FFF2-40B4-BE49-F238E27FC236}">
              <a16:creationId xmlns:a16="http://schemas.microsoft.com/office/drawing/2014/main" id="{1A323DBD-89FD-40B8-9C97-99321F9F8A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10</xdr:col>
      <xdr:colOff>476250</xdr:colOff>
      <xdr:row>160</xdr:row>
      <xdr:rowOff>33337</xdr:rowOff>
    </xdr:from>
    <xdr:to>
      <xdr:col>16</xdr:col>
      <xdr:colOff>190500</xdr:colOff>
      <xdr:row>174</xdr:row>
      <xdr:rowOff>109537</xdr:rowOff>
    </xdr:to>
    <xdr:graphicFrame macro="">
      <xdr:nvGraphicFramePr>
        <xdr:cNvPr id="29" name="Chart 28">
          <a:extLst>
            <a:ext uri="{FF2B5EF4-FFF2-40B4-BE49-F238E27FC236}">
              <a16:creationId xmlns:a16="http://schemas.microsoft.com/office/drawing/2014/main" id="{8BFDCCBA-9333-499A-B698-637F101FF2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44</xdr:col>
      <xdr:colOff>1104900</xdr:colOff>
      <xdr:row>12</xdr:row>
      <xdr:rowOff>9524</xdr:rowOff>
    </xdr:from>
    <xdr:to>
      <xdr:col>47</xdr:col>
      <xdr:colOff>219075</xdr:colOff>
      <xdr:row>24</xdr:row>
      <xdr:rowOff>119061</xdr:rowOff>
    </xdr:to>
    <xdr:graphicFrame macro="">
      <xdr:nvGraphicFramePr>
        <xdr:cNvPr id="37" name="Chart 36">
          <a:extLst>
            <a:ext uri="{FF2B5EF4-FFF2-40B4-BE49-F238E27FC236}">
              <a16:creationId xmlns:a16="http://schemas.microsoft.com/office/drawing/2014/main" id="{AE8573AD-541F-4B62-9AA6-622DFEE73A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11907</xdr:colOff>
      <xdr:row>0</xdr:row>
      <xdr:rowOff>9525</xdr:rowOff>
    </xdr:from>
    <xdr:to>
      <xdr:col>19</xdr:col>
      <xdr:colOff>47626</xdr:colOff>
      <xdr:row>27</xdr:row>
      <xdr:rowOff>119063</xdr:rowOff>
    </xdr:to>
    <xdr:sp macro="" textlink="">
      <xdr:nvSpPr>
        <xdr:cNvPr id="2" name="Rectangle 1">
          <a:extLst>
            <a:ext uri="{FF2B5EF4-FFF2-40B4-BE49-F238E27FC236}">
              <a16:creationId xmlns:a16="http://schemas.microsoft.com/office/drawing/2014/main" id="{288B564A-54D5-4369-AC12-F884A1BFE085}"/>
            </a:ext>
          </a:extLst>
        </xdr:cNvPr>
        <xdr:cNvSpPr/>
      </xdr:nvSpPr>
      <xdr:spPr>
        <a:xfrm>
          <a:off x="619126" y="9525"/>
          <a:ext cx="10965656" cy="5253038"/>
        </a:xfrm>
        <a:prstGeom prst="rect">
          <a:avLst/>
        </a:prstGeom>
        <a:solidFill>
          <a:srgbClr val="3F382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260684</xdr:colOff>
      <xdr:row>0</xdr:row>
      <xdr:rowOff>0</xdr:rowOff>
    </xdr:from>
    <xdr:to>
      <xdr:col>18</xdr:col>
      <xdr:colOff>535783</xdr:colOff>
      <xdr:row>27</xdr:row>
      <xdr:rowOff>119062</xdr:rowOff>
    </xdr:to>
    <xdr:sp macro="" textlink="">
      <xdr:nvSpPr>
        <xdr:cNvPr id="3" name="Rectangle 2">
          <a:extLst>
            <a:ext uri="{FF2B5EF4-FFF2-40B4-BE49-F238E27FC236}">
              <a16:creationId xmlns:a16="http://schemas.microsoft.com/office/drawing/2014/main" id="{CF18F0F1-F77E-41AB-B55C-37C121745F67}"/>
            </a:ext>
          </a:extLst>
        </xdr:cNvPr>
        <xdr:cNvSpPr/>
      </xdr:nvSpPr>
      <xdr:spPr>
        <a:xfrm>
          <a:off x="1485327" y="0"/>
          <a:ext cx="10072242" cy="5367531"/>
        </a:xfrm>
        <a:prstGeom prst="rect">
          <a:avLst/>
        </a:prstGeom>
        <a:solidFill>
          <a:schemeClr val="accent6">
            <a:lumMod val="75000"/>
            <a:alpha val="6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272147</xdr:colOff>
      <xdr:row>0</xdr:row>
      <xdr:rowOff>32561</xdr:rowOff>
    </xdr:from>
    <xdr:to>
      <xdr:col>12</xdr:col>
      <xdr:colOff>68036</xdr:colOff>
      <xdr:row>3</xdr:row>
      <xdr:rowOff>68038</xdr:rowOff>
    </xdr:to>
    <xdr:sp macro="" textlink="">
      <xdr:nvSpPr>
        <xdr:cNvPr id="4" name="TextBox 3">
          <a:extLst>
            <a:ext uri="{FF2B5EF4-FFF2-40B4-BE49-F238E27FC236}">
              <a16:creationId xmlns:a16="http://schemas.microsoft.com/office/drawing/2014/main" id="{13BE2467-B8F5-4E94-B917-E8DD32AADA2D}"/>
            </a:ext>
          </a:extLst>
        </xdr:cNvPr>
        <xdr:cNvSpPr txBox="1"/>
      </xdr:nvSpPr>
      <xdr:spPr>
        <a:xfrm>
          <a:off x="1496790" y="32561"/>
          <a:ext cx="5919103" cy="61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E8EAE5"/>
              </a:solidFill>
              <a:latin typeface="Segoe UI" panose="020B0502040204020203" pitchFamily="34" charset="0"/>
              <a:cs typeface="Segoe UI" panose="020B0502040204020203" pitchFamily="34" charset="0"/>
            </a:rPr>
            <a:t>EMPLOYEE</a:t>
          </a:r>
          <a:r>
            <a:rPr lang="en-US" sz="1800" b="1" baseline="0">
              <a:solidFill>
                <a:srgbClr val="E8EAE5"/>
              </a:solidFill>
              <a:latin typeface="Segoe UI" panose="020B0502040204020203" pitchFamily="34" charset="0"/>
              <a:cs typeface="Segoe UI" panose="020B0502040204020203" pitchFamily="34" charset="0"/>
            </a:rPr>
            <a:t> ATTRITION &amp; WORKFORCE DASHBOARD</a:t>
          </a:r>
        </a:p>
        <a:p>
          <a:r>
            <a:rPr lang="en-US" sz="1000" b="1" baseline="0">
              <a:solidFill>
                <a:srgbClr val="E8EAE5"/>
              </a:solidFill>
              <a:latin typeface="Segoe UI" panose="020B0502040204020203" pitchFamily="34" charset="0"/>
              <a:cs typeface="Segoe UI" panose="020B0502040204020203" pitchFamily="34" charset="0"/>
            </a:rPr>
            <a:t>A data-driven analysis of key factors influencing employee attrition</a:t>
          </a:r>
        </a:p>
        <a:p>
          <a:endParaRPr lang="en-US" sz="18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2</xdr:col>
      <xdr:colOff>330869</xdr:colOff>
      <xdr:row>3</xdr:row>
      <xdr:rowOff>59531</xdr:rowOff>
    </xdr:from>
    <xdr:to>
      <xdr:col>18</xdr:col>
      <xdr:colOff>428625</xdr:colOff>
      <xdr:row>6</xdr:row>
      <xdr:rowOff>116632</xdr:rowOff>
    </xdr:to>
    <xdr:sp macro="" textlink="">
      <xdr:nvSpPr>
        <xdr:cNvPr id="5" name="Rectangle: Rounded Corners 4">
          <a:extLst>
            <a:ext uri="{FF2B5EF4-FFF2-40B4-BE49-F238E27FC236}">
              <a16:creationId xmlns:a16="http://schemas.microsoft.com/office/drawing/2014/main" id="{4A4B479D-F6D4-44F8-8E12-079DA42BE103}"/>
            </a:ext>
          </a:extLst>
        </xdr:cNvPr>
        <xdr:cNvSpPr/>
      </xdr:nvSpPr>
      <xdr:spPr>
        <a:xfrm>
          <a:off x="1555512" y="642694"/>
          <a:ext cx="9894899" cy="640265"/>
        </a:xfrm>
        <a:prstGeom prst="roundRect">
          <a:avLst>
            <a:gd name="adj" fmla="val 6808"/>
          </a:avLst>
        </a:prstGeom>
        <a:solidFill>
          <a:srgbClr val="3F3826"/>
        </a:solidFill>
        <a:ln>
          <a:noFill/>
        </a:ln>
        <a:effectLst>
          <a:innerShdw blurRad="63500" dist="50800" dir="189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152905</xdr:colOff>
      <xdr:row>3</xdr:row>
      <xdr:rowOff>68736</xdr:rowOff>
    </xdr:from>
    <xdr:to>
      <xdr:col>6</xdr:col>
      <xdr:colOff>164811</xdr:colOff>
      <xdr:row>6</xdr:row>
      <xdr:rowOff>169623</xdr:rowOff>
    </xdr:to>
    <xdr:graphicFrame macro="">
      <xdr:nvGraphicFramePr>
        <xdr:cNvPr id="6" name="Chart 5">
          <a:extLst>
            <a:ext uri="{FF2B5EF4-FFF2-40B4-BE49-F238E27FC236}">
              <a16:creationId xmlns:a16="http://schemas.microsoft.com/office/drawing/2014/main" id="{EFC589E1-9D9A-4C9B-BAC9-0FA971C013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288884</xdr:colOff>
      <xdr:row>3</xdr:row>
      <xdr:rowOff>67052</xdr:rowOff>
    </xdr:from>
    <xdr:to>
      <xdr:col>8</xdr:col>
      <xdr:colOff>479385</xdr:colOff>
      <xdr:row>8</xdr:row>
      <xdr:rowOff>102771</xdr:rowOff>
    </xdr:to>
    <xdr:graphicFrame macro="">
      <xdr:nvGraphicFramePr>
        <xdr:cNvPr id="7" name="Chart 6">
          <a:extLst>
            <a:ext uri="{FF2B5EF4-FFF2-40B4-BE49-F238E27FC236}">
              <a16:creationId xmlns:a16="http://schemas.microsoft.com/office/drawing/2014/main" id="{38997EDD-3F38-4972-A5C9-FFFA2E4E6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93998</xdr:colOff>
      <xdr:row>3</xdr:row>
      <xdr:rowOff>68933</xdr:rowOff>
    </xdr:from>
    <xdr:to>
      <xdr:col>11</xdr:col>
      <xdr:colOff>486904</xdr:colOff>
      <xdr:row>7</xdr:row>
      <xdr:rowOff>45120</xdr:rowOff>
    </xdr:to>
    <xdr:graphicFrame macro="">
      <xdr:nvGraphicFramePr>
        <xdr:cNvPr id="12" name="Chart 11">
          <a:extLst>
            <a:ext uri="{FF2B5EF4-FFF2-40B4-BE49-F238E27FC236}">
              <a16:creationId xmlns:a16="http://schemas.microsoft.com/office/drawing/2014/main" id="{434E4613-52C9-4120-BEA5-DE4449ADF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483141</xdr:colOff>
      <xdr:row>3</xdr:row>
      <xdr:rowOff>67052</xdr:rowOff>
    </xdr:from>
    <xdr:to>
      <xdr:col>19</xdr:col>
      <xdr:colOff>50129</xdr:colOff>
      <xdr:row>6</xdr:row>
      <xdr:rowOff>150396</xdr:rowOff>
    </xdr:to>
    <xdr:graphicFrame macro="">
      <xdr:nvGraphicFramePr>
        <xdr:cNvPr id="14" name="Chart 13">
          <a:extLst>
            <a:ext uri="{FF2B5EF4-FFF2-40B4-BE49-F238E27FC236}">
              <a16:creationId xmlns:a16="http://schemas.microsoft.com/office/drawing/2014/main" id="{9D26148A-A1EE-4400-8621-C1FCE694AA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320843</xdr:colOff>
      <xdr:row>6</xdr:row>
      <xdr:rowOff>147294</xdr:rowOff>
    </xdr:from>
    <xdr:to>
      <xdr:col>18</xdr:col>
      <xdr:colOff>414643</xdr:colOff>
      <xdr:row>27</xdr:row>
      <xdr:rowOff>47626</xdr:rowOff>
    </xdr:to>
    <xdr:sp macro="" textlink="">
      <xdr:nvSpPr>
        <xdr:cNvPr id="17" name="Rectangle: Rounded Corners 16">
          <a:extLst>
            <a:ext uri="{FF2B5EF4-FFF2-40B4-BE49-F238E27FC236}">
              <a16:creationId xmlns:a16="http://schemas.microsoft.com/office/drawing/2014/main" id="{F683F900-9D28-4D0B-957A-6DAE0D43451E}"/>
            </a:ext>
          </a:extLst>
        </xdr:cNvPr>
        <xdr:cNvSpPr/>
      </xdr:nvSpPr>
      <xdr:spPr>
        <a:xfrm>
          <a:off x="1538472" y="1266727"/>
          <a:ext cx="9834831" cy="3818347"/>
        </a:xfrm>
        <a:prstGeom prst="roundRect">
          <a:avLst>
            <a:gd name="adj" fmla="val 3129"/>
          </a:avLst>
        </a:prstGeom>
        <a:solidFill>
          <a:srgbClr val="3F3826"/>
        </a:solidFill>
        <a:ln>
          <a:noFill/>
        </a:ln>
        <a:effectLst>
          <a:innerShdw blurRad="63500" dist="50800" dir="189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381000</xdr:colOff>
      <xdr:row>6</xdr:row>
      <xdr:rowOff>77756</xdr:rowOff>
    </xdr:from>
    <xdr:to>
      <xdr:col>7</xdr:col>
      <xdr:colOff>85725</xdr:colOff>
      <xdr:row>17</xdr:row>
      <xdr:rowOff>30079</xdr:rowOff>
    </xdr:to>
    <xdr:graphicFrame macro="">
      <xdr:nvGraphicFramePr>
        <xdr:cNvPr id="15" name="Chart 14">
          <a:extLst>
            <a:ext uri="{FF2B5EF4-FFF2-40B4-BE49-F238E27FC236}">
              <a16:creationId xmlns:a16="http://schemas.microsoft.com/office/drawing/2014/main" id="{83EFC15C-50D0-4635-B02C-7B185D31D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5</xdr:col>
      <xdr:colOff>354779</xdr:colOff>
      <xdr:row>3</xdr:row>
      <xdr:rowOff>125615</xdr:rowOff>
    </xdr:from>
    <xdr:to>
      <xdr:col>5</xdr:col>
      <xdr:colOff>533846</xdr:colOff>
      <xdr:row>5</xdr:row>
      <xdr:rowOff>3855</xdr:rowOff>
    </xdr:to>
    <xdr:pic>
      <xdr:nvPicPr>
        <xdr:cNvPr id="9" name="Picture 8">
          <a:extLst>
            <a:ext uri="{FF2B5EF4-FFF2-40B4-BE49-F238E27FC236}">
              <a16:creationId xmlns:a16="http://schemas.microsoft.com/office/drawing/2014/main" id="{C322E7F7-79D8-42CF-BF4B-FA2659FC061A}"/>
            </a:ext>
          </a:extLst>
        </xdr:cNvPr>
        <xdr:cNvPicPr>
          <a:picLocks noChangeAspect="1"/>
        </xdr:cNvPicPr>
      </xdr:nvPicPr>
      <xdr:blipFill>
        <a:blip xmlns:r="http://schemas.openxmlformats.org/officeDocument/2006/relationships" r:embed="rId6"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3398851" y="685331"/>
          <a:ext cx="179067" cy="251385"/>
        </a:xfrm>
        <a:prstGeom prst="rect">
          <a:avLst/>
        </a:prstGeom>
      </xdr:spPr>
    </xdr:pic>
    <xdr:clientData/>
  </xdr:twoCellAnchor>
  <xdr:twoCellAnchor editAs="oneCell">
    <xdr:from>
      <xdr:col>2</xdr:col>
      <xdr:colOff>456683</xdr:colOff>
      <xdr:row>3</xdr:row>
      <xdr:rowOff>148259</xdr:rowOff>
    </xdr:from>
    <xdr:to>
      <xdr:col>3</xdr:col>
      <xdr:colOff>106775</xdr:colOff>
      <xdr:row>5</xdr:row>
      <xdr:rowOff>27114</xdr:rowOff>
    </xdr:to>
    <xdr:pic>
      <xdr:nvPicPr>
        <xdr:cNvPr id="13" name="Picture 12">
          <a:extLst>
            <a:ext uri="{FF2B5EF4-FFF2-40B4-BE49-F238E27FC236}">
              <a16:creationId xmlns:a16="http://schemas.microsoft.com/office/drawing/2014/main" id="{E78F48FD-413B-4DD9-A19F-D24D00C6D8D2}"/>
            </a:ext>
          </a:extLst>
        </xdr:cNvPr>
        <xdr:cNvPicPr>
          <a:picLocks noChangeAspect="1"/>
        </xdr:cNvPicPr>
      </xdr:nvPicPr>
      <xdr:blipFill>
        <a:blip xmlns:r="http://schemas.openxmlformats.org/officeDocument/2006/relationships" r:embed="rId7"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1674312" y="707975"/>
          <a:ext cx="258906" cy="252000"/>
        </a:xfrm>
        <a:prstGeom prst="rect">
          <a:avLst/>
        </a:prstGeom>
      </xdr:spPr>
    </xdr:pic>
    <xdr:clientData/>
  </xdr:twoCellAnchor>
  <xdr:twoCellAnchor editAs="oneCell">
    <xdr:from>
      <xdr:col>8</xdr:col>
      <xdr:colOff>478189</xdr:colOff>
      <xdr:row>3</xdr:row>
      <xdr:rowOff>125689</xdr:rowOff>
    </xdr:from>
    <xdr:to>
      <xdr:col>9</xdr:col>
      <xdr:colOff>117889</xdr:colOff>
      <xdr:row>5</xdr:row>
      <xdr:rowOff>3929</xdr:rowOff>
    </xdr:to>
    <xdr:pic>
      <xdr:nvPicPr>
        <xdr:cNvPr id="25" name="Picture 24">
          <a:extLst>
            <a:ext uri="{FF2B5EF4-FFF2-40B4-BE49-F238E27FC236}">
              <a16:creationId xmlns:a16="http://schemas.microsoft.com/office/drawing/2014/main" id="{1063313D-9DB8-492B-9322-44309A64AC54}"/>
            </a:ext>
          </a:extLst>
        </xdr:cNvPr>
        <xdr:cNvPicPr>
          <a:picLocks noChangeAspect="1"/>
        </xdr:cNvPicPr>
      </xdr:nvPicPr>
      <xdr:blipFill>
        <a:blip xmlns:r="http://schemas.openxmlformats.org/officeDocument/2006/relationships" r:embed="rId8" cstate="print">
          <a:duotone>
            <a:prstClr val="black"/>
            <a:schemeClr val="accent6">
              <a:tint val="45000"/>
              <a:satMod val="400000"/>
            </a:schemeClr>
          </a:duotone>
          <a:extLst>
            <a:ext uri="{28A0092B-C50C-407E-A947-70E740481C1C}">
              <a14:useLocalDpi xmlns:a14="http://schemas.microsoft.com/office/drawing/2010/main" val="0"/>
            </a:ext>
          </a:extLst>
        </a:blip>
        <a:stretch>
          <a:fillRect/>
        </a:stretch>
      </xdr:blipFill>
      <xdr:spPr>
        <a:xfrm>
          <a:off x="5376760" y="708852"/>
          <a:ext cx="252022" cy="259200"/>
        </a:xfrm>
        <a:prstGeom prst="rect">
          <a:avLst/>
        </a:prstGeom>
      </xdr:spPr>
    </xdr:pic>
    <xdr:clientData/>
  </xdr:twoCellAnchor>
  <xdr:twoCellAnchor editAs="oneCell">
    <xdr:from>
      <xdr:col>11</xdr:col>
      <xdr:colOff>373575</xdr:colOff>
      <xdr:row>3</xdr:row>
      <xdr:rowOff>134362</xdr:rowOff>
    </xdr:from>
    <xdr:to>
      <xdr:col>12</xdr:col>
      <xdr:colOff>64563</xdr:colOff>
      <xdr:row>5</xdr:row>
      <xdr:rowOff>13217</xdr:rowOff>
    </xdr:to>
    <xdr:pic>
      <xdr:nvPicPr>
        <xdr:cNvPr id="29" name="Picture 28">
          <a:extLst>
            <a:ext uri="{FF2B5EF4-FFF2-40B4-BE49-F238E27FC236}">
              <a16:creationId xmlns:a16="http://schemas.microsoft.com/office/drawing/2014/main" id="{B55A3AB8-FED1-49C7-84CE-514DBC226B42}"/>
            </a:ext>
          </a:extLst>
        </xdr:cNvPr>
        <xdr:cNvPicPr>
          <a:picLocks noChangeAspect="1"/>
        </xdr:cNvPicPr>
      </xdr:nvPicPr>
      <xdr:blipFill>
        <a:blip xmlns:r="http://schemas.openxmlformats.org/officeDocument/2006/relationships" r:embed="rId9"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7070534" y="694078"/>
          <a:ext cx="299802" cy="252000"/>
        </a:xfrm>
        <a:prstGeom prst="rect">
          <a:avLst/>
        </a:prstGeom>
      </xdr:spPr>
    </xdr:pic>
    <xdr:clientData/>
  </xdr:twoCellAnchor>
  <xdr:twoCellAnchor editAs="oneCell">
    <xdr:from>
      <xdr:col>14</xdr:col>
      <xdr:colOff>91143</xdr:colOff>
      <xdr:row>3</xdr:row>
      <xdr:rowOff>136359</xdr:rowOff>
    </xdr:from>
    <xdr:to>
      <xdr:col>14</xdr:col>
      <xdr:colOff>280037</xdr:colOff>
      <xdr:row>5</xdr:row>
      <xdr:rowOff>15214</xdr:rowOff>
    </xdr:to>
    <xdr:pic>
      <xdr:nvPicPr>
        <xdr:cNvPr id="30" name="Picture 29">
          <a:extLst>
            <a:ext uri="{FF2B5EF4-FFF2-40B4-BE49-F238E27FC236}">
              <a16:creationId xmlns:a16="http://schemas.microsoft.com/office/drawing/2014/main" id="{4915C928-E319-4158-909B-28EB57722F86}"/>
            </a:ext>
          </a:extLst>
        </xdr:cNvPr>
        <xdr:cNvPicPr>
          <a:picLocks noChangeAspect="1"/>
        </xdr:cNvPicPr>
      </xdr:nvPicPr>
      <xdr:blipFill>
        <a:blip xmlns:r="http://schemas.openxmlformats.org/officeDocument/2006/relationships" r:embed="rId6"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8614545" y="696075"/>
          <a:ext cx="188894" cy="252000"/>
        </a:xfrm>
        <a:prstGeom prst="rect">
          <a:avLst/>
        </a:prstGeom>
      </xdr:spPr>
    </xdr:pic>
    <xdr:clientData/>
  </xdr:twoCellAnchor>
  <xdr:twoCellAnchor editAs="oneCell">
    <xdr:from>
      <xdr:col>1</xdr:col>
      <xdr:colOff>267617</xdr:colOff>
      <xdr:row>2</xdr:row>
      <xdr:rowOff>78972</xdr:rowOff>
    </xdr:from>
    <xdr:to>
      <xdr:col>2</xdr:col>
      <xdr:colOff>13783</xdr:colOff>
      <xdr:row>4</xdr:row>
      <xdr:rowOff>57972</xdr:rowOff>
    </xdr:to>
    <xdr:pic>
      <xdr:nvPicPr>
        <xdr:cNvPr id="34" name="Picture 33">
          <a:hlinkClick xmlns:r="http://schemas.openxmlformats.org/officeDocument/2006/relationships" r:id="rId10"/>
          <a:extLst>
            <a:ext uri="{FF2B5EF4-FFF2-40B4-BE49-F238E27FC236}">
              <a16:creationId xmlns:a16="http://schemas.microsoft.com/office/drawing/2014/main" id="{1F122F14-1C2D-4CE9-8717-553B11CAD4ED}"/>
            </a:ext>
          </a:extLst>
        </xdr:cNvPr>
        <xdr:cNvPicPr>
          <a:picLocks noChangeAspect="1"/>
        </xdr:cNvPicPr>
      </xdr:nvPicPr>
      <xdr:blipFill>
        <a:blip xmlns:r="http://schemas.openxmlformats.org/officeDocument/2006/relationships" r:embed="rId11">
          <a:biLevel thresh="25000"/>
          <a:extLst>
            <a:ext uri="{BEBA8EAE-BF5A-486C-A8C5-ECC9F3942E4B}">
              <a14:imgProps xmlns:a14="http://schemas.microsoft.com/office/drawing/2010/main">
                <a14:imgLayer r:embed="rId12">
                  <a14:imgEffect>
                    <a14:saturation sat="0"/>
                  </a14:imgEffect>
                  <a14:imgEffect>
                    <a14:brightnessContrast bright="-40000" contrast="-40000"/>
                  </a14:imgEffect>
                </a14:imgLayer>
              </a14:imgProps>
            </a:ext>
            <a:ext uri="{28A0092B-C50C-407E-A947-70E740481C1C}">
              <a14:useLocalDpi xmlns:a14="http://schemas.microsoft.com/office/drawing/2010/main" val="0"/>
            </a:ext>
          </a:extLst>
        </a:blip>
        <a:stretch>
          <a:fillRect/>
        </a:stretch>
      </xdr:blipFill>
      <xdr:spPr>
        <a:xfrm flipH="1">
          <a:off x="876431" y="452116"/>
          <a:ext cx="354981" cy="352145"/>
        </a:xfrm>
        <a:prstGeom prst="rect">
          <a:avLst/>
        </a:prstGeom>
      </xdr:spPr>
    </xdr:pic>
    <xdr:clientData/>
  </xdr:twoCellAnchor>
  <xdr:twoCellAnchor editAs="oneCell">
    <xdr:from>
      <xdr:col>1</xdr:col>
      <xdr:colOff>267617</xdr:colOff>
      <xdr:row>20</xdr:row>
      <xdr:rowOff>141247</xdr:rowOff>
    </xdr:from>
    <xdr:to>
      <xdr:col>2</xdr:col>
      <xdr:colOff>13783</xdr:colOff>
      <xdr:row>22</xdr:row>
      <xdr:rowOff>120247</xdr:rowOff>
    </xdr:to>
    <xdr:pic>
      <xdr:nvPicPr>
        <xdr:cNvPr id="36" name="Picture 35">
          <a:hlinkClick xmlns:r="http://schemas.openxmlformats.org/officeDocument/2006/relationships" r:id="rId13"/>
          <a:extLst>
            <a:ext uri="{FF2B5EF4-FFF2-40B4-BE49-F238E27FC236}">
              <a16:creationId xmlns:a16="http://schemas.microsoft.com/office/drawing/2014/main" id="{AA517F09-55FF-4536-A50C-98030C3856D7}"/>
            </a:ext>
          </a:extLst>
        </xdr:cNvPr>
        <xdr:cNvPicPr>
          <a:picLocks noChangeAspect="1"/>
        </xdr:cNvPicPr>
      </xdr:nvPicPr>
      <xdr:blipFill>
        <a:blip xmlns:r="http://schemas.openxmlformats.org/officeDocument/2006/relationships" r:embed="rId14">
          <a:biLevel thresh="50000"/>
          <a:extLst>
            <a:ext uri="{28A0092B-C50C-407E-A947-70E740481C1C}">
              <a14:useLocalDpi xmlns:a14="http://schemas.microsoft.com/office/drawing/2010/main" val="0"/>
            </a:ext>
          </a:extLst>
        </a:blip>
        <a:stretch>
          <a:fillRect/>
        </a:stretch>
      </xdr:blipFill>
      <xdr:spPr>
        <a:xfrm flipH="1">
          <a:off x="881450" y="3951247"/>
          <a:ext cx="360000" cy="360000"/>
        </a:xfrm>
        <a:prstGeom prst="rect">
          <a:avLst/>
        </a:prstGeom>
      </xdr:spPr>
    </xdr:pic>
    <xdr:clientData/>
  </xdr:twoCellAnchor>
  <xdr:twoCellAnchor editAs="oneCell">
    <xdr:from>
      <xdr:col>1</xdr:col>
      <xdr:colOff>247977</xdr:colOff>
      <xdr:row>8</xdr:row>
      <xdr:rowOff>166700</xdr:rowOff>
    </xdr:from>
    <xdr:to>
      <xdr:col>1</xdr:col>
      <xdr:colOff>602958</xdr:colOff>
      <xdr:row>10</xdr:row>
      <xdr:rowOff>145699</xdr:rowOff>
    </xdr:to>
    <xdr:pic>
      <xdr:nvPicPr>
        <xdr:cNvPr id="39" name="Picture 38">
          <a:hlinkClick xmlns:r="http://schemas.openxmlformats.org/officeDocument/2006/relationships" r:id="rId15"/>
          <a:extLst>
            <a:ext uri="{FF2B5EF4-FFF2-40B4-BE49-F238E27FC236}">
              <a16:creationId xmlns:a16="http://schemas.microsoft.com/office/drawing/2014/main" id="{0CC62CA9-A425-4428-B1F8-08C125CE8830}"/>
            </a:ext>
          </a:extLst>
        </xdr:cNvPr>
        <xdr:cNvPicPr>
          <a:picLocks noChangeAspect="1"/>
        </xdr:cNvPicPr>
      </xdr:nvPicPr>
      <xdr:blipFill>
        <a:blip xmlns:r="http://schemas.openxmlformats.org/officeDocument/2006/relationships" r:embed="rId16">
          <a:biLevel thresh="50000"/>
          <a:extLst>
            <a:ext uri="{28A0092B-C50C-407E-A947-70E740481C1C}">
              <a14:useLocalDpi xmlns:a14="http://schemas.microsoft.com/office/drawing/2010/main" val="0"/>
            </a:ext>
          </a:extLst>
        </a:blip>
        <a:stretch>
          <a:fillRect/>
        </a:stretch>
      </xdr:blipFill>
      <xdr:spPr>
        <a:xfrm flipH="1">
          <a:off x="856791" y="1659277"/>
          <a:ext cx="354981" cy="352144"/>
        </a:xfrm>
        <a:prstGeom prst="rect">
          <a:avLst/>
        </a:prstGeom>
      </xdr:spPr>
    </xdr:pic>
    <xdr:clientData/>
  </xdr:twoCellAnchor>
  <xdr:twoCellAnchor>
    <xdr:from>
      <xdr:col>0</xdr:col>
      <xdr:colOff>511139</xdr:colOff>
      <xdr:row>10</xdr:row>
      <xdr:rowOff>29875</xdr:rowOff>
    </xdr:from>
    <xdr:to>
      <xdr:col>2</xdr:col>
      <xdr:colOff>360744</xdr:colOff>
      <xdr:row>11</xdr:row>
      <xdr:rowOff>170244</xdr:rowOff>
    </xdr:to>
    <xdr:sp macro="" textlink="">
      <xdr:nvSpPr>
        <xdr:cNvPr id="40" name="TextBox 39">
          <a:extLst>
            <a:ext uri="{FF2B5EF4-FFF2-40B4-BE49-F238E27FC236}">
              <a16:creationId xmlns:a16="http://schemas.microsoft.com/office/drawing/2014/main" id="{BD1B2E54-1AA5-4BFB-98CD-45DE26B27727}"/>
            </a:ext>
          </a:extLst>
        </xdr:cNvPr>
        <xdr:cNvSpPr txBox="1"/>
      </xdr:nvSpPr>
      <xdr:spPr>
        <a:xfrm>
          <a:off x="511139" y="1895597"/>
          <a:ext cx="1067234" cy="326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chemeClr val="bg1"/>
              </a:solidFill>
              <a:latin typeface="Segoe UI" panose="020B0502040204020203" pitchFamily="34" charset="0"/>
              <a:cs typeface="Segoe UI" panose="020B0502040204020203" pitchFamily="34" charset="0"/>
            </a:rPr>
            <a:t>Analysis</a:t>
          </a:r>
        </a:p>
      </xdr:txBody>
    </xdr:sp>
    <xdr:clientData/>
  </xdr:twoCellAnchor>
  <xdr:twoCellAnchor>
    <xdr:from>
      <xdr:col>0</xdr:col>
      <xdr:colOff>441157</xdr:colOff>
      <xdr:row>3</xdr:row>
      <xdr:rowOff>160772</xdr:rowOff>
    </xdr:from>
    <xdr:to>
      <xdr:col>2</xdr:col>
      <xdr:colOff>443163</xdr:colOff>
      <xdr:row>5</xdr:row>
      <xdr:rowOff>110640</xdr:rowOff>
    </xdr:to>
    <xdr:sp macro="" textlink="">
      <xdr:nvSpPr>
        <xdr:cNvPr id="41" name="TextBox 40">
          <a:extLst>
            <a:ext uri="{FF2B5EF4-FFF2-40B4-BE49-F238E27FC236}">
              <a16:creationId xmlns:a16="http://schemas.microsoft.com/office/drawing/2014/main" id="{4DE84CCF-D2CC-4412-8902-EDD386BBCF09}"/>
            </a:ext>
          </a:extLst>
        </xdr:cNvPr>
        <xdr:cNvSpPr txBox="1"/>
      </xdr:nvSpPr>
      <xdr:spPr>
        <a:xfrm>
          <a:off x="441157" y="720488"/>
          <a:ext cx="1219635" cy="323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latin typeface="Segoe UI" panose="020B0502040204020203" pitchFamily="34" charset="0"/>
              <a:cs typeface="Segoe UI" panose="020B0502040204020203" pitchFamily="34" charset="0"/>
            </a:rPr>
            <a:t>Dashboard</a:t>
          </a:r>
        </a:p>
      </xdr:txBody>
    </xdr:sp>
    <xdr:clientData/>
  </xdr:twoCellAnchor>
  <xdr:twoCellAnchor>
    <xdr:from>
      <xdr:col>0</xdr:col>
      <xdr:colOff>423109</xdr:colOff>
      <xdr:row>22</xdr:row>
      <xdr:rowOff>74194</xdr:rowOff>
    </xdr:from>
    <xdr:to>
      <xdr:col>2</xdr:col>
      <xdr:colOff>425115</xdr:colOff>
      <xdr:row>24</xdr:row>
      <xdr:rowOff>24063</xdr:rowOff>
    </xdr:to>
    <xdr:sp macro="" textlink="">
      <xdr:nvSpPr>
        <xdr:cNvPr id="42" name="TextBox 41">
          <a:extLst>
            <a:ext uri="{FF2B5EF4-FFF2-40B4-BE49-F238E27FC236}">
              <a16:creationId xmlns:a16="http://schemas.microsoft.com/office/drawing/2014/main" id="{3ABF3C30-8115-4E93-AB0C-6254421C7C59}"/>
            </a:ext>
          </a:extLst>
        </xdr:cNvPr>
        <xdr:cNvSpPr txBox="1"/>
      </xdr:nvSpPr>
      <xdr:spPr>
        <a:xfrm>
          <a:off x="423109" y="4265194"/>
          <a:ext cx="1225217" cy="330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latin typeface="Segoe UI" panose="020B0502040204020203" pitchFamily="34" charset="0"/>
              <a:cs typeface="Segoe UI" panose="020B0502040204020203" pitchFamily="34" charset="0"/>
            </a:rPr>
            <a:t>Pivotable</a:t>
          </a:r>
        </a:p>
      </xdr:txBody>
    </xdr:sp>
    <xdr:clientData/>
  </xdr:twoCellAnchor>
  <xdr:twoCellAnchor>
    <xdr:from>
      <xdr:col>12</xdr:col>
      <xdr:colOff>602602</xdr:colOff>
      <xdr:row>7</xdr:row>
      <xdr:rowOff>38878</xdr:rowOff>
    </xdr:from>
    <xdr:to>
      <xdr:col>18</xdr:col>
      <xdr:colOff>359617</xdr:colOff>
      <xdr:row>17</xdr:row>
      <xdr:rowOff>48597</xdr:rowOff>
    </xdr:to>
    <xdr:graphicFrame macro="">
      <xdr:nvGraphicFramePr>
        <xdr:cNvPr id="28" name="Chart 27">
          <a:extLst>
            <a:ext uri="{FF2B5EF4-FFF2-40B4-BE49-F238E27FC236}">
              <a16:creationId xmlns:a16="http://schemas.microsoft.com/office/drawing/2014/main" id="{E1D8F7D4-9869-47D0-97B9-D65CF56F6E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11</xdr:col>
      <xdr:colOff>453777</xdr:colOff>
      <xdr:row>0</xdr:row>
      <xdr:rowOff>9719</xdr:rowOff>
    </xdr:from>
    <xdr:to>
      <xdr:col>12</xdr:col>
      <xdr:colOff>418034</xdr:colOff>
      <xdr:row>3</xdr:row>
      <xdr:rowOff>15514</xdr:rowOff>
    </xdr:to>
    <xdr:pic>
      <xdr:nvPicPr>
        <xdr:cNvPr id="31" name="Picture 30">
          <a:extLst>
            <a:ext uri="{FF2B5EF4-FFF2-40B4-BE49-F238E27FC236}">
              <a16:creationId xmlns:a16="http://schemas.microsoft.com/office/drawing/2014/main" id="{48FD4D94-C943-4E47-A696-FEB3A647C93E}"/>
            </a:ext>
          </a:extLst>
        </xdr:cNvPr>
        <xdr:cNvPicPr>
          <a:picLocks noChangeAspect="1"/>
        </xdr:cNvPicPr>
      </xdr:nvPicPr>
      <xdr:blipFill>
        <a:blip xmlns:r="http://schemas.openxmlformats.org/officeDocument/2006/relationships" r:embed="rId18" cstate="print">
          <a:biLevel thresh="25000"/>
          <a:extLst>
            <a:ext uri="{28A0092B-C50C-407E-A947-70E740481C1C}">
              <a14:useLocalDpi xmlns:a14="http://schemas.microsoft.com/office/drawing/2010/main" val="0"/>
            </a:ext>
          </a:extLst>
        </a:blip>
        <a:stretch>
          <a:fillRect/>
        </a:stretch>
      </xdr:blipFill>
      <xdr:spPr>
        <a:xfrm>
          <a:off x="7150736" y="9719"/>
          <a:ext cx="573071" cy="565511"/>
        </a:xfrm>
        <a:prstGeom prst="rect">
          <a:avLst/>
        </a:prstGeom>
      </xdr:spPr>
    </xdr:pic>
    <xdr:clientData/>
  </xdr:twoCellAnchor>
  <xdr:twoCellAnchor>
    <xdr:from>
      <xdr:col>7</xdr:col>
      <xdr:colOff>155510</xdr:colOff>
      <xdr:row>7</xdr:row>
      <xdr:rowOff>68037</xdr:rowOff>
    </xdr:from>
    <xdr:to>
      <xdr:col>12</xdr:col>
      <xdr:colOff>505409</xdr:colOff>
      <xdr:row>17</xdr:row>
      <xdr:rowOff>50929</xdr:rowOff>
    </xdr:to>
    <xdr:graphicFrame macro="">
      <xdr:nvGraphicFramePr>
        <xdr:cNvPr id="32" name="Chart 31">
          <a:extLst>
            <a:ext uri="{FF2B5EF4-FFF2-40B4-BE49-F238E27FC236}">
              <a16:creationId xmlns:a16="http://schemas.microsoft.com/office/drawing/2014/main" id="{8A61102B-806D-43FC-8989-A03EAA5521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xdr:col>
      <xdr:colOff>301300</xdr:colOff>
      <xdr:row>17</xdr:row>
      <xdr:rowOff>97194</xdr:rowOff>
    </xdr:from>
    <xdr:to>
      <xdr:col>9</xdr:col>
      <xdr:colOff>291581</xdr:colOff>
      <xdr:row>27</xdr:row>
      <xdr:rowOff>9720</xdr:rowOff>
    </xdr:to>
    <xdr:graphicFrame macro="">
      <xdr:nvGraphicFramePr>
        <xdr:cNvPr id="37" name="Chart 36">
          <a:extLst>
            <a:ext uri="{FF2B5EF4-FFF2-40B4-BE49-F238E27FC236}">
              <a16:creationId xmlns:a16="http://schemas.microsoft.com/office/drawing/2014/main" id="{1872BABC-80A4-448A-A8C1-6D02C5E63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3</xdr:col>
      <xdr:colOff>456111</xdr:colOff>
      <xdr:row>12</xdr:row>
      <xdr:rowOff>145790</xdr:rowOff>
    </xdr:from>
    <xdr:to>
      <xdr:col>4</xdr:col>
      <xdr:colOff>504706</xdr:colOff>
      <xdr:row>14</xdr:row>
      <xdr:rowOff>106912</xdr:rowOff>
    </xdr:to>
    <xdr:sp macro="" textlink="counte">
      <xdr:nvSpPr>
        <xdr:cNvPr id="8" name="Rectangle 7">
          <a:extLst>
            <a:ext uri="{FF2B5EF4-FFF2-40B4-BE49-F238E27FC236}">
              <a16:creationId xmlns:a16="http://schemas.microsoft.com/office/drawing/2014/main" id="{58AD855B-1146-4BBC-B02F-11C2E72A690E}"/>
            </a:ext>
          </a:extLst>
        </xdr:cNvPr>
        <xdr:cNvSpPr/>
      </xdr:nvSpPr>
      <xdr:spPr>
        <a:xfrm>
          <a:off x="2282554" y="2384656"/>
          <a:ext cx="657410" cy="334266"/>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B2490673-2A2E-44C1-89BB-815F92A69ACF}" type="TxLink">
            <a:rPr lang="en-US" sz="1200" b="1" i="0" u="none" strike="noStrike">
              <a:solidFill>
                <a:schemeClr val="bg1"/>
              </a:solidFill>
              <a:latin typeface="Segoe UI" panose="020B0502040204020203" pitchFamily="34" charset="0"/>
              <a:ea typeface="Calibri"/>
              <a:cs typeface="Segoe UI" panose="020B0502040204020203" pitchFamily="34" charset="0"/>
            </a:rPr>
            <a:pPr algn="ctr"/>
            <a:t>1470</a:t>
          </a:fld>
          <a:endParaRPr lang="en-US" sz="14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4</xdr:col>
      <xdr:colOff>495689</xdr:colOff>
      <xdr:row>15</xdr:row>
      <xdr:rowOff>58317</xdr:rowOff>
    </xdr:from>
    <xdr:to>
      <xdr:col>6</xdr:col>
      <xdr:colOff>252704</xdr:colOff>
      <xdr:row>16</xdr:row>
      <xdr:rowOff>145791</xdr:rowOff>
    </xdr:to>
    <xdr:sp macro="" textlink="">
      <xdr:nvSpPr>
        <xdr:cNvPr id="10" name="Rectangle 9">
          <a:extLst>
            <a:ext uri="{FF2B5EF4-FFF2-40B4-BE49-F238E27FC236}">
              <a16:creationId xmlns:a16="http://schemas.microsoft.com/office/drawing/2014/main" id="{5F9774D1-2CF4-4A32-B854-0E7F24F8966B}"/>
            </a:ext>
          </a:extLst>
        </xdr:cNvPr>
        <xdr:cNvSpPr/>
      </xdr:nvSpPr>
      <xdr:spPr>
        <a:xfrm>
          <a:off x="2944975" y="2974133"/>
          <a:ext cx="981658" cy="2818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lt1"/>
              </a:solidFill>
              <a:effectLst/>
              <a:latin typeface="+mn-lt"/>
              <a:ea typeface="+mn-ea"/>
              <a:cs typeface="+mn-cs"/>
            </a:rPr>
            <a:t>Retention</a:t>
          </a:r>
          <a:endParaRPr lang="en-US" sz="1050" b="1">
            <a:solidFill>
              <a:srgbClr val="E8EAE5"/>
            </a:solidFill>
            <a:latin typeface="Segoe UI" panose="020B0502040204020203" pitchFamily="34" charset="0"/>
            <a:cs typeface="Segoe UI" panose="020B0502040204020203" pitchFamily="34" charset="0"/>
          </a:endParaRPr>
        </a:p>
      </xdr:txBody>
    </xdr:sp>
    <xdr:clientData/>
  </xdr:twoCellAnchor>
  <xdr:twoCellAnchor>
    <xdr:from>
      <xdr:col>2</xdr:col>
      <xdr:colOff>191278</xdr:colOff>
      <xdr:row>10</xdr:row>
      <xdr:rowOff>181560</xdr:rowOff>
    </xdr:from>
    <xdr:to>
      <xdr:col>3</xdr:col>
      <xdr:colOff>560615</xdr:colOff>
      <xdr:row>12</xdr:row>
      <xdr:rowOff>74647</xdr:rowOff>
    </xdr:to>
    <xdr:sp macro="" textlink="">
      <xdr:nvSpPr>
        <xdr:cNvPr id="35" name="Rectangle 34">
          <a:extLst>
            <a:ext uri="{FF2B5EF4-FFF2-40B4-BE49-F238E27FC236}">
              <a16:creationId xmlns:a16="http://schemas.microsoft.com/office/drawing/2014/main" id="{45DB6C53-1319-49AC-BFC5-3546C254DEE4}"/>
            </a:ext>
          </a:extLst>
        </xdr:cNvPr>
        <xdr:cNvSpPr/>
      </xdr:nvSpPr>
      <xdr:spPr>
        <a:xfrm>
          <a:off x="1415921" y="2125438"/>
          <a:ext cx="981658" cy="28186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solidFill>
                <a:schemeClr val="accent6">
                  <a:lumMod val="75000"/>
                </a:schemeClr>
              </a:solidFill>
              <a:effectLst/>
              <a:latin typeface="+mn-lt"/>
              <a:ea typeface="+mn-ea"/>
              <a:cs typeface="+mn-cs"/>
            </a:rPr>
            <a:t>Attrition</a:t>
          </a:r>
          <a:endParaRPr lang="en-US" sz="1050" b="1">
            <a:solidFill>
              <a:schemeClr val="accent6">
                <a:lumMod val="75000"/>
              </a:schemeClr>
            </a:solidFill>
            <a:latin typeface="Segoe UI" panose="020B0502040204020203" pitchFamily="34" charset="0"/>
            <a:cs typeface="Segoe UI" panose="020B0502040204020203" pitchFamily="34" charset="0"/>
          </a:endParaRPr>
        </a:p>
      </xdr:txBody>
    </xdr:sp>
    <xdr:clientData/>
  </xdr:twoCellAnchor>
  <xdr:twoCellAnchor>
    <xdr:from>
      <xdr:col>2</xdr:col>
      <xdr:colOff>330458</xdr:colOff>
      <xdr:row>8</xdr:row>
      <xdr:rowOff>77756</xdr:rowOff>
    </xdr:from>
    <xdr:to>
      <xdr:col>7</xdr:col>
      <xdr:colOff>165230</xdr:colOff>
      <xdr:row>10</xdr:row>
      <xdr:rowOff>126353</xdr:rowOff>
    </xdr:to>
    <xdr:sp macro="" textlink="">
      <xdr:nvSpPr>
        <xdr:cNvPr id="11" name="TextBox 10">
          <a:extLst>
            <a:ext uri="{FF2B5EF4-FFF2-40B4-BE49-F238E27FC236}">
              <a16:creationId xmlns:a16="http://schemas.microsoft.com/office/drawing/2014/main" id="{C403931E-F528-4119-B077-58F1CD91BD49}"/>
            </a:ext>
          </a:extLst>
        </xdr:cNvPr>
        <xdr:cNvSpPr txBox="1"/>
      </xdr:nvSpPr>
      <xdr:spPr>
        <a:xfrm>
          <a:off x="1555101" y="1632858"/>
          <a:ext cx="2896379" cy="437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0">
              <a:solidFill>
                <a:schemeClr val="bg1"/>
              </a:solidFill>
              <a:effectLst/>
              <a:latin typeface="Segoe UI" panose="020B0502040204020203" pitchFamily="34" charset="0"/>
              <a:ea typeface="+mn-ea"/>
              <a:cs typeface="Segoe UI" panose="020B0502040204020203" pitchFamily="34" charset="0"/>
            </a:rPr>
            <a:t>237 exits still represent a meaningful group worth analyzing to understand potential retention issue.</a:t>
          </a:r>
        </a:p>
      </xdr:txBody>
    </xdr:sp>
    <xdr:clientData/>
  </xdr:twoCellAnchor>
  <xdr:twoCellAnchor>
    <xdr:from>
      <xdr:col>7</xdr:col>
      <xdr:colOff>103802</xdr:colOff>
      <xdr:row>8</xdr:row>
      <xdr:rowOff>55205</xdr:rowOff>
    </xdr:from>
    <xdr:to>
      <xdr:col>12</xdr:col>
      <xdr:colOff>524847</xdr:colOff>
      <xdr:row>10</xdr:row>
      <xdr:rowOff>117835</xdr:rowOff>
    </xdr:to>
    <xdr:sp macro="" textlink="">
      <xdr:nvSpPr>
        <xdr:cNvPr id="43" name="TextBox 42">
          <a:extLst>
            <a:ext uri="{FF2B5EF4-FFF2-40B4-BE49-F238E27FC236}">
              <a16:creationId xmlns:a16="http://schemas.microsoft.com/office/drawing/2014/main" id="{E7B64C58-DFC3-4778-8745-8D983F80484C}"/>
            </a:ext>
          </a:extLst>
        </xdr:cNvPr>
        <xdr:cNvSpPr txBox="1"/>
      </xdr:nvSpPr>
      <xdr:spPr>
        <a:xfrm>
          <a:off x="4365503" y="1547782"/>
          <a:ext cx="3465117" cy="43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0">
              <a:solidFill>
                <a:schemeClr val="bg1"/>
              </a:solidFill>
              <a:effectLst/>
              <a:latin typeface="Segoe UI" panose="020B0502040204020203" pitchFamily="34" charset="0"/>
              <a:ea typeface="+mn-ea"/>
              <a:cs typeface="Segoe UI" panose="020B0502040204020203" pitchFamily="34" charset="0"/>
            </a:rPr>
            <a:t>Age group (28-37yrs) employees especially Male, are more likely to leave than Female.</a:t>
          </a:r>
        </a:p>
      </xdr:txBody>
    </xdr:sp>
    <xdr:clientData/>
  </xdr:twoCellAnchor>
  <xdr:twoCellAnchor>
    <xdr:from>
      <xdr:col>12</xdr:col>
      <xdr:colOff>557503</xdr:colOff>
      <xdr:row>8</xdr:row>
      <xdr:rowOff>61815</xdr:rowOff>
    </xdr:from>
    <xdr:to>
      <xdr:col>18</xdr:col>
      <xdr:colOff>366226</xdr:colOff>
      <xdr:row>9</xdr:row>
      <xdr:rowOff>103803</xdr:rowOff>
    </xdr:to>
    <xdr:sp macro="" textlink="">
      <xdr:nvSpPr>
        <xdr:cNvPr id="44" name="TextBox 43">
          <a:extLst>
            <a:ext uri="{FF2B5EF4-FFF2-40B4-BE49-F238E27FC236}">
              <a16:creationId xmlns:a16="http://schemas.microsoft.com/office/drawing/2014/main" id="{7183C8B3-6685-4532-B85E-CEB31222D41D}"/>
            </a:ext>
          </a:extLst>
        </xdr:cNvPr>
        <xdr:cNvSpPr txBox="1"/>
      </xdr:nvSpPr>
      <xdr:spPr>
        <a:xfrm>
          <a:off x="7905360" y="1616917"/>
          <a:ext cx="3482652" cy="2363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0">
              <a:solidFill>
                <a:schemeClr val="bg1"/>
              </a:solidFill>
              <a:effectLst/>
              <a:latin typeface="Segoe UI" panose="020B0502040204020203" pitchFamily="34" charset="0"/>
              <a:ea typeface="+mn-ea"/>
              <a:cs typeface="Segoe UI" panose="020B0502040204020203" pitchFamily="34" charset="0"/>
            </a:rPr>
            <a:t>This shows that new employees are leaving the organization early.</a:t>
          </a:r>
        </a:p>
      </xdr:txBody>
    </xdr:sp>
    <xdr:clientData/>
  </xdr:twoCellAnchor>
  <xdr:twoCellAnchor>
    <xdr:from>
      <xdr:col>2</xdr:col>
      <xdr:colOff>253092</xdr:colOff>
      <xdr:row>18</xdr:row>
      <xdr:rowOff>78144</xdr:rowOff>
    </xdr:from>
    <xdr:to>
      <xdr:col>9</xdr:col>
      <xdr:colOff>438150</xdr:colOff>
      <xdr:row>19</xdr:row>
      <xdr:rowOff>120133</xdr:rowOff>
    </xdr:to>
    <xdr:sp macro="" textlink="">
      <xdr:nvSpPr>
        <xdr:cNvPr id="45" name="TextBox 44">
          <a:extLst>
            <a:ext uri="{FF2B5EF4-FFF2-40B4-BE49-F238E27FC236}">
              <a16:creationId xmlns:a16="http://schemas.microsoft.com/office/drawing/2014/main" id="{AAFBFFEB-92B6-4E2D-825A-71A01FCA7ED1}"/>
            </a:ext>
          </a:extLst>
        </xdr:cNvPr>
        <xdr:cNvSpPr txBox="1"/>
      </xdr:nvSpPr>
      <xdr:spPr>
        <a:xfrm>
          <a:off x="1472292" y="3507144"/>
          <a:ext cx="4452258" cy="2324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0">
              <a:solidFill>
                <a:schemeClr val="bg1"/>
              </a:solidFill>
              <a:effectLst/>
              <a:latin typeface="Segoe UI" panose="020B0502040204020203" pitchFamily="34" charset="0"/>
              <a:ea typeface="+mn-ea"/>
              <a:cs typeface="Segoe UI" panose="020B0502040204020203" pitchFamily="34" charset="0"/>
            </a:rPr>
            <a:t>Bachelor</a:t>
          </a:r>
          <a:r>
            <a:rPr lang="en-US" sz="800" b="0" baseline="0">
              <a:solidFill>
                <a:schemeClr val="bg1"/>
              </a:solidFill>
              <a:effectLst/>
              <a:latin typeface="Segoe UI" panose="020B0502040204020203" pitchFamily="34" charset="0"/>
              <a:ea typeface="+mn-ea"/>
              <a:cs typeface="Segoe UI" panose="020B0502040204020203" pitchFamily="34" charset="0"/>
            </a:rPr>
            <a:t> got the highest attrition (99) with low monthly income($4.8k) compared to others. degree</a:t>
          </a:r>
          <a:endParaRPr lang="en-US" sz="800" b="0">
            <a:solidFill>
              <a:schemeClr val="bg1"/>
            </a:solidFill>
            <a:effectLst/>
            <a:latin typeface="Segoe UI" panose="020B0502040204020203" pitchFamily="34" charset="0"/>
            <a:ea typeface="+mn-ea"/>
            <a:cs typeface="Segoe UI" panose="020B0502040204020203" pitchFamily="34" charset="0"/>
          </a:endParaRPr>
        </a:p>
      </xdr:txBody>
    </xdr:sp>
    <xdr:clientData/>
  </xdr:twoCellAnchor>
  <xdr:twoCellAnchor>
    <xdr:from>
      <xdr:col>9</xdr:col>
      <xdr:colOff>376335</xdr:colOff>
      <xdr:row>18</xdr:row>
      <xdr:rowOff>84752</xdr:rowOff>
    </xdr:from>
    <xdr:to>
      <xdr:col>14</xdr:col>
      <xdr:colOff>324047</xdr:colOff>
      <xdr:row>20</xdr:row>
      <xdr:rowOff>186571</xdr:rowOff>
    </xdr:to>
    <xdr:sp macro="" textlink="">
      <xdr:nvSpPr>
        <xdr:cNvPr id="46" name="TextBox 45">
          <a:extLst>
            <a:ext uri="{FF2B5EF4-FFF2-40B4-BE49-F238E27FC236}">
              <a16:creationId xmlns:a16="http://schemas.microsoft.com/office/drawing/2014/main" id="{922BDF3F-137F-417F-BE6E-A4A8E7A1ABC6}"/>
            </a:ext>
          </a:extLst>
        </xdr:cNvPr>
        <xdr:cNvSpPr txBox="1"/>
      </xdr:nvSpPr>
      <xdr:spPr>
        <a:xfrm>
          <a:off x="5855665" y="3443051"/>
          <a:ext cx="2991784" cy="4749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800" b="0">
            <a:solidFill>
              <a:schemeClr val="bg1"/>
            </a:solidFill>
            <a:effectLst/>
            <a:latin typeface="Segoe UI" panose="020B0502040204020203" pitchFamily="34" charset="0"/>
            <a:ea typeface="+mn-ea"/>
            <a:cs typeface="Segoe UI" panose="020B0502040204020203" pitchFamily="34" charset="0"/>
          </a:endParaRPr>
        </a:p>
      </xdr:txBody>
    </xdr:sp>
    <xdr:clientData/>
  </xdr:twoCellAnchor>
  <xdr:twoCellAnchor>
    <xdr:from>
      <xdr:col>9</xdr:col>
      <xdr:colOff>324045</xdr:colOff>
      <xdr:row>18</xdr:row>
      <xdr:rowOff>102071</xdr:rowOff>
    </xdr:from>
    <xdr:to>
      <xdr:col>18</xdr:col>
      <xdr:colOff>245489</xdr:colOff>
      <xdr:row>20</xdr:row>
      <xdr:rowOff>29459</xdr:rowOff>
    </xdr:to>
    <xdr:sp macro="" textlink="">
      <xdr:nvSpPr>
        <xdr:cNvPr id="47" name="TextBox 46">
          <a:extLst>
            <a:ext uri="{FF2B5EF4-FFF2-40B4-BE49-F238E27FC236}">
              <a16:creationId xmlns:a16="http://schemas.microsoft.com/office/drawing/2014/main" id="{1B68A489-051C-419D-B31C-87249AC6F621}"/>
            </a:ext>
          </a:extLst>
        </xdr:cNvPr>
        <xdr:cNvSpPr txBox="1"/>
      </xdr:nvSpPr>
      <xdr:spPr>
        <a:xfrm>
          <a:off x="5803375" y="3460370"/>
          <a:ext cx="5400774" cy="3005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0">
              <a:solidFill>
                <a:schemeClr val="bg1"/>
              </a:solidFill>
              <a:effectLst/>
              <a:latin typeface="Segoe UI" panose="020B0502040204020203" pitchFamily="34" charset="0"/>
              <a:ea typeface="+mn-ea"/>
              <a:cs typeface="Segoe UI" panose="020B0502040204020203" pitchFamily="34" charset="0"/>
            </a:rPr>
            <a:t>Sale</a:t>
          </a:r>
          <a:r>
            <a:rPr lang="en-US" sz="800" b="0" baseline="0">
              <a:solidFill>
                <a:schemeClr val="bg1"/>
              </a:solidFill>
              <a:effectLst/>
              <a:latin typeface="Segoe UI" panose="020B0502040204020203" pitchFamily="34" charset="0"/>
              <a:ea typeface="+mn-ea"/>
              <a:cs typeface="Segoe UI" panose="020B0502040204020203" pitchFamily="34" charset="0"/>
            </a:rPr>
            <a:t>s Executive employee has the highest distance (Far and Very far) and attrition count (21 and 16 respectively).</a:t>
          </a:r>
          <a:endParaRPr lang="en-US" sz="800" b="0">
            <a:solidFill>
              <a:schemeClr val="bg1"/>
            </a:solidFill>
            <a:effectLst/>
            <a:latin typeface="Segoe UI" panose="020B0502040204020203" pitchFamily="34" charset="0"/>
            <a:ea typeface="+mn-ea"/>
            <a:cs typeface="Segoe UI" panose="020B0502040204020203" pitchFamily="34" charset="0"/>
          </a:endParaRPr>
        </a:p>
      </xdr:txBody>
    </xdr:sp>
    <xdr:clientData/>
  </xdr:twoCellAnchor>
  <xdr:twoCellAnchor>
    <xdr:from>
      <xdr:col>11</xdr:col>
      <xdr:colOff>196391</xdr:colOff>
      <xdr:row>3</xdr:row>
      <xdr:rowOff>78557</xdr:rowOff>
    </xdr:from>
    <xdr:to>
      <xdr:col>14</xdr:col>
      <xdr:colOff>333865</xdr:colOff>
      <xdr:row>6</xdr:row>
      <xdr:rowOff>152251</xdr:rowOff>
    </xdr:to>
    <xdr:graphicFrame macro="">
      <xdr:nvGraphicFramePr>
        <xdr:cNvPr id="48" name="Chart 47">
          <a:extLst>
            <a:ext uri="{FF2B5EF4-FFF2-40B4-BE49-F238E27FC236}">
              <a16:creationId xmlns:a16="http://schemas.microsoft.com/office/drawing/2014/main" id="{727F545C-D2DF-4EC1-873F-D033866078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9</xdr:col>
      <xdr:colOff>352426</xdr:colOff>
      <xdr:row>17</xdr:row>
      <xdr:rowOff>114300</xdr:rowOff>
    </xdr:from>
    <xdr:to>
      <xdr:col>18</xdr:col>
      <xdr:colOff>361951</xdr:colOff>
      <xdr:row>27</xdr:row>
      <xdr:rowOff>9525</xdr:rowOff>
    </xdr:to>
    <xdr:graphicFrame macro="">
      <xdr:nvGraphicFramePr>
        <xdr:cNvPr id="51" name="Chart 50">
          <a:extLst>
            <a:ext uri="{FF2B5EF4-FFF2-40B4-BE49-F238E27FC236}">
              <a16:creationId xmlns:a16="http://schemas.microsoft.com/office/drawing/2014/main" id="{7583F9C0-1351-4530-9B33-F9C6BB366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editAs="oneCell">
    <xdr:from>
      <xdr:col>13</xdr:col>
      <xdr:colOff>28575</xdr:colOff>
      <xdr:row>1</xdr:row>
      <xdr:rowOff>28575</xdr:rowOff>
    </xdr:from>
    <xdr:to>
      <xdr:col>18</xdr:col>
      <xdr:colOff>381000</xdr:colOff>
      <xdr:row>3</xdr:row>
      <xdr:rowOff>47624</xdr:rowOff>
    </xdr:to>
    <mc:AlternateContent xmlns:mc="http://schemas.openxmlformats.org/markup-compatibility/2006" xmlns:a14="http://schemas.microsoft.com/office/drawing/2010/main">
      <mc:Choice Requires="a14">
        <xdr:graphicFrame macro="">
          <xdr:nvGraphicFramePr>
            <xdr:cNvPr id="52" name="DistanceStatus">
              <a:extLst>
                <a:ext uri="{FF2B5EF4-FFF2-40B4-BE49-F238E27FC236}">
                  <a16:creationId xmlns:a16="http://schemas.microsoft.com/office/drawing/2014/main" id="{A24B02EF-6E50-4C1A-B51C-E9159C711DFE}"/>
                </a:ext>
              </a:extLst>
            </xdr:cNvPr>
            <xdr:cNvGraphicFramePr/>
          </xdr:nvGraphicFramePr>
          <xdr:xfrm>
            <a:off x="0" y="0"/>
            <a:ext cx="0" cy="0"/>
          </xdr:xfrm>
          <a:graphic>
            <a:graphicData uri="http://schemas.microsoft.com/office/drawing/2010/slicer">
              <sle:slicer xmlns:sle="http://schemas.microsoft.com/office/drawing/2010/slicer" name="DistanceStatus"/>
            </a:graphicData>
          </a:graphic>
        </xdr:graphicFrame>
      </mc:Choice>
      <mc:Fallback xmlns="">
        <xdr:sp macro="" textlink="">
          <xdr:nvSpPr>
            <xdr:cNvPr id="0" name=""/>
            <xdr:cNvSpPr>
              <a:spLocks noTextEdit="1"/>
            </xdr:cNvSpPr>
          </xdr:nvSpPr>
          <xdr:spPr>
            <a:xfrm>
              <a:off x="7943163" y="215147"/>
              <a:ext cx="3396497" cy="3921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549894</xdr:colOff>
      <xdr:row>4</xdr:row>
      <xdr:rowOff>147292</xdr:rowOff>
    </xdr:from>
    <xdr:to>
      <xdr:col>13</xdr:col>
      <xdr:colOff>520435</xdr:colOff>
      <xdr:row>6</xdr:row>
      <xdr:rowOff>49096</xdr:rowOff>
    </xdr:to>
    <xdr:sp macro="" textlink="retention">
      <xdr:nvSpPr>
        <xdr:cNvPr id="16" name="TextBox 15">
          <a:extLst>
            <a:ext uri="{FF2B5EF4-FFF2-40B4-BE49-F238E27FC236}">
              <a16:creationId xmlns:a16="http://schemas.microsoft.com/office/drawing/2014/main" id="{89988CB1-015B-46E1-A21E-73982DC280CB}"/>
            </a:ext>
          </a:extLst>
        </xdr:cNvPr>
        <xdr:cNvSpPr txBox="1"/>
      </xdr:nvSpPr>
      <xdr:spPr>
        <a:xfrm>
          <a:off x="7246853" y="893581"/>
          <a:ext cx="1188170" cy="274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chemeClr val="accent6">
                  <a:lumMod val="75000"/>
                </a:schemeClr>
              </a:solidFill>
              <a:latin typeface="Segoe UI" panose="020B0502040204020203" pitchFamily="34" charset="0"/>
              <a:ea typeface="Calibri"/>
              <a:cs typeface="Segoe UI" panose="020B0502040204020203" pitchFamily="34" charset="0"/>
            </a:rPr>
            <a:t>▲</a:t>
          </a:r>
          <a:fld id="{2C27270E-AAB5-4B9F-9972-68A4201C4209}" type="TxLink">
            <a:rPr lang="en-US" sz="1400" b="1" i="0" u="none" strike="noStrike">
              <a:solidFill>
                <a:schemeClr val="bg1"/>
              </a:solidFill>
              <a:latin typeface="Segoe UI" panose="020B0502040204020203" pitchFamily="34" charset="0"/>
              <a:ea typeface="Calibri"/>
              <a:cs typeface="Segoe UI" panose="020B0502040204020203" pitchFamily="34" charset="0"/>
            </a:rPr>
            <a:pPr algn="ctr"/>
            <a:t>84%</a:t>
          </a:fld>
          <a:endParaRPr lang="en-US" sz="1400" b="1">
            <a:solidFill>
              <a:schemeClr val="bg1"/>
            </a:solidFill>
            <a:latin typeface="Segoe UI" panose="020B0502040204020203" pitchFamily="34" charset="0"/>
            <a:cs typeface="Segoe UI" panose="020B0502040204020203" pitchFamily="34" charset="0"/>
          </a:endParaRPr>
        </a:p>
      </xdr:txBody>
    </xdr:sp>
    <xdr:clientData/>
  </xdr:twoCellAnchor>
  <xdr:twoCellAnchor editAs="oneCell">
    <xdr:from>
      <xdr:col>1</xdr:col>
      <xdr:colOff>280056</xdr:colOff>
      <xdr:row>14</xdr:row>
      <xdr:rowOff>181878</xdr:rowOff>
    </xdr:from>
    <xdr:to>
      <xdr:col>2</xdr:col>
      <xdr:colOff>24041</xdr:colOff>
      <xdr:row>16</xdr:row>
      <xdr:rowOff>161533</xdr:rowOff>
    </xdr:to>
    <xdr:pic>
      <xdr:nvPicPr>
        <xdr:cNvPr id="53" name="Picture 52">
          <a:hlinkClick xmlns:r="http://schemas.openxmlformats.org/officeDocument/2006/relationships" r:id="rId23"/>
          <a:extLst>
            <a:ext uri="{FF2B5EF4-FFF2-40B4-BE49-F238E27FC236}">
              <a16:creationId xmlns:a16="http://schemas.microsoft.com/office/drawing/2014/main" id="{C9A634D9-1F45-4081-AEBE-D19060B82287}"/>
            </a:ext>
          </a:extLst>
        </xdr:cNvPr>
        <xdr:cNvPicPr>
          <a:picLocks noChangeAspect="1"/>
        </xdr:cNvPicPr>
      </xdr:nvPicPr>
      <xdr:blipFill>
        <a:blip xmlns:r="http://schemas.openxmlformats.org/officeDocument/2006/relationships" r:embed="rId24">
          <a:biLevel thresh="50000"/>
          <a:extLst>
            <a:ext uri="{28A0092B-C50C-407E-A947-70E740481C1C}">
              <a14:useLocalDpi xmlns:a14="http://schemas.microsoft.com/office/drawing/2010/main" val="0"/>
            </a:ext>
          </a:extLst>
        </a:blip>
        <a:stretch>
          <a:fillRect/>
        </a:stretch>
      </xdr:blipFill>
      <xdr:spPr>
        <a:xfrm>
          <a:off x="888870" y="2793888"/>
          <a:ext cx="352800" cy="352800"/>
        </a:xfrm>
        <a:prstGeom prst="rect">
          <a:avLst/>
        </a:prstGeom>
      </xdr:spPr>
    </xdr:pic>
    <xdr:clientData/>
  </xdr:twoCellAnchor>
  <xdr:twoCellAnchor>
    <xdr:from>
      <xdr:col>0</xdr:col>
      <xdr:colOff>442749</xdr:colOff>
      <xdr:row>16</xdr:row>
      <xdr:rowOff>101687</xdr:rowOff>
    </xdr:from>
    <xdr:to>
      <xdr:col>2</xdr:col>
      <xdr:colOff>444755</xdr:colOff>
      <xdr:row>18</xdr:row>
      <xdr:rowOff>51556</xdr:rowOff>
    </xdr:to>
    <xdr:sp macro="" textlink="">
      <xdr:nvSpPr>
        <xdr:cNvPr id="54" name="TextBox 53">
          <a:extLst>
            <a:ext uri="{FF2B5EF4-FFF2-40B4-BE49-F238E27FC236}">
              <a16:creationId xmlns:a16="http://schemas.microsoft.com/office/drawing/2014/main" id="{4A8039F9-E122-4774-9EAC-734689D5B3D1}"/>
            </a:ext>
          </a:extLst>
        </xdr:cNvPr>
        <xdr:cNvSpPr txBox="1"/>
      </xdr:nvSpPr>
      <xdr:spPr>
        <a:xfrm>
          <a:off x="442749" y="3086842"/>
          <a:ext cx="1219635" cy="323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latin typeface="Segoe UI" panose="020B0502040204020203" pitchFamily="34" charset="0"/>
              <a:cs typeface="Segoe UI" panose="020B0502040204020203" pitchFamily="34" charset="0"/>
            </a:rPr>
            <a:t>Data</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12884</xdr:colOff>
      <xdr:row>0</xdr:row>
      <xdr:rowOff>9525</xdr:rowOff>
    </xdr:from>
    <xdr:to>
      <xdr:col>19</xdr:col>
      <xdr:colOff>66188</xdr:colOff>
      <xdr:row>28</xdr:row>
      <xdr:rowOff>60448</xdr:rowOff>
    </xdr:to>
    <xdr:sp macro="" textlink="">
      <xdr:nvSpPr>
        <xdr:cNvPr id="2" name="Rectangle 1">
          <a:extLst>
            <a:ext uri="{FF2B5EF4-FFF2-40B4-BE49-F238E27FC236}">
              <a16:creationId xmlns:a16="http://schemas.microsoft.com/office/drawing/2014/main" id="{0B831496-5D9B-4B29-8553-DF9DD9943600}"/>
            </a:ext>
          </a:extLst>
        </xdr:cNvPr>
        <xdr:cNvSpPr/>
      </xdr:nvSpPr>
      <xdr:spPr>
        <a:xfrm>
          <a:off x="622484" y="9525"/>
          <a:ext cx="11026104" cy="5384923"/>
        </a:xfrm>
        <a:prstGeom prst="rect">
          <a:avLst/>
        </a:prstGeom>
        <a:solidFill>
          <a:srgbClr val="3F382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382965</xdr:colOff>
      <xdr:row>0</xdr:row>
      <xdr:rowOff>0</xdr:rowOff>
    </xdr:from>
    <xdr:to>
      <xdr:col>18</xdr:col>
      <xdr:colOff>553368</xdr:colOff>
      <xdr:row>28</xdr:row>
      <xdr:rowOff>60447</xdr:rowOff>
    </xdr:to>
    <xdr:sp macro="" textlink="">
      <xdr:nvSpPr>
        <xdr:cNvPr id="3" name="Rectangle 2">
          <a:extLst>
            <a:ext uri="{FF2B5EF4-FFF2-40B4-BE49-F238E27FC236}">
              <a16:creationId xmlns:a16="http://schemas.microsoft.com/office/drawing/2014/main" id="{B0162181-BEE9-41AB-B9A0-909B50B13994}"/>
            </a:ext>
          </a:extLst>
        </xdr:cNvPr>
        <xdr:cNvSpPr/>
      </xdr:nvSpPr>
      <xdr:spPr>
        <a:xfrm>
          <a:off x="1600594" y="0"/>
          <a:ext cx="9911434" cy="5284468"/>
        </a:xfrm>
        <a:prstGeom prst="rect">
          <a:avLst/>
        </a:prstGeom>
        <a:solidFill>
          <a:schemeClr val="accent6">
            <a:lumMod val="75000"/>
            <a:alpha val="6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366255</xdr:colOff>
      <xdr:row>0</xdr:row>
      <xdr:rowOff>71437</xdr:rowOff>
    </xdr:from>
    <xdr:to>
      <xdr:col>15</xdr:col>
      <xdr:colOff>31102</xdr:colOff>
      <xdr:row>4</xdr:row>
      <xdr:rowOff>31444</xdr:rowOff>
    </xdr:to>
    <xdr:sp macro="" textlink="">
      <xdr:nvSpPr>
        <xdr:cNvPr id="4" name="TextBox 3">
          <a:extLst>
            <a:ext uri="{FF2B5EF4-FFF2-40B4-BE49-F238E27FC236}">
              <a16:creationId xmlns:a16="http://schemas.microsoft.com/office/drawing/2014/main" id="{E83929C5-F1A8-4BF9-96F4-AB97779B5815}"/>
            </a:ext>
          </a:extLst>
        </xdr:cNvPr>
        <xdr:cNvSpPr txBox="1"/>
      </xdr:nvSpPr>
      <xdr:spPr>
        <a:xfrm>
          <a:off x="1583884" y="71437"/>
          <a:ext cx="7579434" cy="7062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E8EAE5"/>
              </a:solidFill>
              <a:latin typeface="Segoe UI" panose="020B0502040204020203" pitchFamily="34" charset="0"/>
              <a:cs typeface="Segoe UI" panose="020B0502040204020203" pitchFamily="34" charset="0"/>
            </a:rPr>
            <a:t>EMPLOYEE</a:t>
          </a:r>
          <a:r>
            <a:rPr lang="en-US" sz="1800" b="1" baseline="0">
              <a:solidFill>
                <a:srgbClr val="E8EAE5"/>
              </a:solidFill>
              <a:latin typeface="Segoe UI" panose="020B0502040204020203" pitchFamily="34" charset="0"/>
              <a:cs typeface="Segoe UI" panose="020B0502040204020203" pitchFamily="34" charset="0"/>
            </a:rPr>
            <a:t> ATTRITION &amp; WORKFORCE DASHBOARD</a:t>
          </a:r>
        </a:p>
        <a:p>
          <a:r>
            <a:rPr lang="en-US" sz="1000" b="1" baseline="0">
              <a:solidFill>
                <a:srgbClr val="E8EAE5"/>
              </a:solidFill>
              <a:latin typeface="Segoe UI" panose="020B0502040204020203" pitchFamily="34" charset="0"/>
              <a:cs typeface="Segoe UI" panose="020B0502040204020203" pitchFamily="34" charset="0"/>
            </a:rPr>
            <a:t>A data-driven analysis of key factors influencing employee turnover and retention</a:t>
          </a:r>
        </a:p>
        <a:p>
          <a:endParaRPr lang="en-US" sz="18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2</xdr:col>
      <xdr:colOff>402603</xdr:colOff>
      <xdr:row>3</xdr:row>
      <xdr:rowOff>74185</xdr:rowOff>
    </xdr:from>
    <xdr:to>
      <xdr:col>18</xdr:col>
      <xdr:colOff>446209</xdr:colOff>
      <xdr:row>7</xdr:row>
      <xdr:rowOff>83038</xdr:rowOff>
    </xdr:to>
    <xdr:sp macro="" textlink="">
      <xdr:nvSpPr>
        <xdr:cNvPr id="5" name="Rectangle: Rounded Corners 4">
          <a:extLst>
            <a:ext uri="{FF2B5EF4-FFF2-40B4-BE49-F238E27FC236}">
              <a16:creationId xmlns:a16="http://schemas.microsoft.com/office/drawing/2014/main" id="{DE0E283E-3B72-4153-9AB9-9B637A7295D1}"/>
            </a:ext>
          </a:extLst>
        </xdr:cNvPr>
        <xdr:cNvSpPr/>
      </xdr:nvSpPr>
      <xdr:spPr>
        <a:xfrm>
          <a:off x="1620232" y="633901"/>
          <a:ext cx="9784637" cy="755142"/>
        </a:xfrm>
        <a:prstGeom prst="roundRect">
          <a:avLst>
            <a:gd name="adj" fmla="val 6808"/>
          </a:avLst>
        </a:prstGeom>
        <a:solidFill>
          <a:srgbClr val="3F3826"/>
        </a:solidFill>
        <a:ln>
          <a:noFill/>
        </a:ln>
        <a:effectLst>
          <a:innerShdw blurRad="63500" dist="50800" dir="189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330868</xdr:colOff>
      <xdr:row>5</xdr:row>
      <xdr:rowOff>20049</xdr:rowOff>
    </xdr:from>
    <xdr:to>
      <xdr:col>5</xdr:col>
      <xdr:colOff>220579</xdr:colOff>
      <xdr:row>7</xdr:row>
      <xdr:rowOff>30077</xdr:rowOff>
    </xdr:to>
    <xdr:graphicFrame macro="">
      <xdr:nvGraphicFramePr>
        <xdr:cNvPr id="6" name="Chart 5">
          <a:extLst>
            <a:ext uri="{FF2B5EF4-FFF2-40B4-BE49-F238E27FC236}">
              <a16:creationId xmlns:a16="http://schemas.microsoft.com/office/drawing/2014/main" id="{EF7EE5A5-73D9-40A7-9E86-04669B5C17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373977</xdr:colOff>
      <xdr:row>3</xdr:row>
      <xdr:rowOff>121810</xdr:rowOff>
    </xdr:from>
    <xdr:to>
      <xdr:col>8</xdr:col>
      <xdr:colOff>567408</xdr:colOff>
      <xdr:row>8</xdr:row>
      <xdr:rowOff>181952</xdr:rowOff>
    </xdr:to>
    <xdr:graphicFrame macro="">
      <xdr:nvGraphicFramePr>
        <xdr:cNvPr id="7" name="Chart 6">
          <a:extLst>
            <a:ext uri="{FF2B5EF4-FFF2-40B4-BE49-F238E27FC236}">
              <a16:creationId xmlns:a16="http://schemas.microsoft.com/office/drawing/2014/main" id="{3606787F-9D93-4D54-B00D-7DC5C3B4C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31628</xdr:colOff>
      <xdr:row>3</xdr:row>
      <xdr:rowOff>133717</xdr:rowOff>
    </xdr:from>
    <xdr:to>
      <xdr:col>11</xdr:col>
      <xdr:colOff>427465</xdr:colOff>
      <xdr:row>7</xdr:row>
      <xdr:rowOff>129442</xdr:rowOff>
    </xdr:to>
    <xdr:graphicFrame macro="">
      <xdr:nvGraphicFramePr>
        <xdr:cNvPr id="9" name="Chart 8">
          <a:extLst>
            <a:ext uri="{FF2B5EF4-FFF2-40B4-BE49-F238E27FC236}">
              <a16:creationId xmlns:a16="http://schemas.microsoft.com/office/drawing/2014/main" id="{7D19F589-DC9E-49CF-BA3C-9B1E54747B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411080</xdr:colOff>
      <xdr:row>3</xdr:row>
      <xdr:rowOff>121810</xdr:rowOff>
    </xdr:from>
    <xdr:to>
      <xdr:col>18</xdr:col>
      <xdr:colOff>458741</xdr:colOff>
      <xdr:row>7</xdr:row>
      <xdr:rowOff>34192</xdr:rowOff>
    </xdr:to>
    <xdr:graphicFrame macro="">
      <xdr:nvGraphicFramePr>
        <xdr:cNvPr id="10" name="Chart 9">
          <a:extLst>
            <a:ext uri="{FF2B5EF4-FFF2-40B4-BE49-F238E27FC236}">
              <a16:creationId xmlns:a16="http://schemas.microsoft.com/office/drawing/2014/main" id="{068A51EB-6C96-4ACF-9AAB-EBA0BB288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422243</xdr:colOff>
      <xdr:row>7</xdr:row>
      <xdr:rowOff>107463</xdr:rowOff>
    </xdr:from>
    <xdr:to>
      <xdr:col>18</xdr:col>
      <xdr:colOff>432228</xdr:colOff>
      <xdr:row>27</xdr:row>
      <xdr:rowOff>179511</xdr:rowOff>
    </xdr:to>
    <xdr:sp macro="" textlink="">
      <xdr:nvSpPr>
        <xdr:cNvPr id="11" name="Rectangle: Rounded Corners 10">
          <a:extLst>
            <a:ext uri="{FF2B5EF4-FFF2-40B4-BE49-F238E27FC236}">
              <a16:creationId xmlns:a16="http://schemas.microsoft.com/office/drawing/2014/main" id="{CD4C42C1-4223-4BBD-A728-AF381AB388BE}"/>
            </a:ext>
          </a:extLst>
        </xdr:cNvPr>
        <xdr:cNvSpPr/>
      </xdr:nvSpPr>
      <xdr:spPr>
        <a:xfrm>
          <a:off x="1639872" y="1413468"/>
          <a:ext cx="9751016" cy="3803491"/>
        </a:xfrm>
        <a:prstGeom prst="roundRect">
          <a:avLst>
            <a:gd name="adj" fmla="val 1064"/>
          </a:avLst>
        </a:prstGeom>
        <a:solidFill>
          <a:srgbClr val="3F3826"/>
        </a:solidFill>
        <a:ln>
          <a:noFill/>
        </a:ln>
        <a:effectLst>
          <a:innerShdw blurRad="63500" dist="50800" dir="189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19639</xdr:colOff>
      <xdr:row>7</xdr:row>
      <xdr:rowOff>140368</xdr:rowOff>
    </xdr:from>
    <xdr:to>
      <xdr:col>10</xdr:col>
      <xdr:colOff>491289</xdr:colOff>
      <xdr:row>16</xdr:row>
      <xdr:rowOff>29458</xdr:rowOff>
    </xdr:to>
    <xdr:graphicFrame macro="">
      <xdr:nvGraphicFramePr>
        <xdr:cNvPr id="20" name="Chart 19">
          <a:extLst>
            <a:ext uri="{FF2B5EF4-FFF2-40B4-BE49-F238E27FC236}">
              <a16:creationId xmlns:a16="http://schemas.microsoft.com/office/drawing/2014/main" id="{50B422D6-0AAA-42FA-B237-4C1712A27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500799</xdr:colOff>
      <xdr:row>7</xdr:row>
      <xdr:rowOff>76200</xdr:rowOff>
    </xdr:from>
    <xdr:to>
      <xdr:col>6</xdr:col>
      <xdr:colOff>559716</xdr:colOff>
      <xdr:row>16</xdr:row>
      <xdr:rowOff>41885</xdr:rowOff>
    </xdr:to>
    <xdr:graphicFrame macro="">
      <xdr:nvGraphicFramePr>
        <xdr:cNvPr id="21" name="Chart 20">
          <a:extLst>
            <a:ext uri="{FF2B5EF4-FFF2-40B4-BE49-F238E27FC236}">
              <a16:creationId xmlns:a16="http://schemas.microsoft.com/office/drawing/2014/main" id="{FED283FB-FD4D-4079-A61B-1849664746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200526</xdr:colOff>
      <xdr:row>16</xdr:row>
      <xdr:rowOff>100264</xdr:rowOff>
    </xdr:from>
    <xdr:to>
      <xdr:col>12</xdr:col>
      <xdr:colOff>571500</xdr:colOff>
      <xdr:row>27</xdr:row>
      <xdr:rowOff>133350</xdr:rowOff>
    </xdr:to>
    <xdr:graphicFrame macro="">
      <xdr:nvGraphicFramePr>
        <xdr:cNvPr id="22" name="Chart 21">
          <a:extLst>
            <a:ext uri="{FF2B5EF4-FFF2-40B4-BE49-F238E27FC236}">
              <a16:creationId xmlns:a16="http://schemas.microsoft.com/office/drawing/2014/main" id="{0D385A60-3182-49F6-95E3-300346ECBB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15</xdr:col>
      <xdr:colOff>112557</xdr:colOff>
      <xdr:row>1</xdr:row>
      <xdr:rowOff>68739</xdr:rowOff>
    </xdr:from>
    <xdr:to>
      <xdr:col>18</xdr:col>
      <xdr:colOff>402317</xdr:colOff>
      <xdr:row>3</xdr:row>
      <xdr:rowOff>68740</xdr:rowOff>
    </xdr:to>
    <mc:AlternateContent xmlns:mc="http://schemas.openxmlformats.org/markup-compatibility/2006" xmlns:a14="http://schemas.microsoft.com/office/drawing/2010/main">
      <mc:Choice Requires="a14">
        <xdr:graphicFrame macro="">
          <xdr:nvGraphicFramePr>
            <xdr:cNvPr id="23" name="MaritalStatus">
              <a:extLst>
                <a:ext uri="{FF2B5EF4-FFF2-40B4-BE49-F238E27FC236}">
                  <a16:creationId xmlns:a16="http://schemas.microsoft.com/office/drawing/2014/main" id="{8AAA9B75-59E5-46ED-A0B7-FEF0ED7DB8DC}"/>
                </a:ext>
              </a:extLst>
            </xdr:cNvPr>
            <xdr:cNvGraphicFramePr/>
          </xdr:nvGraphicFramePr>
          <xdr:xfrm>
            <a:off x="0" y="0"/>
            <a:ext cx="0" cy="0"/>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9244773" y="255311"/>
              <a:ext cx="2116204" cy="3731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490979</xdr:colOff>
      <xdr:row>16</xdr:row>
      <xdr:rowOff>110290</xdr:rowOff>
    </xdr:from>
    <xdr:to>
      <xdr:col>7</xdr:col>
      <xdr:colOff>130342</xdr:colOff>
      <xdr:row>27</xdr:row>
      <xdr:rowOff>85726</xdr:rowOff>
    </xdr:to>
    <xdr:graphicFrame macro="">
      <xdr:nvGraphicFramePr>
        <xdr:cNvPr id="24" name="Chart 23">
          <a:extLst>
            <a:ext uri="{FF2B5EF4-FFF2-40B4-BE49-F238E27FC236}">
              <a16:creationId xmlns:a16="http://schemas.microsoft.com/office/drawing/2014/main" id="{0AA2C846-4154-4485-8564-D31FFC3DFD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62633</xdr:colOff>
      <xdr:row>1</xdr:row>
      <xdr:rowOff>49098</xdr:rowOff>
    </xdr:from>
    <xdr:to>
      <xdr:col>15</xdr:col>
      <xdr:colOff>62633</xdr:colOff>
      <xdr:row>3</xdr:row>
      <xdr:rowOff>68737</xdr:rowOff>
    </xdr:to>
    <mc:AlternateContent xmlns:mc="http://schemas.openxmlformats.org/markup-compatibility/2006" xmlns:a14="http://schemas.microsoft.com/office/drawing/2010/main">
      <mc:Choice Requires="a14">
        <xdr:graphicFrame macro="">
          <xdr:nvGraphicFramePr>
            <xdr:cNvPr id="12" name="Department 1">
              <a:extLst>
                <a:ext uri="{FF2B5EF4-FFF2-40B4-BE49-F238E27FC236}">
                  <a16:creationId xmlns:a16="http://schemas.microsoft.com/office/drawing/2014/main" id="{4044FD06-5638-45FE-BE15-8E363DB19AF5}"/>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7977221" y="235670"/>
              <a:ext cx="1217628" cy="4026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333762</xdr:colOff>
      <xdr:row>4</xdr:row>
      <xdr:rowOff>32973</xdr:rowOff>
    </xdr:from>
    <xdr:to>
      <xdr:col>2</xdr:col>
      <xdr:colOff>84162</xdr:colOff>
      <xdr:row>6</xdr:row>
      <xdr:rowOff>11972</xdr:rowOff>
    </xdr:to>
    <xdr:pic>
      <xdr:nvPicPr>
        <xdr:cNvPr id="27" name="Picture 26">
          <a:hlinkClick xmlns:r="http://schemas.openxmlformats.org/officeDocument/2006/relationships" r:id="rId9"/>
          <a:extLst>
            <a:ext uri="{FF2B5EF4-FFF2-40B4-BE49-F238E27FC236}">
              <a16:creationId xmlns:a16="http://schemas.microsoft.com/office/drawing/2014/main" id="{CD1DE53D-0045-4A7D-B238-792467BFAE47}"/>
            </a:ext>
          </a:extLst>
        </xdr:cNvPr>
        <xdr:cNvPicPr>
          <a:picLocks noChangeAspect="1"/>
        </xdr:cNvPicPr>
      </xdr:nvPicPr>
      <xdr:blipFill>
        <a:blip xmlns:r="http://schemas.openxmlformats.org/officeDocument/2006/relationships" r:embed="rId10">
          <a:biLevel thresh="50000"/>
          <a:extLst>
            <a:ext uri="{28A0092B-C50C-407E-A947-70E740481C1C}">
              <a14:useLocalDpi xmlns:a14="http://schemas.microsoft.com/office/drawing/2010/main" val="0"/>
            </a:ext>
          </a:extLst>
        </a:blip>
        <a:stretch>
          <a:fillRect/>
        </a:stretch>
      </xdr:blipFill>
      <xdr:spPr>
        <a:xfrm flipH="1">
          <a:off x="946083" y="810524"/>
          <a:ext cx="362722" cy="367775"/>
        </a:xfrm>
        <a:prstGeom prst="rect">
          <a:avLst/>
        </a:prstGeom>
      </xdr:spPr>
    </xdr:pic>
    <xdr:clientData/>
  </xdr:twoCellAnchor>
  <xdr:twoCellAnchor>
    <xdr:from>
      <xdr:col>0</xdr:col>
      <xdr:colOff>570325</xdr:colOff>
      <xdr:row>12</xdr:row>
      <xdr:rowOff>98192</xdr:rowOff>
    </xdr:from>
    <xdr:to>
      <xdr:col>2</xdr:col>
      <xdr:colOff>419930</xdr:colOff>
      <xdr:row>13</xdr:row>
      <xdr:rowOff>146792</xdr:rowOff>
    </xdr:to>
    <xdr:sp macro="" textlink="">
      <xdr:nvSpPr>
        <xdr:cNvPr id="29" name="TextBox 28">
          <a:extLst>
            <a:ext uri="{FF2B5EF4-FFF2-40B4-BE49-F238E27FC236}">
              <a16:creationId xmlns:a16="http://schemas.microsoft.com/office/drawing/2014/main" id="{07EB531B-55BF-47D6-A975-8F91922738C3}"/>
            </a:ext>
          </a:extLst>
        </xdr:cNvPr>
        <xdr:cNvSpPr txBox="1"/>
      </xdr:nvSpPr>
      <xdr:spPr>
        <a:xfrm>
          <a:off x="570325" y="2337058"/>
          <a:ext cx="1067234" cy="235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00" b="1">
              <a:solidFill>
                <a:schemeClr val="bg1"/>
              </a:solidFill>
              <a:latin typeface="Segoe UI" panose="020B0502040204020203" pitchFamily="34" charset="0"/>
              <a:cs typeface="Segoe UI" panose="020B0502040204020203" pitchFamily="34" charset="0"/>
            </a:rPr>
            <a:t>Analysis</a:t>
          </a:r>
        </a:p>
      </xdr:txBody>
    </xdr:sp>
    <xdr:clientData/>
  </xdr:twoCellAnchor>
  <xdr:twoCellAnchor>
    <xdr:from>
      <xdr:col>0</xdr:col>
      <xdr:colOff>559468</xdr:colOff>
      <xdr:row>5</xdr:row>
      <xdr:rowOff>108442</xdr:rowOff>
    </xdr:from>
    <xdr:to>
      <xdr:col>2</xdr:col>
      <xdr:colOff>561474</xdr:colOff>
      <xdr:row>7</xdr:row>
      <xdr:rowOff>54424</xdr:rowOff>
    </xdr:to>
    <xdr:sp macro="" textlink="">
      <xdr:nvSpPr>
        <xdr:cNvPr id="30" name="TextBox 29">
          <a:extLst>
            <a:ext uri="{FF2B5EF4-FFF2-40B4-BE49-F238E27FC236}">
              <a16:creationId xmlns:a16="http://schemas.microsoft.com/office/drawing/2014/main" id="{321A4B52-D9B5-4429-90E9-DB22D126C0CE}"/>
            </a:ext>
          </a:extLst>
        </xdr:cNvPr>
        <xdr:cNvSpPr txBox="1"/>
      </xdr:nvSpPr>
      <xdr:spPr>
        <a:xfrm>
          <a:off x="559468" y="1080381"/>
          <a:ext cx="1226649" cy="334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latin typeface="Segoe UI" panose="020B0502040204020203" pitchFamily="34" charset="0"/>
              <a:cs typeface="Segoe UI" panose="020B0502040204020203" pitchFamily="34" charset="0"/>
            </a:rPr>
            <a:t>Dashboard</a:t>
          </a:r>
        </a:p>
      </xdr:txBody>
    </xdr:sp>
    <xdr:clientData/>
  </xdr:twoCellAnchor>
  <xdr:twoCellAnchor>
    <xdr:from>
      <xdr:col>0</xdr:col>
      <xdr:colOff>491910</xdr:colOff>
      <xdr:row>18</xdr:row>
      <xdr:rowOff>70963</xdr:rowOff>
    </xdr:from>
    <xdr:to>
      <xdr:col>2</xdr:col>
      <xdr:colOff>493916</xdr:colOff>
      <xdr:row>20</xdr:row>
      <xdr:rowOff>24760</xdr:rowOff>
    </xdr:to>
    <xdr:sp macro="" textlink="">
      <xdr:nvSpPr>
        <xdr:cNvPr id="31" name="TextBox 30">
          <a:extLst>
            <a:ext uri="{FF2B5EF4-FFF2-40B4-BE49-F238E27FC236}">
              <a16:creationId xmlns:a16="http://schemas.microsoft.com/office/drawing/2014/main" id="{3D932E57-9AC0-499B-A35B-F6CE3124399F}"/>
            </a:ext>
          </a:extLst>
        </xdr:cNvPr>
        <xdr:cNvSpPr txBox="1"/>
      </xdr:nvSpPr>
      <xdr:spPr>
        <a:xfrm>
          <a:off x="491910" y="3429262"/>
          <a:ext cx="1219635" cy="3269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latin typeface="Segoe UI" panose="020B0502040204020203" pitchFamily="34" charset="0"/>
              <a:cs typeface="Segoe UI" panose="020B0502040204020203" pitchFamily="34" charset="0"/>
            </a:rPr>
            <a:t>Data</a:t>
          </a:r>
        </a:p>
      </xdr:txBody>
    </xdr:sp>
    <xdr:clientData/>
  </xdr:twoCellAnchor>
  <xdr:twoCellAnchor editAs="oneCell">
    <xdr:from>
      <xdr:col>5</xdr:col>
      <xdr:colOff>485556</xdr:colOff>
      <xdr:row>3</xdr:row>
      <xdr:rowOff>181911</xdr:rowOff>
    </xdr:from>
    <xdr:to>
      <xdr:col>6</xdr:col>
      <xdr:colOff>60857</xdr:colOff>
      <xdr:row>5</xdr:row>
      <xdr:rowOff>60111</xdr:rowOff>
    </xdr:to>
    <xdr:pic>
      <xdr:nvPicPr>
        <xdr:cNvPr id="37" name="Picture 36">
          <a:extLst>
            <a:ext uri="{FF2B5EF4-FFF2-40B4-BE49-F238E27FC236}">
              <a16:creationId xmlns:a16="http://schemas.microsoft.com/office/drawing/2014/main" id="{332A08F6-F9BA-4BCC-8707-63D008062363}"/>
            </a:ext>
          </a:extLst>
        </xdr:cNvPr>
        <xdr:cNvPicPr>
          <a:picLocks noChangeAspect="1"/>
        </xdr:cNvPicPr>
      </xdr:nvPicPr>
      <xdr:blipFill>
        <a:blip xmlns:r="http://schemas.openxmlformats.org/officeDocument/2006/relationships" r:embed="rId11"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3543582" y="753411"/>
          <a:ext cx="186907" cy="259200"/>
        </a:xfrm>
        <a:prstGeom prst="rect">
          <a:avLst/>
        </a:prstGeom>
      </xdr:spPr>
    </xdr:pic>
    <xdr:clientData/>
  </xdr:twoCellAnchor>
  <xdr:twoCellAnchor editAs="oneCell">
    <xdr:from>
      <xdr:col>3</xdr:col>
      <xdr:colOff>118484</xdr:colOff>
      <xdr:row>4</xdr:row>
      <xdr:rowOff>5973</xdr:rowOff>
    </xdr:from>
    <xdr:to>
      <xdr:col>3</xdr:col>
      <xdr:colOff>374362</xdr:colOff>
      <xdr:row>5</xdr:row>
      <xdr:rowOff>71401</xdr:rowOff>
    </xdr:to>
    <xdr:pic>
      <xdr:nvPicPr>
        <xdr:cNvPr id="38" name="Picture 37">
          <a:extLst>
            <a:ext uri="{FF2B5EF4-FFF2-40B4-BE49-F238E27FC236}">
              <a16:creationId xmlns:a16="http://schemas.microsoft.com/office/drawing/2014/main" id="{5CB61CE0-9A46-4053-A620-6CC659773EE0}"/>
            </a:ext>
          </a:extLst>
        </xdr:cNvPr>
        <xdr:cNvPicPr>
          <a:picLocks noChangeAspect="1"/>
        </xdr:cNvPicPr>
      </xdr:nvPicPr>
      <xdr:blipFill>
        <a:blip xmlns:r="http://schemas.openxmlformats.org/officeDocument/2006/relationships" r:embed="rId12"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1944927" y="752262"/>
          <a:ext cx="255878" cy="252000"/>
        </a:xfrm>
        <a:prstGeom prst="rect">
          <a:avLst/>
        </a:prstGeom>
      </xdr:spPr>
    </xdr:pic>
    <xdr:clientData/>
  </xdr:twoCellAnchor>
  <xdr:twoCellAnchor editAs="oneCell">
    <xdr:from>
      <xdr:col>8</xdr:col>
      <xdr:colOff>407717</xdr:colOff>
      <xdr:row>4</xdr:row>
      <xdr:rowOff>0</xdr:rowOff>
    </xdr:from>
    <xdr:to>
      <xdr:col>9</xdr:col>
      <xdr:colOff>50281</xdr:colOff>
      <xdr:row>5</xdr:row>
      <xdr:rowOff>65428</xdr:rowOff>
    </xdr:to>
    <xdr:pic>
      <xdr:nvPicPr>
        <xdr:cNvPr id="39" name="Picture 38">
          <a:extLst>
            <a:ext uri="{FF2B5EF4-FFF2-40B4-BE49-F238E27FC236}">
              <a16:creationId xmlns:a16="http://schemas.microsoft.com/office/drawing/2014/main" id="{0C98D7AF-D413-4247-B494-99C624B37FDD}"/>
            </a:ext>
          </a:extLst>
        </xdr:cNvPr>
        <xdr:cNvPicPr>
          <a:picLocks noChangeAspect="1"/>
        </xdr:cNvPicPr>
      </xdr:nvPicPr>
      <xdr:blipFill>
        <a:blip xmlns:r="http://schemas.openxmlformats.org/officeDocument/2006/relationships" r:embed="rId13" cstate="print">
          <a:duotone>
            <a:prstClr val="black"/>
            <a:schemeClr val="accent6">
              <a:tint val="45000"/>
              <a:satMod val="400000"/>
            </a:schemeClr>
          </a:duotone>
          <a:extLst>
            <a:ext uri="{28A0092B-C50C-407E-A947-70E740481C1C}">
              <a14:useLocalDpi xmlns:a14="http://schemas.microsoft.com/office/drawing/2010/main" val="0"/>
            </a:ext>
          </a:extLst>
        </a:blip>
        <a:stretch>
          <a:fillRect/>
        </a:stretch>
      </xdr:blipFill>
      <xdr:spPr>
        <a:xfrm>
          <a:off x="5278232" y="746289"/>
          <a:ext cx="251379" cy="252000"/>
        </a:xfrm>
        <a:prstGeom prst="rect">
          <a:avLst/>
        </a:prstGeom>
      </xdr:spPr>
    </xdr:pic>
    <xdr:clientData/>
  </xdr:twoCellAnchor>
  <xdr:twoCellAnchor editAs="oneCell">
    <xdr:from>
      <xdr:col>11</xdr:col>
      <xdr:colOff>239912</xdr:colOff>
      <xdr:row>4</xdr:row>
      <xdr:rowOff>2616</xdr:rowOff>
    </xdr:from>
    <xdr:to>
      <xdr:col>11</xdr:col>
      <xdr:colOff>536304</xdr:colOff>
      <xdr:row>5</xdr:row>
      <xdr:rowOff>68044</xdr:rowOff>
    </xdr:to>
    <xdr:pic>
      <xdr:nvPicPr>
        <xdr:cNvPr id="40" name="Picture 39">
          <a:extLst>
            <a:ext uri="{FF2B5EF4-FFF2-40B4-BE49-F238E27FC236}">
              <a16:creationId xmlns:a16="http://schemas.microsoft.com/office/drawing/2014/main" id="{88FB166D-9A34-4D57-B6F0-75255DD5C3BD}"/>
            </a:ext>
          </a:extLst>
        </xdr:cNvPr>
        <xdr:cNvPicPr>
          <a:picLocks noChangeAspect="1"/>
        </xdr:cNvPicPr>
      </xdr:nvPicPr>
      <xdr:blipFill>
        <a:blip xmlns:r="http://schemas.openxmlformats.org/officeDocument/2006/relationships" r:embed="rId14"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6936871" y="748905"/>
          <a:ext cx="296392" cy="252000"/>
        </a:xfrm>
        <a:prstGeom prst="rect">
          <a:avLst/>
        </a:prstGeom>
      </xdr:spPr>
    </xdr:pic>
    <xdr:clientData/>
  </xdr:twoCellAnchor>
  <xdr:twoCellAnchor editAs="oneCell">
    <xdr:from>
      <xdr:col>13</xdr:col>
      <xdr:colOff>585038</xdr:colOff>
      <xdr:row>3</xdr:row>
      <xdr:rowOff>174446</xdr:rowOff>
    </xdr:from>
    <xdr:to>
      <xdr:col>14</xdr:col>
      <xdr:colOff>160339</xdr:colOff>
      <xdr:row>5</xdr:row>
      <xdr:rowOff>52646</xdr:rowOff>
    </xdr:to>
    <xdr:pic>
      <xdr:nvPicPr>
        <xdr:cNvPr id="41" name="Picture 40">
          <a:extLst>
            <a:ext uri="{FF2B5EF4-FFF2-40B4-BE49-F238E27FC236}">
              <a16:creationId xmlns:a16="http://schemas.microsoft.com/office/drawing/2014/main" id="{B01FAF06-0499-4353-98B7-1EFC88225AAD}"/>
            </a:ext>
          </a:extLst>
        </xdr:cNvPr>
        <xdr:cNvPicPr>
          <a:picLocks noChangeAspect="1"/>
        </xdr:cNvPicPr>
      </xdr:nvPicPr>
      <xdr:blipFill>
        <a:blip xmlns:r="http://schemas.openxmlformats.org/officeDocument/2006/relationships" r:embed="rId11" cstate="print">
          <a:duotone>
            <a:schemeClr val="accent6">
              <a:shade val="45000"/>
              <a:satMod val="135000"/>
            </a:schemeClr>
            <a:prstClr val="white"/>
          </a:duotone>
          <a:extLst>
            <a:ext uri="{28A0092B-C50C-407E-A947-70E740481C1C}">
              <a14:useLocalDpi xmlns:a14="http://schemas.microsoft.com/office/drawing/2010/main" val="0"/>
            </a:ext>
          </a:extLst>
        </a:blip>
        <a:stretch>
          <a:fillRect/>
        </a:stretch>
      </xdr:blipFill>
      <xdr:spPr>
        <a:xfrm>
          <a:off x="8535906" y="745946"/>
          <a:ext cx="186907" cy="259200"/>
        </a:xfrm>
        <a:prstGeom prst="rect">
          <a:avLst/>
        </a:prstGeom>
      </xdr:spPr>
    </xdr:pic>
    <xdr:clientData/>
  </xdr:twoCellAnchor>
  <xdr:twoCellAnchor>
    <xdr:from>
      <xdr:col>3</xdr:col>
      <xdr:colOff>280740</xdr:colOff>
      <xdr:row>3</xdr:row>
      <xdr:rowOff>180472</xdr:rowOff>
    </xdr:from>
    <xdr:to>
      <xdr:col>5</xdr:col>
      <xdr:colOff>541425</xdr:colOff>
      <xdr:row>5</xdr:row>
      <xdr:rowOff>140366</xdr:rowOff>
    </xdr:to>
    <xdr:sp macro="" textlink="">
      <xdr:nvSpPr>
        <xdr:cNvPr id="8" name="TextBox 7">
          <a:extLst>
            <a:ext uri="{FF2B5EF4-FFF2-40B4-BE49-F238E27FC236}">
              <a16:creationId xmlns:a16="http://schemas.microsoft.com/office/drawing/2014/main" id="{02E30D05-BD4A-43F6-8D6B-79FDB8A4ED29}"/>
            </a:ext>
          </a:extLst>
        </xdr:cNvPr>
        <xdr:cNvSpPr txBox="1"/>
      </xdr:nvSpPr>
      <xdr:spPr>
        <a:xfrm>
          <a:off x="2115556" y="751972"/>
          <a:ext cx="1483895" cy="340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Tx/>
            <a:buNone/>
            <a:tabLst/>
            <a:defRPr/>
          </a:pPr>
          <a:r>
            <a:rPr lang="en-US" sz="1100" b="1" i="0" baseline="0">
              <a:solidFill>
                <a:schemeClr val="bg1"/>
              </a:solidFill>
              <a:effectLst/>
              <a:latin typeface="Segoe UI" panose="020B0502040204020203" pitchFamily="34" charset="0"/>
              <a:ea typeface="+mn-ea"/>
              <a:cs typeface="Segoe UI" panose="020B0502040204020203" pitchFamily="34" charset="0"/>
            </a:rPr>
            <a:t>Total Employees</a:t>
          </a:r>
          <a:endParaRPr lang="en-US">
            <a:solidFill>
              <a:schemeClr val="bg1"/>
            </a:solidFill>
            <a:effectLst/>
            <a:latin typeface="Segoe UI" panose="020B0502040204020203" pitchFamily="34" charset="0"/>
            <a:cs typeface="Segoe UI" panose="020B0502040204020203" pitchFamily="34" charset="0"/>
          </a:endParaRPr>
        </a:p>
      </xdr:txBody>
    </xdr:sp>
    <xdr:clientData/>
  </xdr:twoCellAnchor>
  <xdr:twoCellAnchor>
    <xdr:from>
      <xdr:col>10</xdr:col>
      <xdr:colOff>541421</xdr:colOff>
      <xdr:row>7</xdr:row>
      <xdr:rowOff>110289</xdr:rowOff>
    </xdr:from>
    <xdr:to>
      <xdr:col>15</xdr:col>
      <xdr:colOff>90237</xdr:colOff>
      <xdr:row>16</xdr:row>
      <xdr:rowOff>39278</xdr:rowOff>
    </xdr:to>
    <xdr:graphicFrame macro="">
      <xdr:nvGraphicFramePr>
        <xdr:cNvPr id="32" name="Chart 31">
          <a:extLst>
            <a:ext uri="{FF2B5EF4-FFF2-40B4-BE49-F238E27FC236}">
              <a16:creationId xmlns:a16="http://schemas.microsoft.com/office/drawing/2014/main" id="{C142E879-83F3-4D26-B2FD-799B45A70F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11</xdr:col>
      <xdr:colOff>582654</xdr:colOff>
      <xdr:row>0</xdr:row>
      <xdr:rowOff>39280</xdr:rowOff>
    </xdr:from>
    <xdr:to>
      <xdr:col>12</xdr:col>
      <xdr:colOff>547628</xdr:colOff>
      <xdr:row>3</xdr:row>
      <xdr:rowOff>56738</xdr:rowOff>
    </xdr:to>
    <xdr:pic>
      <xdr:nvPicPr>
        <xdr:cNvPr id="33" name="Picture 32">
          <a:extLst>
            <a:ext uri="{FF2B5EF4-FFF2-40B4-BE49-F238E27FC236}">
              <a16:creationId xmlns:a16="http://schemas.microsoft.com/office/drawing/2014/main" id="{5A2CFACC-A069-4EB4-A89E-E55E8771C0A5}"/>
            </a:ext>
          </a:extLst>
        </xdr:cNvPr>
        <xdr:cNvPicPr>
          <a:picLocks noChangeAspect="1"/>
        </xdr:cNvPicPr>
      </xdr:nvPicPr>
      <xdr:blipFill>
        <a:blip xmlns:r="http://schemas.openxmlformats.org/officeDocument/2006/relationships" r:embed="rId16" cstate="print">
          <a:biLevel thresh="25000"/>
          <a:extLst>
            <a:ext uri="{28A0092B-C50C-407E-A947-70E740481C1C}">
              <a14:useLocalDpi xmlns:a14="http://schemas.microsoft.com/office/drawing/2010/main" val="0"/>
            </a:ext>
          </a:extLst>
        </a:blip>
        <a:stretch>
          <a:fillRect/>
        </a:stretch>
      </xdr:blipFill>
      <xdr:spPr>
        <a:xfrm>
          <a:off x="7279613" y="39280"/>
          <a:ext cx="573788" cy="577174"/>
        </a:xfrm>
        <a:prstGeom prst="rect">
          <a:avLst/>
        </a:prstGeom>
      </xdr:spPr>
    </xdr:pic>
    <xdr:clientData/>
  </xdr:twoCellAnchor>
  <xdr:twoCellAnchor>
    <xdr:from>
      <xdr:col>3</xdr:col>
      <xdr:colOff>471550</xdr:colOff>
      <xdr:row>12</xdr:row>
      <xdr:rowOff>49305</xdr:rowOff>
    </xdr:from>
    <xdr:to>
      <xdr:col>4</xdr:col>
      <xdr:colOff>422243</xdr:colOff>
      <xdr:row>13</xdr:row>
      <xdr:rowOff>169619</xdr:rowOff>
    </xdr:to>
    <xdr:sp macro="" textlink="job">
      <xdr:nvSpPr>
        <xdr:cNvPr id="13" name="TextBox 12">
          <a:extLst>
            <a:ext uri="{FF2B5EF4-FFF2-40B4-BE49-F238E27FC236}">
              <a16:creationId xmlns:a16="http://schemas.microsoft.com/office/drawing/2014/main" id="{B44B6085-1544-4E79-9CF6-712916C94622}"/>
            </a:ext>
          </a:extLst>
        </xdr:cNvPr>
        <xdr:cNvSpPr txBox="1"/>
      </xdr:nvSpPr>
      <xdr:spPr>
        <a:xfrm>
          <a:off x="2297993" y="2288171"/>
          <a:ext cx="559508" cy="306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7FB4081-6495-4219-97A8-BDF2ACC82C8A}" type="TxLink">
            <a:rPr lang="en-US" sz="1100" b="1" i="0" u="none" strike="noStrike">
              <a:solidFill>
                <a:schemeClr val="bg1"/>
              </a:solidFill>
              <a:latin typeface="Segoe UI" panose="020B0502040204020203" pitchFamily="34" charset="0"/>
              <a:ea typeface="Calibri"/>
              <a:cs typeface="Segoe UI" panose="020B0502040204020203" pitchFamily="34" charset="0"/>
            </a:rPr>
            <a:pPr/>
            <a:t>100%</a:t>
          </a:fld>
          <a:endParaRPr lang="en-US" sz="1200" b="1">
            <a:solidFill>
              <a:schemeClr val="bg1"/>
            </a:solidFill>
            <a:latin typeface="Segoe UI" panose="020B0502040204020203" pitchFamily="34" charset="0"/>
            <a:cs typeface="Segoe UI" panose="020B0502040204020203" pitchFamily="34" charset="0"/>
          </a:endParaRPr>
        </a:p>
      </xdr:txBody>
    </xdr:sp>
    <xdr:clientData/>
  </xdr:twoCellAnchor>
  <xdr:twoCellAnchor>
    <xdr:from>
      <xdr:col>15</xdr:col>
      <xdr:colOff>150395</xdr:colOff>
      <xdr:row>7</xdr:row>
      <xdr:rowOff>160421</xdr:rowOff>
    </xdr:from>
    <xdr:to>
      <xdr:col>18</xdr:col>
      <xdr:colOff>370973</xdr:colOff>
      <xdr:row>16</xdr:row>
      <xdr:rowOff>40105</xdr:rowOff>
    </xdr:to>
    <xdr:graphicFrame macro="">
      <xdr:nvGraphicFramePr>
        <xdr:cNvPr id="35" name="Chart 34">
          <a:extLst>
            <a:ext uri="{FF2B5EF4-FFF2-40B4-BE49-F238E27FC236}">
              <a16:creationId xmlns:a16="http://schemas.microsoft.com/office/drawing/2014/main" id="{BB015AD2-AE08-4459-9018-DA274144E9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472165</xdr:colOff>
      <xdr:row>8</xdr:row>
      <xdr:rowOff>99851</xdr:rowOff>
    </xdr:from>
    <xdr:to>
      <xdr:col>7</xdr:col>
      <xdr:colOff>53851</xdr:colOff>
      <xdr:row>10</xdr:row>
      <xdr:rowOff>117836</xdr:rowOff>
    </xdr:to>
    <xdr:sp macro="" textlink="">
      <xdr:nvSpPr>
        <xdr:cNvPr id="36" name="TextBox 35">
          <a:extLst>
            <a:ext uri="{FF2B5EF4-FFF2-40B4-BE49-F238E27FC236}">
              <a16:creationId xmlns:a16="http://schemas.microsoft.com/office/drawing/2014/main" id="{2B6B3C74-D734-4F7F-B321-390D82B1DFE3}"/>
            </a:ext>
          </a:extLst>
        </xdr:cNvPr>
        <xdr:cNvSpPr txBox="1"/>
      </xdr:nvSpPr>
      <xdr:spPr>
        <a:xfrm>
          <a:off x="1689794" y="1592428"/>
          <a:ext cx="2625758" cy="391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0">
              <a:solidFill>
                <a:schemeClr val="bg1"/>
              </a:solidFill>
              <a:effectLst/>
              <a:latin typeface="Segoe UI" panose="020B0502040204020203" pitchFamily="34" charset="0"/>
              <a:ea typeface="+mn-ea"/>
              <a:cs typeface="Segoe UI" panose="020B0502040204020203" pitchFamily="34" charset="0"/>
            </a:rPr>
            <a:t>Employee</a:t>
          </a:r>
          <a:r>
            <a:rPr lang="en-US" sz="800" b="0" baseline="0">
              <a:solidFill>
                <a:schemeClr val="bg1"/>
              </a:solidFill>
              <a:effectLst/>
              <a:latin typeface="Segoe UI" panose="020B0502040204020203" pitchFamily="34" charset="0"/>
              <a:ea typeface="+mn-ea"/>
              <a:cs typeface="Segoe UI" panose="020B0502040204020203" pitchFamily="34" charset="0"/>
            </a:rPr>
            <a:t> with 'fair' satisfaction has the highest attrition rate(47%).</a:t>
          </a:r>
          <a:endParaRPr lang="en-US" sz="800" b="0">
            <a:solidFill>
              <a:schemeClr val="bg1"/>
            </a:solidFill>
            <a:effectLst/>
            <a:latin typeface="Segoe UI" panose="020B0502040204020203" pitchFamily="34" charset="0"/>
            <a:ea typeface="+mn-ea"/>
            <a:cs typeface="Segoe UI" panose="020B0502040204020203" pitchFamily="34" charset="0"/>
          </a:endParaRPr>
        </a:p>
      </xdr:txBody>
    </xdr:sp>
    <xdr:clientData/>
  </xdr:twoCellAnchor>
  <xdr:twoCellAnchor>
    <xdr:from>
      <xdr:col>7</xdr:col>
      <xdr:colOff>9820</xdr:colOff>
      <xdr:row>8</xdr:row>
      <xdr:rowOff>92242</xdr:rowOff>
    </xdr:from>
    <xdr:to>
      <xdr:col>11</xdr:col>
      <xdr:colOff>29459</xdr:colOff>
      <xdr:row>10</xdr:row>
      <xdr:rowOff>147293</xdr:rowOff>
    </xdr:to>
    <xdr:sp macro="" textlink="">
      <xdr:nvSpPr>
        <xdr:cNvPr id="42" name="TextBox 41">
          <a:extLst>
            <a:ext uri="{FF2B5EF4-FFF2-40B4-BE49-F238E27FC236}">
              <a16:creationId xmlns:a16="http://schemas.microsoft.com/office/drawing/2014/main" id="{9FCD3139-866E-4F0D-A074-B5885CED3096}"/>
            </a:ext>
          </a:extLst>
        </xdr:cNvPr>
        <xdr:cNvSpPr txBox="1"/>
      </xdr:nvSpPr>
      <xdr:spPr>
        <a:xfrm>
          <a:off x="4271521" y="1584819"/>
          <a:ext cx="2454897" cy="428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0">
              <a:solidFill>
                <a:schemeClr val="bg1"/>
              </a:solidFill>
              <a:effectLst/>
              <a:latin typeface="Segoe UI" panose="020B0502040204020203" pitchFamily="34" charset="0"/>
              <a:ea typeface="+mn-ea"/>
              <a:cs typeface="Segoe UI" panose="020B0502040204020203" pitchFamily="34" charset="0"/>
            </a:rPr>
            <a:t>R&amp;D</a:t>
          </a:r>
          <a:r>
            <a:rPr lang="en-US" sz="800" b="0" baseline="0">
              <a:solidFill>
                <a:schemeClr val="bg1"/>
              </a:solidFill>
              <a:effectLst/>
              <a:latin typeface="Segoe UI" panose="020B0502040204020203" pitchFamily="34" charset="0"/>
              <a:ea typeface="+mn-ea"/>
              <a:cs typeface="Segoe UI" panose="020B0502040204020203" pitchFamily="34" charset="0"/>
            </a:rPr>
            <a:t> department has the highest attrition count(133)</a:t>
          </a:r>
          <a:endParaRPr lang="en-US" sz="800" b="0">
            <a:solidFill>
              <a:schemeClr val="bg1"/>
            </a:solidFill>
            <a:effectLst/>
            <a:latin typeface="Segoe UI" panose="020B0502040204020203" pitchFamily="34" charset="0"/>
            <a:ea typeface="+mn-ea"/>
            <a:cs typeface="Segoe UI" panose="020B0502040204020203" pitchFamily="34" charset="0"/>
          </a:endParaRPr>
        </a:p>
      </xdr:txBody>
    </xdr:sp>
    <xdr:clientData/>
  </xdr:twoCellAnchor>
  <xdr:twoCellAnchor>
    <xdr:from>
      <xdr:col>10</xdr:col>
      <xdr:colOff>549566</xdr:colOff>
      <xdr:row>8</xdr:row>
      <xdr:rowOff>80212</xdr:rowOff>
    </xdr:from>
    <xdr:to>
      <xdr:col>15</xdr:col>
      <xdr:colOff>451701</xdr:colOff>
      <xdr:row>10</xdr:row>
      <xdr:rowOff>88376</xdr:rowOff>
    </xdr:to>
    <xdr:sp macro="" textlink="">
      <xdr:nvSpPr>
        <xdr:cNvPr id="43" name="TextBox 42">
          <a:extLst>
            <a:ext uri="{FF2B5EF4-FFF2-40B4-BE49-F238E27FC236}">
              <a16:creationId xmlns:a16="http://schemas.microsoft.com/office/drawing/2014/main" id="{3F90EB08-0B93-4D8E-9E46-3D42CE550ED0}"/>
            </a:ext>
          </a:extLst>
        </xdr:cNvPr>
        <xdr:cNvSpPr txBox="1"/>
      </xdr:nvSpPr>
      <xdr:spPr>
        <a:xfrm>
          <a:off x="6637710" y="1572789"/>
          <a:ext cx="2946207" cy="381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0">
              <a:solidFill>
                <a:schemeClr val="bg1"/>
              </a:solidFill>
              <a:effectLst/>
              <a:latin typeface="Segoe UI" panose="020B0502040204020203" pitchFamily="34" charset="0"/>
              <a:ea typeface="+mn-ea"/>
              <a:cs typeface="Segoe UI" panose="020B0502040204020203" pitchFamily="34" charset="0"/>
            </a:rPr>
            <a:t>Recently(less</a:t>
          </a:r>
          <a:r>
            <a:rPr lang="en-US" sz="800" b="0" baseline="0">
              <a:solidFill>
                <a:schemeClr val="bg1"/>
              </a:solidFill>
              <a:effectLst/>
              <a:latin typeface="Segoe UI" panose="020B0502040204020203" pitchFamily="34" charset="0"/>
              <a:ea typeface="+mn-ea"/>
              <a:cs typeface="Segoe UI" panose="020B0502040204020203" pitchFamily="34" charset="0"/>
            </a:rPr>
            <a:t> 1</a:t>
          </a:r>
          <a:r>
            <a:rPr lang="en-US" sz="800" b="0">
              <a:solidFill>
                <a:schemeClr val="bg1"/>
              </a:solidFill>
              <a:effectLst/>
              <a:latin typeface="Segoe UI" panose="020B0502040204020203" pitchFamily="34" charset="0"/>
              <a:ea typeface="+mn-ea"/>
              <a:cs typeface="Segoe UI" panose="020B0502040204020203" pitchFamily="34" charset="0"/>
            </a:rPr>
            <a:t>yrs) promoted employee has the highest attrition count compared to other year of promotion.</a:t>
          </a:r>
        </a:p>
      </xdr:txBody>
    </xdr:sp>
    <xdr:clientData/>
  </xdr:twoCellAnchor>
  <xdr:twoCellAnchor>
    <xdr:from>
      <xdr:col>15</xdr:col>
      <xdr:colOff>106656</xdr:colOff>
      <xdr:row>8</xdr:row>
      <xdr:rowOff>125455</xdr:rowOff>
    </xdr:from>
    <xdr:to>
      <xdr:col>18</xdr:col>
      <xdr:colOff>432062</xdr:colOff>
      <xdr:row>11</xdr:row>
      <xdr:rowOff>116417</xdr:rowOff>
    </xdr:to>
    <xdr:sp macro="" textlink="">
      <xdr:nvSpPr>
        <xdr:cNvPr id="45" name="TextBox 44">
          <a:extLst>
            <a:ext uri="{FF2B5EF4-FFF2-40B4-BE49-F238E27FC236}">
              <a16:creationId xmlns:a16="http://schemas.microsoft.com/office/drawing/2014/main" id="{9570007C-2262-4D13-9641-2B0A936F549E}"/>
            </a:ext>
          </a:extLst>
        </xdr:cNvPr>
        <xdr:cNvSpPr txBox="1"/>
      </xdr:nvSpPr>
      <xdr:spPr>
        <a:xfrm>
          <a:off x="9238872" y="1618032"/>
          <a:ext cx="2151850" cy="5506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0">
              <a:solidFill>
                <a:schemeClr val="bg1"/>
              </a:solidFill>
              <a:effectLst/>
              <a:latin typeface="Segoe UI" panose="020B0502040204020203" pitchFamily="34" charset="0"/>
              <a:ea typeface="+mn-ea"/>
              <a:cs typeface="Segoe UI" panose="020B0502040204020203" pitchFamily="34" charset="0"/>
            </a:rPr>
            <a:t>Employees with an 'Excellent' rating has</a:t>
          </a:r>
          <a:r>
            <a:rPr lang="en-US" sz="800" b="0" baseline="0">
              <a:solidFill>
                <a:schemeClr val="bg1"/>
              </a:solidFill>
              <a:effectLst/>
              <a:latin typeface="Segoe UI" panose="020B0502040204020203" pitchFamily="34" charset="0"/>
              <a:ea typeface="+mn-ea"/>
              <a:cs typeface="Segoe UI" panose="020B0502040204020203" pitchFamily="34" charset="0"/>
            </a:rPr>
            <a:t> the highest attrition rate(84%) compared to outstanding rate.</a:t>
          </a:r>
          <a:endParaRPr lang="en-US" sz="800" b="0">
            <a:solidFill>
              <a:schemeClr val="bg1"/>
            </a:solidFill>
            <a:effectLst/>
            <a:latin typeface="Segoe UI" panose="020B0502040204020203" pitchFamily="34" charset="0"/>
            <a:ea typeface="+mn-ea"/>
            <a:cs typeface="Segoe UI" panose="020B0502040204020203" pitchFamily="34" charset="0"/>
          </a:endParaRPr>
        </a:p>
      </xdr:txBody>
    </xdr:sp>
    <xdr:clientData/>
  </xdr:twoCellAnchor>
  <xdr:twoCellAnchor>
    <xdr:from>
      <xdr:col>2</xdr:col>
      <xdr:colOff>491279</xdr:colOff>
      <xdr:row>17</xdr:row>
      <xdr:rowOff>118016</xdr:rowOff>
    </xdr:from>
    <xdr:to>
      <xdr:col>7</xdr:col>
      <xdr:colOff>85186</xdr:colOff>
      <xdr:row>19</xdr:row>
      <xdr:rowOff>150915</xdr:rowOff>
    </xdr:to>
    <xdr:sp macro="" textlink="">
      <xdr:nvSpPr>
        <xdr:cNvPr id="46" name="TextBox 45">
          <a:extLst>
            <a:ext uri="{FF2B5EF4-FFF2-40B4-BE49-F238E27FC236}">
              <a16:creationId xmlns:a16="http://schemas.microsoft.com/office/drawing/2014/main" id="{46A56338-4B58-4974-B68B-B874E2032CAA}"/>
            </a:ext>
          </a:extLst>
        </xdr:cNvPr>
        <xdr:cNvSpPr txBox="1"/>
      </xdr:nvSpPr>
      <xdr:spPr>
        <a:xfrm>
          <a:off x="1708908" y="3289743"/>
          <a:ext cx="2637979" cy="406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0">
              <a:solidFill>
                <a:schemeClr val="bg1"/>
              </a:solidFill>
              <a:effectLst/>
              <a:latin typeface="Segoe UI" panose="020B0502040204020203" pitchFamily="34" charset="0"/>
              <a:ea typeface="+mn-ea"/>
              <a:cs typeface="Segoe UI" panose="020B0502040204020203" pitchFamily="34" charset="0"/>
            </a:rPr>
            <a:t>Employee</a:t>
          </a:r>
          <a:r>
            <a:rPr lang="en-US" sz="800" b="0" baseline="0">
              <a:solidFill>
                <a:schemeClr val="bg1"/>
              </a:solidFill>
              <a:effectLst/>
              <a:latin typeface="Segoe UI" panose="020B0502040204020203" pitchFamily="34" charset="0"/>
              <a:ea typeface="+mn-ea"/>
              <a:cs typeface="Segoe UI" panose="020B0502040204020203" pitchFamily="34" charset="0"/>
            </a:rPr>
            <a:t> who do overtime mostly have the highest attrition rate (55%)</a:t>
          </a:r>
          <a:endParaRPr lang="en-US" sz="800" b="0">
            <a:solidFill>
              <a:schemeClr val="bg1"/>
            </a:solidFill>
            <a:effectLst/>
            <a:latin typeface="Segoe UI" panose="020B0502040204020203" pitchFamily="34" charset="0"/>
            <a:ea typeface="+mn-ea"/>
            <a:cs typeface="Segoe UI" panose="020B0502040204020203" pitchFamily="34" charset="0"/>
          </a:endParaRPr>
        </a:p>
      </xdr:txBody>
    </xdr:sp>
    <xdr:clientData/>
  </xdr:twoCellAnchor>
  <xdr:twoCellAnchor>
    <xdr:from>
      <xdr:col>7</xdr:col>
      <xdr:colOff>199049</xdr:colOff>
      <xdr:row>17</xdr:row>
      <xdr:rowOff>153235</xdr:rowOff>
    </xdr:from>
    <xdr:to>
      <xdr:col>13</xdr:col>
      <xdr:colOff>36561</xdr:colOff>
      <xdr:row>19</xdr:row>
      <xdr:rowOff>186134</xdr:rowOff>
    </xdr:to>
    <xdr:sp macro="" textlink="">
      <xdr:nvSpPr>
        <xdr:cNvPr id="47" name="TextBox 46">
          <a:extLst>
            <a:ext uri="{FF2B5EF4-FFF2-40B4-BE49-F238E27FC236}">
              <a16:creationId xmlns:a16="http://schemas.microsoft.com/office/drawing/2014/main" id="{28A89A36-58EF-4040-820F-F3F123204AC4}"/>
            </a:ext>
          </a:extLst>
        </xdr:cNvPr>
        <xdr:cNvSpPr txBox="1"/>
      </xdr:nvSpPr>
      <xdr:spPr>
        <a:xfrm>
          <a:off x="4495882" y="3391735"/>
          <a:ext cx="3520512" cy="413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0">
              <a:solidFill>
                <a:schemeClr val="bg1"/>
              </a:solidFill>
              <a:effectLst/>
              <a:latin typeface="Segoe UI" panose="020B0502040204020203" pitchFamily="34" charset="0"/>
              <a:ea typeface="+mn-ea"/>
              <a:cs typeface="Segoe UI" panose="020B0502040204020203" pitchFamily="34" charset="0"/>
            </a:rPr>
            <a:t>Single</a:t>
          </a:r>
          <a:r>
            <a:rPr lang="en-US" sz="800" b="0" baseline="0">
              <a:solidFill>
                <a:schemeClr val="bg1"/>
              </a:solidFill>
              <a:effectLst/>
              <a:latin typeface="Segoe UI" panose="020B0502040204020203" pitchFamily="34" charset="0"/>
              <a:ea typeface="+mn-ea"/>
              <a:cs typeface="Segoe UI" panose="020B0502040204020203" pitchFamily="34" charset="0"/>
            </a:rPr>
            <a:t> employee has the highest attrition count (120) with low avergae monthly income ($4.4k)</a:t>
          </a:r>
          <a:endParaRPr lang="en-US" sz="800" b="0">
            <a:solidFill>
              <a:schemeClr val="bg1"/>
            </a:solidFill>
            <a:effectLst/>
            <a:latin typeface="Segoe UI" panose="020B0502040204020203" pitchFamily="34" charset="0"/>
            <a:ea typeface="+mn-ea"/>
            <a:cs typeface="Segoe UI" panose="020B0502040204020203" pitchFamily="34" charset="0"/>
          </a:endParaRPr>
        </a:p>
      </xdr:txBody>
    </xdr:sp>
    <xdr:clientData/>
  </xdr:twoCellAnchor>
  <xdr:twoCellAnchor>
    <xdr:from>
      <xdr:col>12</xdr:col>
      <xdr:colOff>552859</xdr:colOff>
      <xdr:row>17</xdr:row>
      <xdr:rowOff>108371</xdr:rowOff>
    </xdr:from>
    <xdr:to>
      <xdr:col>18</xdr:col>
      <xdr:colOff>373144</xdr:colOff>
      <xdr:row>19</xdr:row>
      <xdr:rowOff>141270</xdr:rowOff>
    </xdr:to>
    <xdr:sp macro="" textlink="">
      <xdr:nvSpPr>
        <xdr:cNvPr id="48" name="TextBox 47">
          <a:extLst>
            <a:ext uri="{FF2B5EF4-FFF2-40B4-BE49-F238E27FC236}">
              <a16:creationId xmlns:a16="http://schemas.microsoft.com/office/drawing/2014/main" id="{A947C400-2712-4642-A543-0C6F63750A0F}"/>
            </a:ext>
          </a:extLst>
        </xdr:cNvPr>
        <xdr:cNvSpPr txBox="1"/>
      </xdr:nvSpPr>
      <xdr:spPr>
        <a:xfrm>
          <a:off x="7858632" y="3280098"/>
          <a:ext cx="3473172" cy="406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0">
              <a:solidFill>
                <a:schemeClr val="bg1"/>
              </a:solidFill>
              <a:effectLst/>
              <a:latin typeface="Segoe UI" panose="020B0502040204020203" pitchFamily="34" charset="0"/>
              <a:ea typeface="+mn-ea"/>
              <a:cs typeface="Segoe UI" panose="020B0502040204020203" pitchFamily="34" charset="0"/>
            </a:rPr>
            <a:t>This indicates that even employees with moderately good work-life balance leave</a:t>
          </a:r>
          <a:r>
            <a:rPr lang="en-US" sz="800" b="0" baseline="0">
              <a:solidFill>
                <a:schemeClr val="bg1"/>
              </a:solidFill>
              <a:effectLst/>
              <a:latin typeface="Segoe UI" panose="020B0502040204020203" pitchFamily="34" charset="0"/>
              <a:ea typeface="+mn-ea"/>
              <a:cs typeface="Segoe UI" panose="020B0502040204020203" pitchFamily="34" charset="0"/>
            </a:rPr>
            <a:t> with the attrition count of 127.</a:t>
          </a:r>
          <a:endParaRPr lang="en-US" sz="800" b="0">
            <a:solidFill>
              <a:schemeClr val="bg1"/>
            </a:solidFill>
            <a:effectLst/>
            <a:latin typeface="Segoe UI" panose="020B0502040204020203" pitchFamily="34" charset="0"/>
            <a:ea typeface="+mn-ea"/>
            <a:cs typeface="Segoe UI" panose="020B0502040204020203" pitchFamily="34" charset="0"/>
          </a:endParaRPr>
        </a:p>
      </xdr:txBody>
    </xdr:sp>
    <xdr:clientData/>
  </xdr:twoCellAnchor>
  <xdr:twoCellAnchor>
    <xdr:from>
      <xdr:col>16</xdr:col>
      <xdr:colOff>83871</xdr:colOff>
      <xdr:row>13</xdr:row>
      <xdr:rowOff>34772</xdr:rowOff>
    </xdr:from>
    <xdr:to>
      <xdr:col>17</xdr:col>
      <xdr:colOff>113950</xdr:colOff>
      <xdr:row>14</xdr:row>
      <xdr:rowOff>155086</xdr:rowOff>
    </xdr:to>
    <xdr:sp macro="" textlink="">
      <xdr:nvSpPr>
        <xdr:cNvPr id="44" name="TextBox 43">
          <a:extLst>
            <a:ext uri="{FF2B5EF4-FFF2-40B4-BE49-F238E27FC236}">
              <a16:creationId xmlns:a16="http://schemas.microsoft.com/office/drawing/2014/main" id="{5A75A8F3-D587-41B6-BF2F-58373C199DAA}"/>
            </a:ext>
          </a:extLst>
        </xdr:cNvPr>
        <xdr:cNvSpPr txBox="1"/>
      </xdr:nvSpPr>
      <xdr:spPr>
        <a:xfrm>
          <a:off x="9824902" y="2460210"/>
          <a:ext cx="638893" cy="306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a:solidFill>
                <a:schemeClr val="bg1"/>
              </a:solidFill>
              <a:latin typeface="Segoe UI" panose="020B0502040204020203" pitchFamily="34" charset="0"/>
              <a:cs typeface="Segoe UI" panose="020B0502040204020203" pitchFamily="34" charset="0"/>
            </a:rPr>
            <a:t>100%</a:t>
          </a:r>
        </a:p>
      </xdr:txBody>
    </xdr:sp>
    <xdr:clientData/>
  </xdr:twoCellAnchor>
  <xdr:twoCellAnchor>
    <xdr:from>
      <xdr:col>12</xdr:col>
      <xdr:colOff>559717</xdr:colOff>
      <xdr:row>16</xdr:row>
      <xdr:rowOff>98195</xdr:rowOff>
    </xdr:from>
    <xdr:to>
      <xdr:col>18</xdr:col>
      <xdr:colOff>422242</xdr:colOff>
      <xdr:row>27</xdr:row>
      <xdr:rowOff>157113</xdr:rowOff>
    </xdr:to>
    <xdr:graphicFrame macro="">
      <xdr:nvGraphicFramePr>
        <xdr:cNvPr id="49" name="Chart 48">
          <a:extLst>
            <a:ext uri="{FF2B5EF4-FFF2-40B4-BE49-F238E27FC236}">
              <a16:creationId xmlns:a16="http://schemas.microsoft.com/office/drawing/2014/main" id="{8EFCD08C-CF90-4165-ABB8-55C3112BD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49098</xdr:colOff>
      <xdr:row>3</xdr:row>
      <xdr:rowOff>117835</xdr:rowOff>
    </xdr:from>
    <xdr:to>
      <xdr:col>14</xdr:col>
      <xdr:colOff>186572</xdr:colOff>
      <xdr:row>7</xdr:row>
      <xdr:rowOff>4957</xdr:rowOff>
    </xdr:to>
    <xdr:graphicFrame macro="">
      <xdr:nvGraphicFramePr>
        <xdr:cNvPr id="50" name="Chart 49">
          <a:extLst>
            <a:ext uri="{FF2B5EF4-FFF2-40B4-BE49-F238E27FC236}">
              <a16:creationId xmlns:a16="http://schemas.microsoft.com/office/drawing/2014/main" id="{FA72FC4E-A195-47AB-84B6-11325FEA6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xdr:col>
      <xdr:colOff>324050</xdr:colOff>
      <xdr:row>22</xdr:row>
      <xdr:rowOff>62925</xdr:rowOff>
    </xdr:from>
    <xdr:to>
      <xdr:col>2</xdr:col>
      <xdr:colOff>70216</xdr:colOff>
      <xdr:row>24</xdr:row>
      <xdr:rowOff>41926</xdr:rowOff>
    </xdr:to>
    <xdr:pic>
      <xdr:nvPicPr>
        <xdr:cNvPr id="52" name="Picture 51">
          <a:hlinkClick xmlns:r="http://schemas.openxmlformats.org/officeDocument/2006/relationships" r:id="rId20"/>
          <a:extLst>
            <a:ext uri="{FF2B5EF4-FFF2-40B4-BE49-F238E27FC236}">
              <a16:creationId xmlns:a16="http://schemas.microsoft.com/office/drawing/2014/main" id="{3D93659E-677C-47AD-BD15-1A511D221837}"/>
            </a:ext>
          </a:extLst>
        </xdr:cNvPr>
        <xdr:cNvPicPr>
          <a:picLocks noChangeAspect="1"/>
        </xdr:cNvPicPr>
      </xdr:nvPicPr>
      <xdr:blipFill>
        <a:blip xmlns:r="http://schemas.openxmlformats.org/officeDocument/2006/relationships" r:embed="rId21">
          <a:biLevel thresh="50000"/>
          <a:extLst>
            <a:ext uri="{28A0092B-C50C-407E-A947-70E740481C1C}">
              <a14:useLocalDpi xmlns:a14="http://schemas.microsoft.com/office/drawing/2010/main" val="0"/>
            </a:ext>
          </a:extLst>
        </a:blip>
        <a:stretch>
          <a:fillRect/>
        </a:stretch>
      </xdr:blipFill>
      <xdr:spPr>
        <a:xfrm flipH="1">
          <a:off x="932864" y="4167513"/>
          <a:ext cx="354981" cy="352145"/>
        </a:xfrm>
        <a:prstGeom prst="rect">
          <a:avLst/>
        </a:prstGeom>
      </xdr:spPr>
    </xdr:pic>
    <xdr:clientData/>
  </xdr:twoCellAnchor>
  <xdr:twoCellAnchor editAs="oneCell">
    <xdr:from>
      <xdr:col>1</xdr:col>
      <xdr:colOff>304410</xdr:colOff>
      <xdr:row>11</xdr:row>
      <xdr:rowOff>49103</xdr:rowOff>
    </xdr:from>
    <xdr:to>
      <xdr:col>2</xdr:col>
      <xdr:colOff>50576</xdr:colOff>
      <xdr:row>13</xdr:row>
      <xdr:rowOff>28103</xdr:rowOff>
    </xdr:to>
    <xdr:pic>
      <xdr:nvPicPr>
        <xdr:cNvPr id="53" name="Picture 52">
          <a:hlinkClick xmlns:r="http://schemas.openxmlformats.org/officeDocument/2006/relationships" r:id="rId22"/>
          <a:extLst>
            <a:ext uri="{FF2B5EF4-FFF2-40B4-BE49-F238E27FC236}">
              <a16:creationId xmlns:a16="http://schemas.microsoft.com/office/drawing/2014/main" id="{934298AD-4DA7-42AA-86CC-F78FFA749EC3}"/>
            </a:ext>
          </a:extLst>
        </xdr:cNvPr>
        <xdr:cNvPicPr>
          <a:picLocks noChangeAspect="1"/>
        </xdr:cNvPicPr>
      </xdr:nvPicPr>
      <xdr:blipFill>
        <a:blip xmlns:r="http://schemas.openxmlformats.org/officeDocument/2006/relationships" r:embed="rId23">
          <a:biLevel thresh="50000"/>
          <a:extLst>
            <a:ext uri="{28A0092B-C50C-407E-A947-70E740481C1C}">
              <a14:useLocalDpi xmlns:a14="http://schemas.microsoft.com/office/drawing/2010/main" val="0"/>
            </a:ext>
          </a:extLst>
        </a:blip>
        <a:stretch>
          <a:fillRect/>
        </a:stretch>
      </xdr:blipFill>
      <xdr:spPr>
        <a:xfrm flipH="1">
          <a:off x="913224" y="2101397"/>
          <a:ext cx="354981" cy="352144"/>
        </a:xfrm>
        <a:prstGeom prst="rect">
          <a:avLst/>
        </a:prstGeom>
      </xdr:spPr>
    </xdr:pic>
    <xdr:clientData/>
  </xdr:twoCellAnchor>
  <xdr:twoCellAnchor editAs="oneCell">
    <xdr:from>
      <xdr:col>1</xdr:col>
      <xdr:colOff>336489</xdr:colOff>
      <xdr:row>16</xdr:row>
      <xdr:rowOff>162471</xdr:rowOff>
    </xdr:from>
    <xdr:to>
      <xdr:col>2</xdr:col>
      <xdr:colOff>80474</xdr:colOff>
      <xdr:row>18</xdr:row>
      <xdr:rowOff>142127</xdr:rowOff>
    </xdr:to>
    <xdr:pic>
      <xdr:nvPicPr>
        <xdr:cNvPr id="54" name="Picture 53">
          <a:hlinkClick xmlns:r="http://schemas.openxmlformats.org/officeDocument/2006/relationships" r:id="rId24"/>
          <a:extLst>
            <a:ext uri="{FF2B5EF4-FFF2-40B4-BE49-F238E27FC236}">
              <a16:creationId xmlns:a16="http://schemas.microsoft.com/office/drawing/2014/main" id="{B5BB3F7D-342A-4EA9-AB0F-9B25FAE74426}"/>
            </a:ext>
          </a:extLst>
        </xdr:cNvPr>
        <xdr:cNvPicPr>
          <a:picLocks noChangeAspect="1"/>
        </xdr:cNvPicPr>
      </xdr:nvPicPr>
      <xdr:blipFill>
        <a:blip xmlns:r="http://schemas.openxmlformats.org/officeDocument/2006/relationships" r:embed="rId25">
          <a:biLevel thresh="50000"/>
          <a:extLst>
            <a:ext uri="{28A0092B-C50C-407E-A947-70E740481C1C}">
              <a14:useLocalDpi xmlns:a14="http://schemas.microsoft.com/office/drawing/2010/main" val="0"/>
            </a:ext>
          </a:extLst>
        </a:blip>
        <a:stretch>
          <a:fillRect/>
        </a:stretch>
      </xdr:blipFill>
      <xdr:spPr>
        <a:xfrm>
          <a:off x="945303" y="3147626"/>
          <a:ext cx="352800" cy="352800"/>
        </a:xfrm>
        <a:prstGeom prst="rect">
          <a:avLst/>
        </a:prstGeom>
      </xdr:spPr>
    </xdr:pic>
    <xdr:clientData/>
  </xdr:twoCellAnchor>
  <xdr:twoCellAnchor>
    <xdr:from>
      <xdr:col>0</xdr:col>
      <xdr:colOff>510619</xdr:colOff>
      <xdr:row>23</xdr:row>
      <xdr:rowOff>176752</xdr:rowOff>
    </xdr:from>
    <xdr:to>
      <xdr:col>2</xdr:col>
      <xdr:colOff>512625</xdr:colOff>
      <xdr:row>25</xdr:row>
      <xdr:rowOff>126621</xdr:rowOff>
    </xdr:to>
    <xdr:sp macro="" textlink="">
      <xdr:nvSpPr>
        <xdr:cNvPr id="55" name="TextBox 54">
          <a:extLst>
            <a:ext uri="{FF2B5EF4-FFF2-40B4-BE49-F238E27FC236}">
              <a16:creationId xmlns:a16="http://schemas.microsoft.com/office/drawing/2014/main" id="{BD7B2E87-1599-4537-97D6-356EC43B9013}"/>
            </a:ext>
          </a:extLst>
        </xdr:cNvPr>
        <xdr:cNvSpPr txBox="1"/>
      </xdr:nvSpPr>
      <xdr:spPr>
        <a:xfrm>
          <a:off x="510619" y="4467912"/>
          <a:ext cx="1219635" cy="3230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a:solidFill>
                <a:schemeClr val="bg1"/>
              </a:solidFill>
              <a:latin typeface="Segoe UI" panose="020B0502040204020203" pitchFamily="34" charset="0"/>
              <a:cs typeface="Segoe UI" panose="020B0502040204020203" pitchFamily="34" charset="0"/>
            </a:rPr>
            <a:t>Pivotable</a:t>
          </a:r>
        </a:p>
      </xdr:txBody>
    </xdr:sp>
    <xdr:clientData/>
  </xdr:twoCellAnchor>
</xdr:wsDr>
</file>

<file path=xl/drawings/drawing5.xml><?xml version="1.0" encoding="utf-8"?>
<c:userShapes xmlns:c="http://schemas.openxmlformats.org/drawingml/2006/chart">
  <cdr:relSizeAnchor xmlns:cdr="http://schemas.openxmlformats.org/drawingml/2006/chartDrawing">
    <cdr:from>
      <cdr:x>0.37249</cdr:x>
      <cdr:y>0.52705</cdr:y>
    </cdr:from>
    <cdr:to>
      <cdr:x>0.65855</cdr:x>
      <cdr:y>0.7402</cdr:y>
    </cdr:to>
    <cdr:sp macro="" textlink="">
      <cdr:nvSpPr>
        <cdr:cNvPr id="2" name="Rectangle 1">
          <a:extLst xmlns:a="http://schemas.openxmlformats.org/drawingml/2006/main">
            <a:ext uri="{FF2B5EF4-FFF2-40B4-BE49-F238E27FC236}">
              <a16:creationId xmlns:a16="http://schemas.microsoft.com/office/drawing/2014/main" id="{58AD855B-1146-4BBC-B02F-11C2E72A690E}"/>
            </a:ext>
          </a:extLst>
        </cdr:cNvPr>
        <cdr:cNvSpPr/>
      </cdr:nvSpPr>
      <cdr:spPr>
        <a:xfrm xmlns:a="http://schemas.openxmlformats.org/drawingml/2006/main">
          <a:off x="856006" y="826548"/>
          <a:ext cx="657410" cy="33426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tlCol="0" anchor="t"/>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US" sz="1200" b="1">
            <a:latin typeface="Segoe UI" panose="020B0502040204020203" pitchFamily="34" charset="0"/>
            <a:cs typeface="Segoe UI" panose="020B0502040204020203" pitchFamily="34" charset="0"/>
          </a:endParaRPr>
        </a:p>
      </cdr:txBody>
    </cdr:sp>
  </cdr:relSizeAnchor>
  <cdr:relSizeAnchor xmlns:cdr="http://schemas.openxmlformats.org/drawingml/2006/chartDrawing">
    <cdr:from>
      <cdr:x>0.35465</cdr:x>
      <cdr:y>0.52412</cdr:y>
    </cdr:from>
    <cdr:to>
      <cdr:x>0.64949</cdr:x>
      <cdr:y>0.74328</cdr:y>
    </cdr:to>
    <cdr:sp macro="" textlink="">
      <cdr:nvSpPr>
        <cdr:cNvPr id="3" name="TextBox 2">
          <a:extLst xmlns:a="http://schemas.openxmlformats.org/drawingml/2006/main">
            <a:ext uri="{FF2B5EF4-FFF2-40B4-BE49-F238E27FC236}">
              <a16:creationId xmlns:a16="http://schemas.microsoft.com/office/drawing/2014/main" id="{89DAC484-917B-4C37-90BC-749981C1AE46}"/>
            </a:ext>
          </a:extLst>
        </cdr:cNvPr>
        <cdr:cNvSpPr txBox="1"/>
      </cdr:nvSpPr>
      <cdr:spPr>
        <a:xfrm xmlns:a="http://schemas.openxmlformats.org/drawingml/2006/main">
          <a:off x="815026" y="821952"/>
          <a:ext cx="677552" cy="34368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n-US" sz="1200" b="1">
              <a:solidFill>
                <a:schemeClr val="bg1"/>
              </a:solidFill>
              <a:latin typeface="Segoe UI" panose="020B0502040204020203" pitchFamily="34" charset="0"/>
              <a:cs typeface="Segoe UI" panose="020B0502040204020203" pitchFamily="34" charset="0"/>
            </a:rPr>
            <a:t>1470</a:t>
          </a:r>
        </a:p>
      </cdr:txBody>
    </cdr:sp>
  </cdr:relSizeAnchor>
</c:userShapes>
</file>

<file path=xl/drawings/drawing6.xml><?xml version="1.0" encoding="utf-8"?>
<c:userShapes xmlns:c="http://schemas.openxmlformats.org/drawingml/2006/chart">
  <cdr:relSizeAnchor xmlns:cdr="http://schemas.openxmlformats.org/drawingml/2006/chartDrawing">
    <cdr:from>
      <cdr:x>0.13587</cdr:x>
      <cdr:y>0.42126</cdr:y>
    </cdr:from>
    <cdr:to>
      <cdr:x>0.74087</cdr:x>
      <cdr:y>0.85534</cdr:y>
    </cdr:to>
    <cdr:sp macro="" textlink="">
      <cdr:nvSpPr>
        <cdr:cNvPr id="2" name="TextBox 15">
          <a:extLst xmlns:a="http://schemas.openxmlformats.org/drawingml/2006/main">
            <a:ext uri="{FF2B5EF4-FFF2-40B4-BE49-F238E27FC236}">
              <a16:creationId xmlns:a16="http://schemas.microsoft.com/office/drawing/2014/main" id="{89988CB1-015B-46E1-A21E-73982DC280CB}"/>
            </a:ext>
          </a:extLst>
        </cdr:cNvPr>
        <cdr:cNvSpPr txBox="1"/>
      </cdr:nvSpPr>
      <cdr:spPr>
        <a:xfrm xmlns:a="http://schemas.openxmlformats.org/drawingml/2006/main">
          <a:off x="266831" y="266831"/>
          <a:ext cx="1188170" cy="27494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US" sz="1400" b="1" i="0" u="none" strike="noStrike">
              <a:solidFill>
                <a:schemeClr val="accent6">
                  <a:lumMod val="75000"/>
                </a:schemeClr>
              </a:solidFill>
              <a:latin typeface="Segoe UI" panose="020B0502040204020203" pitchFamily="34" charset="0"/>
              <a:ea typeface="Calibri"/>
              <a:cs typeface="Segoe UI" panose="020B0502040204020203" pitchFamily="34" charset="0"/>
            </a:rPr>
            <a:t>▲</a:t>
          </a:r>
          <a:fld id="{2C27270E-AAB5-4B9F-9972-68A4201C4209}" type="TxLink">
            <a:rPr lang="en-US" sz="1400" b="1" i="0" u="none" strike="noStrike">
              <a:solidFill>
                <a:schemeClr val="bg1"/>
              </a:solidFill>
              <a:latin typeface="Segoe UI" panose="020B0502040204020203" pitchFamily="34" charset="0"/>
              <a:ea typeface="Calibri"/>
              <a:cs typeface="Segoe UI" panose="020B0502040204020203" pitchFamily="34" charset="0"/>
            </a:rPr>
            <a:pPr algn="ctr"/>
            <a:t>84%</a:t>
          </a:fld>
          <a:endParaRPr lang="en-US" sz="1400" b="1">
            <a:solidFill>
              <a:schemeClr val="bg1"/>
            </a:solidFill>
            <a:latin typeface="Segoe UI" panose="020B0502040204020203" pitchFamily="34" charset="0"/>
            <a:cs typeface="Segoe UI" panose="020B0502040204020203"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_rels/pivotCacheDefinition16.xml.rels><?xml version="1.0" encoding="UTF-8" standalone="yes"?>
<Relationships xmlns="http://schemas.openxmlformats.org/package/2006/relationships"><Relationship Id="rId1" Type="http://schemas.openxmlformats.org/officeDocument/2006/relationships/pivotCacheRecords" Target="pivotCacheRecords16.xml"/></Relationships>
</file>

<file path=xl/pivotCache/_rels/pivotCacheDefinition17.xml.rels><?xml version="1.0" encoding="UTF-8" standalone="yes"?>
<Relationships xmlns="http://schemas.openxmlformats.org/package/2006/relationships"><Relationship Id="rId1" Type="http://schemas.openxmlformats.org/officeDocument/2006/relationships/pivotCacheRecords" Target="pivotCacheRecords17.xml"/></Relationships>
</file>

<file path=xl/pivotCache/_rels/pivotCacheDefinition18.xml.rels><?xml version="1.0" encoding="UTF-8" standalone="yes"?>
<Relationships xmlns="http://schemas.openxmlformats.org/package/2006/relationships"><Relationship Id="rId1" Type="http://schemas.openxmlformats.org/officeDocument/2006/relationships/pivotCacheRecords" Target="pivotCacheRecords18.xml"/></Relationships>
</file>

<file path=xl/pivotCache/_rels/pivotCacheDefinition19.xml.rels><?xml version="1.0" encoding="UTF-8" standalone="yes"?>
<Relationships xmlns="http://schemas.openxmlformats.org/package/2006/relationships"><Relationship Id="rId1" Type="http://schemas.openxmlformats.org/officeDocument/2006/relationships/pivotCacheRecords" Target="pivotCacheRecords19.xml"/></Relationships>
</file>

<file path=xl/pivotCache/_rels/pivotCacheDefinition20.xml.rels><?xml version="1.0" encoding="UTF-8" standalone="yes"?>
<Relationships xmlns="http://schemas.openxmlformats.org/package/2006/relationships"><Relationship Id="rId1" Type="http://schemas.openxmlformats.org/officeDocument/2006/relationships/pivotCacheRecords" Target="pivotCacheRecords20.xml"/></Relationships>
</file>

<file path=xl/pivotCache/_rels/pivotCacheDefinition21.xml.rels><?xml version="1.0" encoding="UTF-8" standalone="yes"?>
<Relationships xmlns="http://schemas.openxmlformats.org/package/2006/relationships"><Relationship Id="rId1" Type="http://schemas.openxmlformats.org/officeDocument/2006/relationships/pivotCacheRecords" Target="pivotCacheRecords21.xml"/></Relationships>
</file>

<file path=xl/pivotCache/_rels/pivotCacheDefinition22.xml.rels><?xml version="1.0" encoding="UTF-8" standalone="yes"?>
<Relationships xmlns="http://schemas.openxmlformats.org/package/2006/relationships"><Relationship Id="rId1" Type="http://schemas.openxmlformats.org/officeDocument/2006/relationships/pivotCacheRecords" Target="pivotCacheRecords22.xml"/></Relationships>
</file>

<file path=xl/pivotCache/_rels/pivotCacheDefinition23.xml.rels><?xml version="1.0" encoding="UTF-8" standalone="yes"?>
<Relationships xmlns="http://schemas.openxmlformats.org/package/2006/relationships"><Relationship Id="rId1" Type="http://schemas.openxmlformats.org/officeDocument/2006/relationships/pivotCacheRecords" Target="pivotCacheRecords23.xml"/></Relationships>
</file>

<file path=xl/pivotCache/_rels/pivotCacheDefinition24.xml.rels><?xml version="1.0" encoding="UTF-8" standalone="yes"?>
<Relationships xmlns="http://schemas.openxmlformats.org/package/2006/relationships"><Relationship Id="rId1" Type="http://schemas.openxmlformats.org/officeDocument/2006/relationships/pivotCacheRecords" Target="pivotCacheRecords2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B" refreshedDate="45978.464906134257" createdVersion="7" refreshedVersion="7" minRefreshableVersion="3" recordCount="9" xr:uid="{CF43E2E0-C409-4476-ABB1-8083E3FD0E53}">
  <cacheSource type="worksheet">
    <worksheetSource name="Query3"/>
  </cacheSource>
  <cacheFields count="1">
    <cacheField name="Unique_Jobrol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B" refreshedDate="45986.064774999999" createdVersion="7" refreshedVersion="7" minRefreshableVersion="3" recordCount="29" xr:uid="{D3B23DEA-7244-4899-B314-4A3E8E38E1B3}">
  <cacheSource type="worksheet">
    <worksheetSource name="Query29"/>
  </cacheSource>
  <cacheFields count="2">
    <cacheField name="correlation_distance_attrition" numFmtId="0">
      <sharedItems containsSemiMixedTypes="0" containsString="0" containsNumber="1" minValue="-0.46899999999999997" maxValue="1.3280000000000001"/>
    </cacheField>
    <cacheField name="Distance" numFmtId="0">
      <sharedItems containsSemiMixedTypes="0" containsString="0" containsNumber="1" containsInteger="1" minValue="1" maxValue="29" count="29">
        <n v="1"/>
        <n v="8"/>
        <n v="2"/>
        <n v="3"/>
        <n v="24"/>
        <n v="23"/>
        <n v="27"/>
        <n v="16"/>
        <n v="15"/>
        <n v="26"/>
        <n v="19"/>
        <n v="21"/>
        <n v="5"/>
        <n v="11"/>
        <n v="9"/>
        <n v="7"/>
        <n v="6"/>
        <n v="10"/>
        <n v="4"/>
        <n v="25"/>
        <n v="12"/>
        <n v="18"/>
        <n v="29"/>
        <n v="22"/>
        <n v="14"/>
        <n v="20"/>
        <n v="28"/>
        <n v="17"/>
        <n v="13"/>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B" refreshedDate="45989.721022916667" createdVersion="7" refreshedVersion="7" minRefreshableVersion="3" recordCount="2" xr:uid="{9B882656-7458-40E1-B239-DFE287F9FA02}">
  <cacheSource type="worksheet">
    <worksheetSource name="Query26"/>
  </cacheSource>
  <cacheFields count="4">
    <cacheField name="PerformanceRating" numFmtId="0">
      <sharedItems containsSemiMixedTypes="0" containsString="0" containsNumber="1" containsInteger="1" minValue="3" maxValue="4"/>
    </cacheField>
    <cacheField name="Total_employees" numFmtId="0">
      <sharedItems containsSemiMixedTypes="0" containsString="0" containsNumber="1" containsInteger="1" minValue="37" maxValue="200"/>
    </cacheField>
    <cacheField name="Attrition_rate" numFmtId="0">
      <sharedItems containsSemiMixedTypes="0" containsString="0" containsNumber="1" containsInteger="1" minValue="100" maxValue="100"/>
    </cacheField>
    <cacheField name="PerformanceRating2" numFmtId="0">
      <sharedItems count="2">
        <s v="Excellent"/>
        <s v="Outstanding"/>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B" refreshedDate="45989.721023148151" createdVersion="7" refreshedVersion="7" minRefreshableVersion="3" recordCount="29" xr:uid="{A5A6C01F-90CF-4AEA-872D-8924BC3AF992}">
  <cacheSource type="worksheet">
    <worksheetSource name="Query25"/>
  </cacheSource>
  <cacheFields count="3">
    <cacheField name="AvgMonthly" numFmtId="0">
      <sharedItems containsSemiMixedTypes="0" containsString="0" containsNumber="1" minValue="2429.8000000000002" maxValue="7569"/>
    </cacheField>
    <cacheField name="total_employees" numFmtId="0">
      <sharedItems containsSemiMixedTypes="0" containsString="0" containsNumber="1" containsInteger="1" minValue="2" maxValue="28"/>
    </cacheField>
    <cacheField name="DistanceStatus" numFmtId="0">
      <sharedItems containsBlank="1" count="4">
        <s v="Near"/>
        <s v="Far"/>
        <s v="Very Far"/>
        <m/>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B" refreshedDate="45989.721023379629" createdVersion="7" refreshedVersion="7" minRefreshableVersion="3" recordCount="5" xr:uid="{23B38E77-B656-47C3-A338-65BF4915E0F6}">
  <cacheSource type="worksheet">
    <worksheetSource name="Query24"/>
  </cacheSource>
  <cacheFields count="3">
    <cacheField name="AVG(MonthlyIncome)" numFmtId="0">
      <sharedItems containsSemiMixedTypes="0" containsString="0" containsNumber="1" minValue="4282.5455000000002" maxValue="5850.2"/>
    </cacheField>
    <cacheField name="total" numFmtId="0">
      <sharedItems containsSemiMixedTypes="0" containsString="0" containsNumber="1" containsInteger="1" minValue="5" maxValue="99"/>
    </cacheField>
    <cacheField name="Education_Level" numFmtId="0">
      <sharedItems count="5">
        <s v="Below College"/>
        <s v="College"/>
        <s v="Bachelor's"/>
        <s v="Master's"/>
        <s v="Doctorate"/>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B" refreshedDate="45989.721023726852" createdVersion="7" refreshedVersion="7" minRefreshableVersion="3" recordCount="85" xr:uid="{72F5F10F-765C-4963-BB52-0BF5F96E8B99}">
  <cacheSource type="worksheet">
    <worksheetSource name="Query23"/>
  </cacheSource>
  <cacheFields count="4">
    <cacheField name="Age" numFmtId="0">
      <sharedItems containsSemiMixedTypes="0" containsString="0" containsNumber="1" containsInteger="1" minValue="18" maxValue="60"/>
    </cacheField>
    <cacheField name="Gender" numFmtId="0">
      <sharedItems count="2">
        <s v="Female"/>
        <s v="Male"/>
      </sharedItems>
    </cacheField>
    <cacheField name="total_employees" numFmtId="0">
      <sharedItems containsSemiMixedTypes="0" containsString="0" containsNumber="1" containsInteger="1" minValue="1" maxValue="51"/>
    </cacheField>
    <cacheField name="AgeGroup" numFmtId="0">
      <sharedItems count="5">
        <s v="18-27"/>
        <s v="28-37"/>
        <s v="38-47"/>
        <s v="48-57"/>
        <s v="58-67"/>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B" refreshedDate="45989.721099884257" createdVersion="7" refreshedVersion="7" minRefreshableVersion="3" recordCount="14" xr:uid="{76BAB1CF-810B-4D9B-88E7-989327288F9B}">
  <cacheSource type="worksheet">
    <worksheetSource name="Query22"/>
  </cacheSource>
  <cacheFields count="4">
    <cacheField name="Attrition" numFmtId="0">
      <sharedItems/>
    </cacheField>
    <cacheField name="YearsSinceLastPromotion" numFmtId="0">
      <sharedItems containsSemiMixedTypes="0" containsString="0" containsNumber="1" containsInteger="1" minValue="0" maxValue="15"/>
    </cacheField>
    <cacheField name="PromotionGroup" numFmtId="0">
      <sharedItems count="4">
        <s v="Less 1yrs"/>
        <s v="1-5yrs"/>
        <s v="6-10yrs"/>
        <s v="11-15yrs"/>
      </sharedItems>
    </cacheField>
    <cacheField name="total" numFmtId="0">
      <sharedItems containsSemiMixedTypes="0" containsString="0" containsNumber="1" containsInteger="1" minValue="1" maxValue="110"/>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B" refreshedDate="45989.721100694442" createdVersion="7" refreshedVersion="7" minRefreshableVersion="3" recordCount="8" xr:uid="{7D0D11F7-893F-44A2-B6E4-5802E9FA8E5F}">
  <cacheSource type="worksheet">
    <worksheetSource name="Query20"/>
  </cacheSource>
  <cacheFields count="4">
    <cacheField name="Attrition" numFmtId="0">
      <sharedItems count="2">
        <s v="No"/>
        <s v="Yes"/>
      </sharedItems>
    </cacheField>
    <cacheField name="WorkLifeBalance" numFmtId="0">
      <sharedItems containsSemiMixedTypes="0" containsString="0" containsNumber="1" containsInteger="1" minValue="1" maxValue="4"/>
    </cacheField>
    <cacheField name="total" numFmtId="0">
      <sharedItems containsSemiMixedTypes="0" containsString="0" containsNumber="1" containsInteger="1" minValue="25" maxValue="766"/>
    </cacheField>
    <cacheField name="WorkLife" numFmtId="0">
      <sharedItems count="4">
        <s v="Poor"/>
        <s v="Fair"/>
        <s v="Good"/>
        <s v="Excellent"/>
      </sharedItems>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B" refreshedDate="45989.721101504627" createdVersion="7" refreshedVersion="7" minRefreshableVersion="3" recordCount="4" xr:uid="{01D7E8ED-D102-4CE5-8F17-7776D0B4372F}">
  <cacheSource type="worksheet">
    <worksheetSource name="Query19"/>
  </cacheSource>
  <cacheFields count="3">
    <cacheField name="OverTime" numFmtId="0">
      <sharedItems count="2">
        <s v="No"/>
        <s v="Yes"/>
      </sharedItems>
    </cacheField>
    <cacheField name="Attrition" numFmtId="0">
      <sharedItems count="2">
        <s v="No"/>
        <s v="Yes"/>
      </sharedItems>
    </cacheField>
    <cacheField name="total" numFmtId="0">
      <sharedItems containsSemiMixedTypes="0" containsString="0" containsNumber="1" containsInteger="1" minValue="110" maxValue="944"/>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B" refreshedDate="45989.721101967596" createdVersion="7" refreshedVersion="7" minRefreshableVersion="3" recordCount="6" xr:uid="{2CF0C51D-E631-48F5-8601-28AEE3842B87}">
  <cacheSource type="worksheet">
    <worksheetSource name="Query18"/>
  </cacheSource>
  <cacheFields count="4">
    <cacheField name="MaritalStatus" numFmtId="0">
      <sharedItems count="3">
        <s v="Divorced"/>
        <s v="Married"/>
        <s v="Single"/>
      </sharedItems>
    </cacheField>
    <cacheField name="Attrition" numFmtId="0">
      <sharedItems count="2">
        <s v="No"/>
        <s v="Yes"/>
      </sharedItems>
    </cacheField>
    <cacheField name="Avg(MonthlyIncome)" numFmtId="0">
      <sharedItems containsSemiMixedTypes="0" containsString="0" containsNumber="1" minValue="4245.6970000000001" maxValue="7071.4557999999997"/>
    </cacheField>
    <cacheField name="total" numFmtId="0">
      <sharedItems containsSemiMixedTypes="0" containsString="0" containsNumber="1" containsInteger="1" minValue="33" maxValue="589"/>
    </cacheField>
  </cacheFields>
  <extLst>
    <ext xmlns:x14="http://schemas.microsoft.com/office/spreadsheetml/2009/9/main" uri="{725AE2AE-9491-48be-B2B4-4EB974FC3084}">
      <x14:pivotCacheDefinition pivotCacheId="1041502939"/>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B" refreshedDate="45989.721102777781" createdVersion="7" refreshedVersion="7" minRefreshableVersion="3" recordCount="6" xr:uid="{15A56528-74FC-4EF6-A9C5-5A2678C67234}">
  <cacheSource type="worksheet">
    <worksheetSource name="Query17"/>
  </cacheSource>
  <cacheFields count="3">
    <cacheField name="Department" numFmtId="0">
      <sharedItems count="3">
        <s v="Human Resources"/>
        <s v="Research &amp; Development"/>
        <s v="Sales"/>
      </sharedItems>
    </cacheField>
    <cacheField name="Attrition" numFmtId="0">
      <sharedItems count="2">
        <s v="No"/>
        <s v="Yes"/>
      </sharedItems>
    </cacheField>
    <cacheField name="Total_employees" numFmtId="0">
      <sharedItems containsSemiMixedTypes="0" containsString="0" containsNumber="1" containsInteger="1" minValue="12" maxValue="828"/>
    </cacheField>
  </cacheFields>
  <extLst>
    <ext xmlns:x14="http://schemas.microsoft.com/office/spreadsheetml/2009/9/main" uri="{725AE2AE-9491-48be-B2B4-4EB974FC3084}">
      <x14:pivotCacheDefinition pivotCacheId="1596237885"/>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B" refreshedDate="45989.721103703705" createdVersion="7" refreshedVersion="7" minRefreshableVersion="3" recordCount="1" xr:uid="{D1101358-31CF-4DA0-8987-4204FA449085}">
  <cacheSource type="worksheet">
    <worksheetSource name="Query15"/>
  </cacheSource>
  <cacheFields count="1">
    <cacheField name="Average_Income" numFmtId="0">
      <sharedItems containsSemiMixedTypes="0" containsString="0" containsNumber="1" minValue="4787.0928000000004" maxValue="4787.0928000000004"/>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B" refreshedDate="45989.721104050928" createdVersion="7" refreshedVersion="7" minRefreshableVersion="3" recordCount="1" xr:uid="{CD975D18-C6F1-431E-84FD-DF332ED2E156}">
  <cacheSource type="worksheet">
    <worksheetSource ref="C1:C2" sheet="Attrition rate"/>
  </cacheSource>
  <cacheFields count="1">
    <cacheField name="Attrition Rate" numFmtId="9">
      <sharedItems containsSemiMixedTypes="0" containsString="0" containsNumber="1" minValue="0.16120000000000001" maxValue="0.16120000000000001"/>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B" refreshedDate="45989.721104166667" createdVersion="7" refreshedVersion="7" minRefreshableVersion="3" recordCount="5" xr:uid="{BD564005-2514-4F5A-8214-7C7D5708FA7F}">
  <cacheSource type="worksheet">
    <worksheetSource name="Query11"/>
  </cacheSource>
  <cacheFields count="3">
    <cacheField name="AVG(MonthlyIncome)" numFmtId="0">
      <sharedItems containsSemiMixedTypes="0" containsString="0" containsNumber="1" minValue="4282.5455000000002" maxValue="5850.2"/>
    </cacheField>
    <cacheField name="total" numFmtId="0">
      <sharedItems containsSemiMixedTypes="0" containsString="0" containsNumber="1" containsInteger="1" minValue="5" maxValue="99"/>
    </cacheField>
    <cacheField name="Education_Level" numFmtId="0">
      <sharedItems count="5">
        <s v="Level 1"/>
        <s v="Level 2"/>
        <s v="Level 3"/>
        <s v="Level 4"/>
        <s v="Level 5"/>
      </sharedItems>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B" refreshedDate="45989.72110451389" createdVersion="7" refreshedVersion="7" minRefreshableVersion="3" recordCount="18" xr:uid="{72736D60-CF8D-4D0E-8F3A-D60E5FD32B7B}">
  <cacheSource type="worksheet">
    <worksheetSource name="Query10"/>
  </cacheSource>
  <cacheFields count="6">
    <cacheField name="Attrition" numFmtId="0">
      <sharedItems count="2">
        <s v="No"/>
        <s v="Yes"/>
      </sharedItems>
    </cacheField>
    <cacheField name="JobRole" numFmtId="0">
      <sharedItems count="9">
        <s v="Healthcare Representative"/>
        <s v="Human Resources"/>
        <s v="Laboratory Technician"/>
        <s v="Manager"/>
        <s v="Manufacturing Director"/>
        <s v="Research Director"/>
        <s v="Research Scientist"/>
        <s v="Sales Executive"/>
        <s v="Sales Representative"/>
      </sharedItems>
    </cacheField>
    <cacheField name="avg_distance" numFmtId="0">
      <sharedItems containsSemiMixedTypes="0" containsString="0" containsNumber="1" containsInteger="1" minValue="7" maxValue="18"/>
    </cacheField>
    <cacheField name="highest_distance" numFmtId="0">
      <sharedItems containsSemiMixedTypes="0" containsString="0" containsNumber="1" containsInteger="1" minValue="12" maxValue="29"/>
    </cacheField>
    <cacheField name="lowest_distance" numFmtId="0">
      <sharedItems containsSemiMixedTypes="0" containsString="0" containsNumber="1" containsInteger="1" minValue="1" maxValue="2"/>
    </cacheField>
    <cacheField name="total_disatance" numFmtId="0">
      <sharedItems containsSemiMixedTypes="0" containsString="0" containsNumber="1" containsInteger="1" minValue="2" maxValue="269"/>
    </cacheField>
  </cacheFields>
  <extLst>
    <ext xmlns:x14="http://schemas.microsoft.com/office/spreadsheetml/2009/9/main" uri="{725AE2AE-9491-48be-B2B4-4EB974FC3084}">
      <x14:pivotCacheDefinition pivotCacheId="862228755"/>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B" refreshedDate="45989.721104629629" createdVersion="7" refreshedVersion="7" minRefreshableVersion="3" recordCount="4" xr:uid="{E2E8FF7C-7F38-425E-B0ED-0901E1DB7D87}">
  <cacheSource type="worksheet">
    <worksheetSource name="Query9"/>
  </cacheSource>
  <cacheFields count="3">
    <cacheField name="tenure_group" numFmtId="0">
      <sharedItems count="4">
        <s v="0-2 Years"/>
        <s v="3-5 Years"/>
        <s v="6-10 Years"/>
        <s v="10+ Years"/>
      </sharedItems>
    </cacheField>
    <cacheField name="Attrition" numFmtId="0">
      <sharedItems count="1">
        <s v="Yes"/>
      </sharedItems>
    </cacheField>
    <cacheField name="total" numFmtId="0">
      <sharedItems containsSemiMixedTypes="0" containsString="0" containsNumber="1" containsInteger="1" minValue="20" maxValue="102"/>
    </cacheField>
  </cacheFields>
  <extLst>
    <ext xmlns:x14="http://schemas.microsoft.com/office/spreadsheetml/2009/9/main" uri="{725AE2AE-9491-48be-B2B4-4EB974FC3084}">
      <x14:pivotCacheDefinition/>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B" refreshedDate="45989.721105092591" createdVersion="7" refreshedVersion="7" minRefreshableVersion="3" recordCount="4" xr:uid="{89D72862-1137-4D92-9B29-E2F5595800DD}">
  <cacheSource type="worksheet">
    <worksheetSource name="Query8"/>
  </cacheSource>
  <cacheFields count="3">
    <cacheField name="Attrition" numFmtId="0">
      <sharedItems count="1">
        <s v="Yes"/>
      </sharedItems>
    </cacheField>
    <cacheField name="total" numFmtId="0">
      <sharedItems containsSemiMixedTypes="0" containsString="0" containsNumber="1" containsInteger="1" minValue="46" maxValue="73"/>
    </cacheField>
    <cacheField name="Job_Satisfication" numFmtId="0">
      <sharedItems count="3">
        <s v="fair"/>
        <s v="Good"/>
        <s v="Excellent"/>
      </sharedItems>
    </cacheField>
  </cacheFields>
  <extLst>
    <ext xmlns:x14="http://schemas.microsoft.com/office/spreadsheetml/2009/9/main" uri="{725AE2AE-9491-48be-B2B4-4EB974FC3084}">
      <x14:pivotCacheDefinition/>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B" refreshedDate="45989.721105324075" createdVersion="7" refreshedVersion="7" minRefreshableVersion="3" recordCount="4" xr:uid="{1DCB9529-8110-4734-A153-40E0833788E6}">
  <cacheSource type="worksheet">
    <worksheetSource name="Query7"/>
  </cacheSource>
  <cacheFields count="3">
    <cacheField name="Attrition" numFmtId="0">
      <sharedItems count="1">
        <s v="Yes"/>
      </sharedItems>
    </cacheField>
    <cacheField name="WorkLifeBalance" numFmtId="0">
      <sharedItems containsSemiMixedTypes="0" containsString="0" containsNumber="1" containsInteger="1" minValue="1" maxValue="4" count="4">
        <n v="1"/>
        <n v="2"/>
        <n v="3"/>
        <n v="4"/>
      </sharedItems>
    </cacheField>
    <cacheField name="total" numFmtId="0">
      <sharedItems containsSemiMixedTypes="0" containsString="0" containsNumber="1" containsInteger="1" minValue="25" maxValue="127"/>
    </cacheField>
  </cacheFields>
  <extLst>
    <ext xmlns:x14="http://schemas.microsoft.com/office/spreadsheetml/2009/9/main" uri="{725AE2AE-9491-48be-B2B4-4EB974FC3084}">
      <x14:pivotCacheDefinition/>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B" refreshedDate="45989.721105671299" createdVersion="7" refreshedVersion="7" minRefreshableVersion="3" recordCount="4" xr:uid="{796B74D4-4F1D-47E3-8F56-C3DB8BB135DE}">
  <cacheSource type="worksheet">
    <worksheetSource name="Query5"/>
  </cacheSource>
  <cacheFields count="3">
    <cacheField name="Gender" numFmtId="0">
      <sharedItems count="2">
        <s v="Female"/>
        <s v="Male"/>
      </sharedItems>
    </cacheField>
    <cacheField name="Attrition" numFmtId="0">
      <sharedItems count="2">
        <s v="No"/>
        <s v="Yes"/>
      </sharedItems>
    </cacheField>
    <cacheField name="total" numFmtId="0">
      <sharedItems containsSemiMixedTypes="0" containsString="0" containsNumber="1" containsInteger="1" minValue="87" maxValue="732"/>
    </cacheField>
  </cacheFields>
  <extLst>
    <ext xmlns:x14="http://schemas.microsoft.com/office/spreadsheetml/2009/9/main" uri="{725AE2AE-9491-48be-B2B4-4EB974FC3084}">
      <x14:pivotCacheDefinition pivotCacheId="771934600"/>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B" refreshedDate="45989.721106249999" createdVersion="7" refreshedVersion="7" minRefreshableVersion="3" recordCount="2" xr:uid="{5DB9518D-F6E6-4418-90BA-6C71D5B737E5}">
  <cacheSource type="worksheet">
    <worksheetSource name="Query4"/>
  </cacheSource>
  <cacheFields count="2">
    <cacheField name="Attrition" numFmtId="0">
      <sharedItems count="2">
        <s v="Yes"/>
        <s v="No"/>
      </sharedItems>
    </cacheField>
    <cacheField name="total_num_employees" numFmtId="0">
      <sharedItems containsSemiMixedTypes="0" containsString="0" containsNumber="1" containsInteger="1" minValue="237" maxValue="1233"/>
    </cacheField>
  </cacheFields>
  <extLst>
    <ext xmlns:x14="http://schemas.microsoft.com/office/spreadsheetml/2009/9/main" uri="{725AE2AE-9491-48be-B2B4-4EB974FC3084}">
      <x14:pivotCacheDefinition/>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B" refreshedDate="45989.721106597222" createdVersion="7" refreshedVersion="7" minRefreshableVersion="3" recordCount="1" xr:uid="{5274BDD2-F83D-4D0E-8455-C1E74822AAF1}">
  <cacheSource type="worksheet">
    <worksheetSource name="Query2"/>
  </cacheSource>
  <cacheFields count="1">
    <cacheField name="Total_Income" numFmtId="1">
      <sharedItems containsSemiMixedTypes="0" containsString="0" containsNumber="1" minValue="6502.9313000000002" maxValue="6502.9313000000002"/>
    </cacheField>
  </cacheFields>
  <extLst>
    <ext xmlns:x14="http://schemas.microsoft.com/office/spreadsheetml/2009/9/main" uri="{725AE2AE-9491-48be-B2B4-4EB974FC3084}">
      <x14:pivotCacheDefinition/>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B" refreshedDate="45989.721106828707" createdVersion="7" refreshedVersion="7" minRefreshableVersion="3" recordCount="1" xr:uid="{167DCF35-45E3-48C9-9628-594700D4550B}">
  <cacheSource type="worksheet">
    <worksheetSource name="Query1"/>
  </cacheSource>
  <cacheFields count="1">
    <cacheField name="total_number_of_Employees" numFmtId="0">
      <sharedItems containsSemiMixedTypes="0" containsString="0" containsNumber="1" containsInteger="1" minValue="1470" maxValue="1470"/>
    </cacheField>
  </cacheFields>
  <extLst>
    <ext xmlns:x14="http://schemas.microsoft.com/office/spreadsheetml/2009/9/main" uri="{725AE2AE-9491-48be-B2B4-4EB974FC3084}">
      <x14:pivotCacheDefinition/>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B" refreshedDate="45989.721634027781" createdVersion="7" refreshedVersion="7" minRefreshableVersion="3" recordCount="112" xr:uid="{FEC0A198-F92C-444E-91AF-C33F757061E1}">
  <cacheSource type="worksheet">
    <worksheetSource name="Query31"/>
  </cacheSource>
  <cacheFields count="4">
    <cacheField name="JobRole" numFmtId="0">
      <sharedItems count="9">
        <s v="Healthcare Representative"/>
        <s v="Human Resources"/>
        <s v="Laboratory Technician"/>
        <s v="Manager"/>
        <s v="Manufacturing Director"/>
        <s v="Research Director"/>
        <s v="Research Scientist"/>
        <s v="Sales Executive"/>
        <s v="Sales Representative"/>
      </sharedItems>
    </cacheField>
    <cacheField name="Distance" numFmtId="0">
      <sharedItems containsSemiMixedTypes="0" containsString="0" containsNumber="1" containsInteger="1" minValue="1" maxValue="29"/>
    </cacheField>
    <cacheField name="total_employee" numFmtId="0">
      <sharedItems containsSemiMixedTypes="0" containsString="0" containsNumber="1" containsInteger="1" minValue="1" maxValue="11"/>
    </cacheField>
    <cacheField name="DistanceStatus" numFmtId="0">
      <sharedItems count="3">
        <s v="Very Far"/>
        <s v="Far"/>
        <s v="Near"/>
      </sharedItems>
    </cacheField>
  </cacheFields>
  <extLst>
    <ext xmlns:x14="http://schemas.microsoft.com/office/spreadsheetml/2009/9/main" uri="{725AE2AE-9491-48be-B2B4-4EB974FC3084}">
      <x14:pivotCacheDefinition pivotCacheId="88164588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B" refreshedDate="45989.750406018517" createdVersion="7" refreshedVersion="7" minRefreshableVersion="3" recordCount="1" xr:uid="{29D1B416-14C3-4BD5-8509-512842D2874C}">
  <cacheSource type="worksheet">
    <worksheetSource ref="E1:E2" sheet="retention rate"/>
  </cacheSource>
  <cacheFields count="1">
    <cacheField name="Retention Rate" numFmtId="9">
      <sharedItems containsSemiMixedTypes="0" containsString="0" containsNumber="1" minValue="0.83879999999999999" maxValue="0.838799999999999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Sales Executive"/>
  </r>
  <r>
    <s v="Research Scientist"/>
  </r>
  <r>
    <s v="Laboratory Technician"/>
  </r>
  <r>
    <s v="Manufacturing Director"/>
  </r>
  <r>
    <s v="Healthcare Representative"/>
  </r>
  <r>
    <s v="Manager"/>
  </r>
  <r>
    <s v="Sales Representative"/>
  </r>
  <r>
    <s v="Research Director"/>
  </r>
  <r>
    <s v="Human Resources"/>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n v="0.1"/>
    <x v="0"/>
  </r>
  <r>
    <n v="1.4E-2"/>
    <x v="1"/>
  </r>
  <r>
    <n v="6.9000000000000006E-2"/>
    <x v="2"/>
  </r>
  <r>
    <n v="-1.0999999999999999E-2"/>
    <x v="3"/>
  </r>
  <r>
    <n v="1.3280000000000001"/>
    <x v="4"/>
  </r>
  <r>
    <n v="0.111"/>
    <x v="5"/>
  </r>
  <r>
    <n v="0.53"/>
    <x v="6"/>
  </r>
  <r>
    <n v="0.13100000000000001"/>
    <x v="7"/>
  </r>
  <r>
    <n v="6.0999999999999999E-2"/>
    <x v="8"/>
  </r>
  <r>
    <n v="-0.23200000000000001"/>
    <x v="9"/>
  </r>
  <r>
    <n v="-8.2000000000000003E-2"/>
    <x v="10"/>
  </r>
  <r>
    <n v="2.1999999999999999E-2"/>
    <x v="11"/>
  </r>
  <r>
    <n v="0.01"/>
    <x v="12"/>
  </r>
  <r>
    <n v="-1.4E-2"/>
    <x v="13"/>
  </r>
  <r>
    <n v="-3.0000000000000001E-3"/>
    <x v="14"/>
  </r>
  <r>
    <n v="2.1999999999999999E-2"/>
    <x v="15"/>
  </r>
  <r>
    <n v="4.5999999999999999E-2"/>
    <x v="16"/>
  </r>
  <r>
    <n v="-8.9999999999999993E-3"/>
    <x v="17"/>
  </r>
  <r>
    <n v="3.5999999999999997E-2"/>
    <x v="18"/>
  </r>
  <r>
    <n v="0.41799999999999998"/>
    <x v="19"/>
  </r>
  <r>
    <n v="0.13100000000000001"/>
    <x v="20"/>
  </r>
  <r>
    <n v="-2.1999999999999999E-2"/>
    <x v="21"/>
  </r>
  <r>
    <n v="0.159"/>
    <x v="22"/>
  </r>
  <r>
    <n v="0.66400000000000003"/>
    <x v="23"/>
  </r>
  <r>
    <n v="4.7E-2"/>
    <x v="24"/>
  </r>
  <r>
    <n v="-4.0000000000000001E-3"/>
    <x v="25"/>
  </r>
  <r>
    <n v="-0.46899999999999997"/>
    <x v="26"/>
  </r>
  <r>
    <n v="0.23300000000000001"/>
    <x v="27"/>
  </r>
  <r>
    <n v="0.19700000000000001"/>
    <x v="28"/>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n v="3"/>
    <n v="200"/>
    <n v="100"/>
    <x v="0"/>
  </r>
  <r>
    <n v="4"/>
    <n v="37"/>
    <n v="100"/>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n v="4318.3077000000003"/>
    <n v="26"/>
    <x v="0"/>
  </r>
  <r>
    <n v="6099.0357000000004"/>
    <n v="28"/>
    <x v="0"/>
  </r>
  <r>
    <n v="3744.2856999999999"/>
    <n v="14"/>
    <x v="0"/>
  </r>
  <r>
    <n v="5607.6666999999998"/>
    <n v="9"/>
    <x v="0"/>
  </r>
  <r>
    <n v="3377.3"/>
    <n v="10"/>
    <x v="0"/>
  </r>
  <r>
    <n v="2926.7143000000001"/>
    <n v="7"/>
    <x v="0"/>
  </r>
  <r>
    <n v="3797.8182000000002"/>
    <n v="11"/>
    <x v="0"/>
  </r>
  <r>
    <n v="4156.3999999999996"/>
    <n v="10"/>
    <x v="0"/>
  </r>
  <r>
    <n v="4731.6111000000001"/>
    <n v="18"/>
    <x v="1"/>
  </r>
  <r>
    <n v="4321.6364000000003"/>
    <n v="11"/>
    <x v="1"/>
  </r>
  <r>
    <n v="4934.5"/>
    <n v="4"/>
    <x v="1"/>
  </r>
  <r>
    <n v="7524.6666999999998"/>
    <n v="6"/>
    <x v="1"/>
  </r>
  <r>
    <n v="7002.6666999999998"/>
    <n v="6"/>
    <x v="1"/>
  </r>
  <r>
    <n v="4673.75"/>
    <n v="4"/>
    <x v="1"/>
  </r>
  <r>
    <n v="6894.4"/>
    <n v="5"/>
    <x v="1"/>
  </r>
  <r>
    <n v="4770.1428999999998"/>
    <n v="7"/>
    <x v="1"/>
  </r>
  <r>
    <n v="2429.8000000000002"/>
    <n v="5"/>
    <x v="1"/>
  </r>
  <r>
    <n v="3163"/>
    <n v="4"/>
    <x v="1"/>
  </r>
  <r>
    <n v="3492"/>
    <n v="3"/>
    <x v="2"/>
  </r>
  <r>
    <n v="4917.75"/>
    <n v="4"/>
    <x v="2"/>
  </r>
  <r>
    <n v="4474.6666999999998"/>
    <n v="3"/>
    <x v="2"/>
  </r>
  <r>
    <n v="3464"/>
    <n v="6"/>
    <x v="2"/>
  </r>
  <r>
    <n v="7483.6"/>
    <n v="5"/>
    <x v="2"/>
  </r>
  <r>
    <n v="4511.25"/>
    <n v="12"/>
    <x v="2"/>
  </r>
  <r>
    <n v="3510.5"/>
    <n v="6"/>
    <x v="2"/>
  </r>
  <r>
    <n v="5533"/>
    <n v="3"/>
    <x v="2"/>
  </r>
  <r>
    <n v="6616.3333000000002"/>
    <n v="3"/>
    <x v="2"/>
  </r>
  <r>
    <n v="7569"/>
    <n v="2"/>
    <x v="2"/>
  </r>
  <r>
    <n v="6295.6"/>
    <n v="5"/>
    <x v="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n v="4360.1612999999998"/>
    <n v="31"/>
    <x v="0"/>
  </r>
  <r>
    <n v="4282.5455000000002"/>
    <n v="44"/>
    <x v="1"/>
  </r>
  <r>
    <n v="4770.2424000000001"/>
    <n v="99"/>
    <x v="2"/>
  </r>
  <r>
    <n v="5335.1552000000001"/>
    <n v="58"/>
    <x v="3"/>
  </r>
  <r>
    <n v="5850.2"/>
    <n v="5"/>
    <x v="4"/>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
  <r>
    <n v="23"/>
    <x v="0"/>
    <n v="1"/>
    <x v="0"/>
  </r>
  <r>
    <n v="20"/>
    <x v="0"/>
    <n v="6"/>
    <x v="0"/>
  </r>
  <r>
    <n v="22"/>
    <x v="0"/>
    <n v="5"/>
    <x v="0"/>
  </r>
  <r>
    <n v="19"/>
    <x v="0"/>
    <n v="4"/>
    <x v="0"/>
  </r>
  <r>
    <n v="24"/>
    <x v="0"/>
    <n v="11"/>
    <x v="0"/>
  </r>
  <r>
    <n v="25"/>
    <x v="0"/>
    <n v="6"/>
    <x v="0"/>
  </r>
  <r>
    <n v="18"/>
    <x v="0"/>
    <n v="4"/>
    <x v="0"/>
  </r>
  <r>
    <n v="27"/>
    <x v="0"/>
    <n v="22"/>
    <x v="0"/>
  </r>
  <r>
    <n v="21"/>
    <x v="0"/>
    <n v="6"/>
    <x v="0"/>
  </r>
  <r>
    <n v="26"/>
    <x v="0"/>
    <n v="14"/>
    <x v="0"/>
  </r>
  <r>
    <n v="27"/>
    <x v="1"/>
    <n v="26"/>
    <x v="0"/>
  </r>
  <r>
    <n v="22"/>
    <x v="1"/>
    <n v="11"/>
    <x v="0"/>
  </r>
  <r>
    <n v="21"/>
    <x v="1"/>
    <n v="7"/>
    <x v="0"/>
  </r>
  <r>
    <n v="24"/>
    <x v="1"/>
    <n v="15"/>
    <x v="0"/>
  </r>
  <r>
    <n v="26"/>
    <x v="1"/>
    <n v="25"/>
    <x v="0"/>
  </r>
  <r>
    <n v="19"/>
    <x v="1"/>
    <n v="5"/>
    <x v="0"/>
  </r>
  <r>
    <n v="18"/>
    <x v="1"/>
    <n v="4"/>
    <x v="0"/>
  </r>
  <r>
    <n v="25"/>
    <x v="1"/>
    <n v="20"/>
    <x v="0"/>
  </r>
  <r>
    <n v="23"/>
    <x v="1"/>
    <n v="13"/>
    <x v="0"/>
  </r>
  <r>
    <n v="20"/>
    <x v="1"/>
    <n v="5"/>
    <x v="0"/>
  </r>
  <r>
    <n v="31"/>
    <x v="0"/>
    <n v="28"/>
    <x v="1"/>
  </r>
  <r>
    <n v="33"/>
    <x v="0"/>
    <n v="24"/>
    <x v="1"/>
  </r>
  <r>
    <n v="32"/>
    <x v="0"/>
    <n v="23"/>
    <x v="1"/>
  </r>
  <r>
    <n v="29"/>
    <x v="0"/>
    <n v="29"/>
    <x v="1"/>
  </r>
  <r>
    <n v="34"/>
    <x v="0"/>
    <n v="33"/>
    <x v="1"/>
  </r>
  <r>
    <n v="28"/>
    <x v="0"/>
    <n v="12"/>
    <x v="1"/>
  </r>
  <r>
    <n v="37"/>
    <x v="0"/>
    <n v="18"/>
    <x v="1"/>
  </r>
  <r>
    <n v="35"/>
    <x v="0"/>
    <n v="27"/>
    <x v="1"/>
  </r>
  <r>
    <n v="36"/>
    <x v="0"/>
    <n v="29"/>
    <x v="1"/>
  </r>
  <r>
    <n v="30"/>
    <x v="0"/>
    <n v="26"/>
    <x v="1"/>
  </r>
  <r>
    <n v="37"/>
    <x v="1"/>
    <n v="32"/>
    <x v="1"/>
  </r>
  <r>
    <n v="32"/>
    <x v="1"/>
    <n v="38"/>
    <x v="1"/>
  </r>
  <r>
    <n v="30"/>
    <x v="1"/>
    <n v="34"/>
    <x v="1"/>
  </r>
  <r>
    <n v="36"/>
    <x v="1"/>
    <n v="40"/>
    <x v="1"/>
  </r>
  <r>
    <n v="31"/>
    <x v="1"/>
    <n v="41"/>
    <x v="1"/>
  </r>
  <r>
    <n v="34"/>
    <x v="1"/>
    <n v="44"/>
    <x v="1"/>
  </r>
  <r>
    <n v="28"/>
    <x v="1"/>
    <n v="36"/>
    <x v="1"/>
  </r>
  <r>
    <n v="35"/>
    <x v="1"/>
    <n v="51"/>
    <x v="1"/>
  </r>
  <r>
    <n v="33"/>
    <x v="1"/>
    <n v="34"/>
    <x v="1"/>
  </r>
  <r>
    <n v="29"/>
    <x v="1"/>
    <n v="39"/>
    <x v="1"/>
  </r>
  <r>
    <n v="41"/>
    <x v="0"/>
    <n v="15"/>
    <x v="2"/>
  </r>
  <r>
    <n v="39"/>
    <x v="0"/>
    <n v="16"/>
    <x v="2"/>
  </r>
  <r>
    <n v="40"/>
    <x v="0"/>
    <n v="24"/>
    <x v="2"/>
  </r>
  <r>
    <n v="45"/>
    <x v="0"/>
    <n v="17"/>
    <x v="2"/>
  </r>
  <r>
    <n v="44"/>
    <x v="0"/>
    <n v="10"/>
    <x v="2"/>
  </r>
  <r>
    <n v="46"/>
    <x v="0"/>
    <n v="15"/>
    <x v="2"/>
  </r>
  <r>
    <n v="42"/>
    <x v="0"/>
    <n v="16"/>
    <x v="2"/>
  </r>
  <r>
    <n v="43"/>
    <x v="0"/>
    <n v="14"/>
    <x v="2"/>
  </r>
  <r>
    <n v="38"/>
    <x v="0"/>
    <n v="27"/>
    <x v="2"/>
  </r>
  <r>
    <n v="47"/>
    <x v="0"/>
    <n v="14"/>
    <x v="2"/>
  </r>
  <r>
    <n v="38"/>
    <x v="1"/>
    <n v="31"/>
    <x v="2"/>
  </r>
  <r>
    <n v="42"/>
    <x v="1"/>
    <n v="30"/>
    <x v="2"/>
  </r>
  <r>
    <n v="44"/>
    <x v="1"/>
    <n v="23"/>
    <x v="2"/>
  </r>
  <r>
    <n v="39"/>
    <x v="1"/>
    <n v="26"/>
    <x v="2"/>
  </r>
  <r>
    <n v="46"/>
    <x v="1"/>
    <n v="18"/>
    <x v="2"/>
  </r>
  <r>
    <n v="45"/>
    <x v="1"/>
    <n v="24"/>
    <x v="2"/>
  </r>
  <r>
    <n v="43"/>
    <x v="1"/>
    <n v="18"/>
    <x v="2"/>
  </r>
  <r>
    <n v="40"/>
    <x v="1"/>
    <n v="33"/>
    <x v="2"/>
  </r>
  <r>
    <n v="47"/>
    <x v="1"/>
    <n v="10"/>
    <x v="2"/>
  </r>
  <r>
    <n v="41"/>
    <x v="1"/>
    <n v="25"/>
    <x v="2"/>
  </r>
  <r>
    <n v="54"/>
    <x v="0"/>
    <n v="15"/>
    <x v="3"/>
  </r>
  <r>
    <n v="51"/>
    <x v="0"/>
    <n v="7"/>
    <x v="3"/>
  </r>
  <r>
    <n v="56"/>
    <x v="0"/>
    <n v="7"/>
    <x v="3"/>
  </r>
  <r>
    <n v="49"/>
    <x v="0"/>
    <n v="12"/>
    <x v="3"/>
  </r>
  <r>
    <n v="53"/>
    <x v="0"/>
    <n v="10"/>
    <x v="3"/>
  </r>
  <r>
    <n v="52"/>
    <x v="0"/>
    <n v="7"/>
    <x v="3"/>
  </r>
  <r>
    <n v="48"/>
    <x v="0"/>
    <n v="7"/>
    <x v="3"/>
  </r>
  <r>
    <n v="50"/>
    <x v="0"/>
    <n v="9"/>
    <x v="3"/>
  </r>
  <r>
    <n v="55"/>
    <x v="0"/>
    <n v="4"/>
    <x v="3"/>
  </r>
  <r>
    <n v="49"/>
    <x v="1"/>
    <n v="12"/>
    <x v="3"/>
  </r>
  <r>
    <n v="50"/>
    <x v="1"/>
    <n v="21"/>
    <x v="3"/>
  </r>
  <r>
    <n v="48"/>
    <x v="1"/>
    <n v="12"/>
    <x v="3"/>
  </r>
  <r>
    <n v="57"/>
    <x v="1"/>
    <n v="4"/>
    <x v="3"/>
  </r>
  <r>
    <n v="52"/>
    <x v="1"/>
    <n v="11"/>
    <x v="3"/>
  </r>
  <r>
    <n v="55"/>
    <x v="1"/>
    <n v="18"/>
    <x v="3"/>
  </r>
  <r>
    <n v="56"/>
    <x v="1"/>
    <n v="7"/>
    <x v="3"/>
  </r>
  <r>
    <n v="54"/>
    <x v="1"/>
    <n v="3"/>
    <x v="3"/>
  </r>
  <r>
    <n v="51"/>
    <x v="1"/>
    <n v="12"/>
    <x v="3"/>
  </r>
  <r>
    <n v="53"/>
    <x v="1"/>
    <n v="9"/>
    <x v="3"/>
  </r>
  <r>
    <n v="59"/>
    <x v="0"/>
    <n v="6"/>
    <x v="4"/>
  </r>
  <r>
    <n v="58"/>
    <x v="0"/>
    <n v="6"/>
    <x v="4"/>
  </r>
  <r>
    <n v="60"/>
    <x v="0"/>
    <n v="2"/>
    <x v="4"/>
  </r>
  <r>
    <n v="59"/>
    <x v="1"/>
    <n v="4"/>
    <x v="4"/>
  </r>
  <r>
    <n v="58"/>
    <x v="1"/>
    <n v="8"/>
    <x v="4"/>
  </r>
  <r>
    <n v="60"/>
    <x v="1"/>
    <n v="3"/>
    <x v="4"/>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s v="Yes"/>
    <n v="0"/>
    <x v="0"/>
    <n v="110"/>
  </r>
  <r>
    <s v="Yes"/>
    <n v="1"/>
    <x v="0"/>
    <n v="49"/>
  </r>
  <r>
    <s v="Yes"/>
    <n v="2"/>
    <x v="1"/>
    <n v="27"/>
  </r>
  <r>
    <s v="Yes"/>
    <n v="3"/>
    <x v="1"/>
    <n v="9"/>
  </r>
  <r>
    <s v="Yes"/>
    <n v="4"/>
    <x v="1"/>
    <n v="5"/>
  </r>
  <r>
    <s v="Yes"/>
    <n v="5"/>
    <x v="1"/>
    <n v="2"/>
  </r>
  <r>
    <s v="Yes"/>
    <n v="6"/>
    <x v="2"/>
    <n v="6"/>
  </r>
  <r>
    <s v="Yes"/>
    <n v="7"/>
    <x v="2"/>
    <n v="16"/>
  </r>
  <r>
    <s v="Yes"/>
    <n v="9"/>
    <x v="2"/>
    <n v="4"/>
  </r>
  <r>
    <s v="Yes"/>
    <n v="10"/>
    <x v="2"/>
    <n v="1"/>
  </r>
  <r>
    <s v="Yes"/>
    <n v="11"/>
    <x v="3"/>
    <n v="2"/>
  </r>
  <r>
    <s v="Yes"/>
    <n v="13"/>
    <x v="3"/>
    <n v="2"/>
  </r>
  <r>
    <s v="Yes"/>
    <n v="14"/>
    <x v="3"/>
    <n v="1"/>
  </r>
  <r>
    <s v="Yes"/>
    <n v="15"/>
    <x v="3"/>
    <n v="3"/>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1"/>
    <n v="55"/>
    <x v="0"/>
  </r>
  <r>
    <x v="1"/>
    <n v="1"/>
    <n v="25"/>
    <x v="0"/>
  </r>
  <r>
    <x v="0"/>
    <n v="2"/>
    <n v="286"/>
    <x v="1"/>
  </r>
  <r>
    <x v="1"/>
    <n v="2"/>
    <n v="58"/>
    <x v="1"/>
  </r>
  <r>
    <x v="0"/>
    <n v="3"/>
    <n v="766"/>
    <x v="2"/>
  </r>
  <r>
    <x v="1"/>
    <n v="3"/>
    <n v="127"/>
    <x v="2"/>
  </r>
  <r>
    <x v="0"/>
    <n v="4"/>
    <n v="126"/>
    <x v="3"/>
  </r>
  <r>
    <x v="1"/>
    <n v="4"/>
    <n v="27"/>
    <x v="3"/>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n v="944"/>
  </r>
  <r>
    <x v="0"/>
    <x v="1"/>
    <n v="110"/>
  </r>
  <r>
    <x v="1"/>
    <x v="0"/>
    <n v="289"/>
  </r>
  <r>
    <x v="1"/>
    <x v="1"/>
    <n v="127"/>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n v="7071.4557999999997"/>
    <n v="294"/>
  </r>
  <r>
    <x v="0"/>
    <x v="1"/>
    <n v="4245.6970000000001"/>
    <n v="33"/>
  </r>
  <r>
    <x v="1"/>
    <x v="0"/>
    <n v="6969.7793000000001"/>
    <n v="589"/>
  </r>
  <r>
    <x v="1"/>
    <x v="1"/>
    <n v="5558.8213999999998"/>
    <n v="84"/>
  </r>
  <r>
    <x v="2"/>
    <x v="0"/>
    <n v="6401.6"/>
    <n v="350"/>
  </r>
  <r>
    <x v="2"/>
    <x v="1"/>
    <n v="4395.7667000000001"/>
    <n v="120"/>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x v="0"/>
    <n v="51"/>
  </r>
  <r>
    <x v="0"/>
    <x v="1"/>
    <n v="12"/>
  </r>
  <r>
    <x v="1"/>
    <x v="0"/>
    <n v="828"/>
  </r>
  <r>
    <x v="1"/>
    <x v="1"/>
    <n v="133"/>
  </r>
  <r>
    <x v="2"/>
    <x v="0"/>
    <n v="354"/>
  </r>
  <r>
    <x v="2"/>
    <x v="1"/>
    <n v="92"/>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4787.0928000000004"/>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0.16120000000000001"/>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n v="4360.1612999999998"/>
    <n v="31"/>
    <x v="0"/>
  </r>
  <r>
    <n v="4282.5455000000002"/>
    <n v="44"/>
    <x v="1"/>
  </r>
  <r>
    <n v="4770.2424000000001"/>
    <n v="99"/>
    <x v="2"/>
  </r>
  <r>
    <n v="5335.1552000000001"/>
    <n v="58"/>
    <x v="3"/>
  </r>
  <r>
    <n v="5850.2"/>
    <n v="5"/>
    <x v="4"/>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x v="0"/>
    <x v="0"/>
    <n v="9"/>
    <n v="29"/>
    <n v="1"/>
    <n v="122"/>
  </r>
  <r>
    <x v="0"/>
    <x v="1"/>
    <n v="7"/>
    <n v="26"/>
    <n v="1"/>
    <n v="40"/>
  </r>
  <r>
    <x v="0"/>
    <x v="2"/>
    <n v="9"/>
    <n v="29"/>
    <n v="1"/>
    <n v="197"/>
  </r>
  <r>
    <x v="0"/>
    <x v="3"/>
    <n v="8"/>
    <n v="29"/>
    <n v="1"/>
    <n v="97"/>
  </r>
  <r>
    <x v="0"/>
    <x v="4"/>
    <n v="10"/>
    <n v="29"/>
    <n v="1"/>
    <n v="135"/>
  </r>
  <r>
    <x v="0"/>
    <x v="5"/>
    <n v="8"/>
    <n v="28"/>
    <n v="1"/>
    <n v="78"/>
  </r>
  <r>
    <x v="0"/>
    <x v="6"/>
    <n v="9"/>
    <n v="29"/>
    <n v="1"/>
    <n v="245"/>
  </r>
  <r>
    <x v="0"/>
    <x v="7"/>
    <n v="9"/>
    <n v="29"/>
    <n v="1"/>
    <n v="269"/>
  </r>
  <r>
    <x v="0"/>
    <x v="8"/>
    <n v="9"/>
    <n v="29"/>
    <n v="1"/>
    <n v="50"/>
  </r>
  <r>
    <x v="1"/>
    <x v="0"/>
    <n v="18"/>
    <n v="29"/>
    <n v="2"/>
    <n v="9"/>
  </r>
  <r>
    <x v="1"/>
    <x v="1"/>
    <n v="13"/>
    <n v="23"/>
    <n v="1"/>
    <n v="12"/>
  </r>
  <r>
    <x v="1"/>
    <x v="2"/>
    <n v="10"/>
    <n v="29"/>
    <n v="1"/>
    <n v="62"/>
  </r>
  <r>
    <x v="1"/>
    <x v="3"/>
    <n v="10"/>
    <n v="29"/>
    <n v="2"/>
    <n v="5"/>
  </r>
  <r>
    <x v="1"/>
    <x v="4"/>
    <n v="9"/>
    <n v="23"/>
    <n v="1"/>
    <n v="10"/>
  </r>
  <r>
    <x v="1"/>
    <x v="5"/>
    <n v="7"/>
    <n v="12"/>
    <n v="2"/>
    <n v="2"/>
  </r>
  <r>
    <x v="1"/>
    <x v="6"/>
    <n v="10"/>
    <n v="29"/>
    <n v="1"/>
    <n v="47"/>
  </r>
  <r>
    <x v="1"/>
    <x v="7"/>
    <n v="13"/>
    <n v="29"/>
    <n v="1"/>
    <n v="57"/>
  </r>
  <r>
    <x v="1"/>
    <x v="8"/>
    <n v="8"/>
    <n v="24"/>
    <n v="1"/>
    <n v="33"/>
  </r>
</pivotCacheRecords>
</file>

<file path=xl/pivotCache/pivotCacheRecords1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n v="102"/>
  </r>
  <r>
    <x v="1"/>
    <x v="0"/>
    <n v="60"/>
  </r>
  <r>
    <x v="2"/>
    <x v="0"/>
    <n v="55"/>
  </r>
  <r>
    <x v="3"/>
    <x v="0"/>
    <n v="20"/>
  </r>
</pivotCacheRecords>
</file>

<file path=xl/pivotCache/pivotCacheRecords1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66"/>
    <x v="0"/>
  </r>
  <r>
    <x v="0"/>
    <n v="46"/>
    <x v="0"/>
  </r>
  <r>
    <x v="0"/>
    <n v="73"/>
    <x v="1"/>
  </r>
  <r>
    <x v="0"/>
    <n v="52"/>
    <x v="2"/>
  </r>
</pivotCacheRecords>
</file>

<file path=xl/pivotCache/pivotCacheRecords1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n v="25"/>
  </r>
  <r>
    <x v="0"/>
    <x v="1"/>
    <n v="58"/>
  </r>
  <r>
    <x v="0"/>
    <x v="2"/>
    <n v="127"/>
  </r>
  <r>
    <x v="0"/>
    <x v="3"/>
    <n v="27"/>
  </r>
</pivotCacheRecords>
</file>

<file path=xl/pivotCache/pivotCacheRecords1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n v="501"/>
  </r>
  <r>
    <x v="0"/>
    <x v="1"/>
    <n v="87"/>
  </r>
  <r>
    <x v="1"/>
    <x v="0"/>
    <n v="732"/>
  </r>
  <r>
    <x v="1"/>
    <x v="1"/>
    <n v="150"/>
  </r>
</pivotCacheRecords>
</file>

<file path=xl/pivotCache/pivotCacheRecords2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237"/>
  </r>
  <r>
    <x v="1"/>
    <n v="1233"/>
  </r>
</pivotCacheRecords>
</file>

<file path=xl/pivotCache/pivotCacheRecords2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6502.9313000000002"/>
  </r>
</pivotCacheRecords>
</file>

<file path=xl/pivotCache/pivotCacheRecords2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1470"/>
  </r>
</pivotCacheRecords>
</file>

<file path=xl/pivotCache/pivotCacheRecords2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29"/>
    <n v="1"/>
    <x v="0"/>
  </r>
  <r>
    <x v="0"/>
    <n v="24"/>
    <n v="1"/>
    <x v="0"/>
  </r>
  <r>
    <x v="0"/>
    <n v="23"/>
    <n v="1"/>
    <x v="0"/>
  </r>
  <r>
    <x v="0"/>
    <n v="21"/>
    <n v="1"/>
    <x v="0"/>
  </r>
  <r>
    <x v="0"/>
    <n v="20"/>
    <n v="1"/>
    <x v="0"/>
  </r>
  <r>
    <x v="0"/>
    <n v="15"/>
    <n v="1"/>
    <x v="1"/>
  </r>
  <r>
    <x v="0"/>
    <n v="14"/>
    <n v="1"/>
    <x v="1"/>
  </r>
  <r>
    <x v="0"/>
    <n v="11"/>
    <n v="1"/>
    <x v="1"/>
  </r>
  <r>
    <x v="0"/>
    <n v="2"/>
    <n v="1"/>
    <x v="2"/>
  </r>
  <r>
    <x v="1"/>
    <n v="23"/>
    <n v="1"/>
    <x v="0"/>
  </r>
  <r>
    <x v="1"/>
    <n v="22"/>
    <n v="2"/>
    <x v="0"/>
  </r>
  <r>
    <x v="1"/>
    <n v="20"/>
    <n v="1"/>
    <x v="0"/>
  </r>
  <r>
    <x v="1"/>
    <n v="18"/>
    <n v="1"/>
    <x v="1"/>
  </r>
  <r>
    <x v="1"/>
    <n v="17"/>
    <n v="1"/>
    <x v="1"/>
  </r>
  <r>
    <x v="1"/>
    <n v="13"/>
    <n v="1"/>
    <x v="1"/>
  </r>
  <r>
    <x v="1"/>
    <n v="9"/>
    <n v="1"/>
    <x v="1"/>
  </r>
  <r>
    <x v="1"/>
    <n v="8"/>
    <n v="1"/>
    <x v="2"/>
  </r>
  <r>
    <x v="1"/>
    <n v="6"/>
    <n v="1"/>
    <x v="2"/>
  </r>
  <r>
    <x v="1"/>
    <n v="2"/>
    <n v="1"/>
    <x v="2"/>
  </r>
  <r>
    <x v="1"/>
    <n v="1"/>
    <n v="1"/>
    <x v="2"/>
  </r>
  <r>
    <x v="2"/>
    <n v="29"/>
    <n v="1"/>
    <x v="0"/>
  </r>
  <r>
    <x v="2"/>
    <n v="28"/>
    <n v="1"/>
    <x v="0"/>
  </r>
  <r>
    <x v="2"/>
    <n v="25"/>
    <n v="2"/>
    <x v="0"/>
  </r>
  <r>
    <x v="2"/>
    <n v="24"/>
    <n v="5"/>
    <x v="0"/>
  </r>
  <r>
    <x v="2"/>
    <n v="21"/>
    <n v="1"/>
    <x v="0"/>
  </r>
  <r>
    <x v="2"/>
    <n v="17"/>
    <n v="2"/>
    <x v="1"/>
  </r>
  <r>
    <x v="2"/>
    <n v="16"/>
    <n v="2"/>
    <x v="1"/>
  </r>
  <r>
    <x v="2"/>
    <n v="15"/>
    <n v="2"/>
    <x v="1"/>
  </r>
  <r>
    <x v="2"/>
    <n v="14"/>
    <n v="2"/>
    <x v="1"/>
  </r>
  <r>
    <x v="2"/>
    <n v="12"/>
    <n v="1"/>
    <x v="1"/>
  </r>
  <r>
    <x v="2"/>
    <n v="10"/>
    <n v="3"/>
    <x v="1"/>
  </r>
  <r>
    <x v="2"/>
    <n v="9"/>
    <n v="4"/>
    <x v="1"/>
  </r>
  <r>
    <x v="2"/>
    <n v="8"/>
    <n v="4"/>
    <x v="2"/>
  </r>
  <r>
    <x v="2"/>
    <n v="7"/>
    <n v="6"/>
    <x v="2"/>
  </r>
  <r>
    <x v="2"/>
    <n v="6"/>
    <n v="3"/>
    <x v="2"/>
  </r>
  <r>
    <x v="2"/>
    <n v="5"/>
    <n v="2"/>
    <x v="2"/>
  </r>
  <r>
    <x v="2"/>
    <n v="4"/>
    <n v="3"/>
    <x v="2"/>
  </r>
  <r>
    <x v="2"/>
    <n v="3"/>
    <n v="3"/>
    <x v="2"/>
  </r>
  <r>
    <x v="2"/>
    <n v="2"/>
    <n v="11"/>
    <x v="2"/>
  </r>
  <r>
    <x v="2"/>
    <n v="1"/>
    <n v="4"/>
    <x v="2"/>
  </r>
  <r>
    <x v="3"/>
    <n v="29"/>
    <n v="1"/>
    <x v="0"/>
  </r>
  <r>
    <x v="3"/>
    <n v="15"/>
    <n v="1"/>
    <x v="1"/>
  </r>
  <r>
    <x v="3"/>
    <n v="2"/>
    <n v="3"/>
    <x v="2"/>
  </r>
  <r>
    <x v="4"/>
    <n v="23"/>
    <n v="1"/>
    <x v="0"/>
  </r>
  <r>
    <x v="4"/>
    <n v="22"/>
    <n v="1"/>
    <x v="0"/>
  </r>
  <r>
    <x v="4"/>
    <n v="10"/>
    <n v="2"/>
    <x v="1"/>
  </r>
  <r>
    <x v="4"/>
    <n v="8"/>
    <n v="1"/>
    <x v="2"/>
  </r>
  <r>
    <x v="4"/>
    <n v="7"/>
    <n v="1"/>
    <x v="2"/>
  </r>
  <r>
    <x v="4"/>
    <n v="3"/>
    <n v="1"/>
    <x v="2"/>
  </r>
  <r>
    <x v="4"/>
    <n v="2"/>
    <n v="2"/>
    <x v="2"/>
  </r>
  <r>
    <x v="4"/>
    <n v="1"/>
    <n v="1"/>
    <x v="2"/>
  </r>
  <r>
    <x v="5"/>
    <n v="12"/>
    <n v="1"/>
    <x v="1"/>
  </r>
  <r>
    <x v="5"/>
    <n v="2"/>
    <n v="1"/>
    <x v="2"/>
  </r>
  <r>
    <x v="6"/>
    <n v="29"/>
    <n v="1"/>
    <x v="0"/>
  </r>
  <r>
    <x v="6"/>
    <n v="25"/>
    <n v="3"/>
    <x v="0"/>
  </r>
  <r>
    <x v="6"/>
    <n v="24"/>
    <n v="1"/>
    <x v="0"/>
  </r>
  <r>
    <x v="6"/>
    <n v="23"/>
    <n v="1"/>
    <x v="0"/>
  </r>
  <r>
    <x v="6"/>
    <n v="22"/>
    <n v="1"/>
    <x v="0"/>
  </r>
  <r>
    <x v="6"/>
    <n v="19"/>
    <n v="1"/>
    <x v="0"/>
  </r>
  <r>
    <x v="6"/>
    <n v="18"/>
    <n v="2"/>
    <x v="1"/>
  </r>
  <r>
    <x v="6"/>
    <n v="17"/>
    <n v="2"/>
    <x v="1"/>
  </r>
  <r>
    <x v="6"/>
    <n v="16"/>
    <n v="2"/>
    <x v="1"/>
  </r>
  <r>
    <x v="6"/>
    <n v="14"/>
    <n v="1"/>
    <x v="1"/>
  </r>
  <r>
    <x v="6"/>
    <n v="11"/>
    <n v="1"/>
    <x v="1"/>
  </r>
  <r>
    <x v="6"/>
    <n v="10"/>
    <n v="4"/>
    <x v="1"/>
  </r>
  <r>
    <x v="6"/>
    <n v="9"/>
    <n v="2"/>
    <x v="1"/>
  </r>
  <r>
    <x v="6"/>
    <n v="8"/>
    <n v="2"/>
    <x v="2"/>
  </r>
  <r>
    <x v="6"/>
    <n v="7"/>
    <n v="1"/>
    <x v="2"/>
  </r>
  <r>
    <x v="6"/>
    <n v="6"/>
    <n v="1"/>
    <x v="2"/>
  </r>
  <r>
    <x v="6"/>
    <n v="5"/>
    <n v="3"/>
    <x v="2"/>
  </r>
  <r>
    <x v="6"/>
    <n v="4"/>
    <n v="2"/>
    <x v="2"/>
  </r>
  <r>
    <x v="6"/>
    <n v="3"/>
    <n v="5"/>
    <x v="2"/>
  </r>
  <r>
    <x v="6"/>
    <n v="2"/>
    <n v="4"/>
    <x v="2"/>
  </r>
  <r>
    <x v="6"/>
    <n v="1"/>
    <n v="7"/>
    <x v="2"/>
  </r>
  <r>
    <x v="7"/>
    <n v="29"/>
    <n v="1"/>
    <x v="0"/>
  </r>
  <r>
    <x v="7"/>
    <n v="28"/>
    <n v="1"/>
    <x v="0"/>
  </r>
  <r>
    <x v="7"/>
    <n v="27"/>
    <n v="3"/>
    <x v="0"/>
  </r>
  <r>
    <x v="7"/>
    <n v="26"/>
    <n v="3"/>
    <x v="0"/>
  </r>
  <r>
    <x v="7"/>
    <n v="25"/>
    <n v="1"/>
    <x v="0"/>
  </r>
  <r>
    <x v="7"/>
    <n v="24"/>
    <n v="3"/>
    <x v="0"/>
  </r>
  <r>
    <x v="7"/>
    <n v="23"/>
    <n v="1"/>
    <x v="0"/>
  </r>
  <r>
    <x v="7"/>
    <n v="22"/>
    <n v="1"/>
    <x v="0"/>
  </r>
  <r>
    <x v="7"/>
    <n v="20"/>
    <n v="1"/>
    <x v="0"/>
  </r>
  <r>
    <x v="7"/>
    <n v="19"/>
    <n v="1"/>
    <x v="0"/>
  </r>
  <r>
    <x v="7"/>
    <n v="18"/>
    <n v="1"/>
    <x v="1"/>
  </r>
  <r>
    <x v="7"/>
    <n v="16"/>
    <n v="3"/>
    <x v="1"/>
  </r>
  <r>
    <x v="7"/>
    <n v="15"/>
    <n v="1"/>
    <x v="1"/>
  </r>
  <r>
    <x v="7"/>
    <n v="13"/>
    <n v="5"/>
    <x v="1"/>
  </r>
  <r>
    <x v="7"/>
    <n v="12"/>
    <n v="2"/>
    <x v="1"/>
  </r>
  <r>
    <x v="7"/>
    <n v="11"/>
    <n v="2"/>
    <x v="1"/>
  </r>
  <r>
    <x v="7"/>
    <n v="10"/>
    <n v="2"/>
    <x v="1"/>
  </r>
  <r>
    <x v="7"/>
    <n v="9"/>
    <n v="5"/>
    <x v="1"/>
  </r>
  <r>
    <x v="7"/>
    <n v="8"/>
    <n v="2"/>
    <x v="2"/>
  </r>
  <r>
    <x v="7"/>
    <n v="6"/>
    <n v="1"/>
    <x v="2"/>
  </r>
  <r>
    <x v="7"/>
    <n v="5"/>
    <n v="2"/>
    <x v="2"/>
  </r>
  <r>
    <x v="7"/>
    <n v="4"/>
    <n v="4"/>
    <x v="2"/>
  </r>
  <r>
    <x v="7"/>
    <n v="3"/>
    <n v="3"/>
    <x v="2"/>
  </r>
  <r>
    <x v="7"/>
    <n v="2"/>
    <n v="2"/>
    <x v="2"/>
  </r>
  <r>
    <x v="7"/>
    <n v="1"/>
    <n v="6"/>
    <x v="2"/>
  </r>
  <r>
    <x v="8"/>
    <n v="24"/>
    <n v="2"/>
    <x v="0"/>
  </r>
  <r>
    <x v="8"/>
    <n v="22"/>
    <n v="1"/>
    <x v="0"/>
  </r>
  <r>
    <x v="8"/>
    <n v="21"/>
    <n v="1"/>
    <x v="0"/>
  </r>
  <r>
    <x v="8"/>
    <n v="20"/>
    <n v="1"/>
    <x v="0"/>
  </r>
  <r>
    <x v="8"/>
    <n v="19"/>
    <n v="1"/>
    <x v="0"/>
  </r>
  <r>
    <x v="8"/>
    <n v="12"/>
    <n v="2"/>
    <x v="1"/>
  </r>
  <r>
    <x v="8"/>
    <n v="9"/>
    <n v="6"/>
    <x v="1"/>
  </r>
  <r>
    <x v="8"/>
    <n v="7"/>
    <n v="3"/>
    <x v="2"/>
  </r>
  <r>
    <x v="8"/>
    <n v="6"/>
    <n v="1"/>
    <x v="2"/>
  </r>
  <r>
    <x v="8"/>
    <n v="5"/>
    <n v="3"/>
    <x v="2"/>
  </r>
  <r>
    <x v="8"/>
    <n v="3"/>
    <n v="2"/>
    <x v="2"/>
  </r>
  <r>
    <x v="8"/>
    <n v="2"/>
    <n v="3"/>
    <x v="2"/>
  </r>
  <r>
    <x v="8"/>
    <n v="1"/>
    <n v="7"/>
    <x v="2"/>
  </r>
</pivotCacheRecords>
</file>

<file path=xl/pivotCache/pivotCacheRecords2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n v="0.83879999999999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6A68DD2-E3B0-4EF5-95FF-E1D9B12F4DC8}" name="PivotTable17" cacheId="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142:C145" firstHeaderRow="0" firstDataRow="1" firstDataCol="1"/>
  <pivotFields count="4">
    <pivotField showAll="0">
      <items count="4">
        <item x="0"/>
        <item x="1"/>
        <item x="2"/>
        <item t="default"/>
      </items>
    </pivotField>
    <pivotField axis="axisRow" showAll="0" sortType="descending">
      <items count="3">
        <item x="1"/>
        <item x="0"/>
        <item t="default"/>
      </items>
    </pivotField>
    <pivotField dataField="1" showAll="0"/>
    <pivotField dataField="1" showAll="0"/>
  </pivotFields>
  <rowFields count="1">
    <field x="1"/>
  </rowFields>
  <rowItems count="3">
    <i>
      <x/>
    </i>
    <i>
      <x v="1"/>
    </i>
    <i t="grand">
      <x/>
    </i>
  </rowItems>
  <colFields count="1">
    <field x="-2"/>
  </colFields>
  <colItems count="2">
    <i>
      <x/>
    </i>
    <i i="1">
      <x v="1"/>
    </i>
  </colItems>
  <dataFields count="2">
    <dataField name="Avg MonthlyIncome" fld="2" baseField="1" baseItem="0" numFmtId="164"/>
    <dataField name="Sum of total" fld="3" baseField="0" baseItem="0"/>
  </dataFields>
  <formats count="1">
    <format dxfId="0">
      <pivotArea outline="0" collapsedLevelsAreSubtotals="1" fieldPosition="0">
        <references count="1">
          <reference field="4294967294" count="1" selected="0">
            <x v="0"/>
          </reference>
        </references>
      </pivotArea>
    </format>
  </formats>
  <chartFormats count="6">
    <chartFormat chart="0" format="6" series="1">
      <pivotArea type="data" outline="0" fieldPosition="0">
        <references count="1">
          <reference field="4294967294" count="1" selected="0">
            <x v="0"/>
          </reference>
        </references>
      </pivotArea>
    </chartFormat>
    <chartFormat chart="0" format="7" series="1">
      <pivotArea type="data" outline="0" fieldPosition="0">
        <references count="1">
          <reference field="4294967294" count="1" selected="0">
            <x v="1"/>
          </reference>
        </references>
      </pivotArea>
    </chartFormat>
    <chartFormat chart="0" format="8">
      <pivotArea type="data" outline="0" fieldPosition="0">
        <references count="2">
          <reference field="4294967294" count="1" selected="0">
            <x v="0"/>
          </reference>
          <reference field="1" count="1" selected="0">
            <x v="1"/>
          </reference>
        </references>
      </pivotArea>
    </chartFormat>
    <chartFormat chart="0" format="9">
      <pivotArea type="data" outline="0" fieldPosition="0">
        <references count="2">
          <reference field="4294967294" count="1" selected="0">
            <x v="0"/>
          </reference>
          <reference field="1" count="1" selected="0">
            <x v="0"/>
          </reference>
        </references>
      </pivotArea>
    </chartFormat>
    <chartFormat chart="2" format="12" series="1">
      <pivotArea type="data" outline="0" fieldPosition="0">
        <references count="1">
          <reference field="4294967294" count="1" selected="0">
            <x v="0"/>
          </reference>
        </references>
      </pivotArea>
    </chartFormat>
    <chartFormat chart="2"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EAE8F7-BD6B-49DE-AFC5-766655AB44CC}" name="PivotTable10" cacheId="1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85:C96" firstHeaderRow="1" firstDataRow="2" firstDataCol="1"/>
  <pivotFields count="6">
    <pivotField axis="axisCol" showAll="0">
      <items count="3">
        <item h="1" x="0"/>
        <item x="1"/>
        <item t="default"/>
      </items>
    </pivotField>
    <pivotField axis="axisRow" showAll="0">
      <items count="10">
        <item x="0"/>
        <item x="1"/>
        <item x="2"/>
        <item x="3"/>
        <item x="4"/>
        <item x="5"/>
        <item x="6"/>
        <item x="7"/>
        <item x="8"/>
        <item t="default"/>
      </items>
    </pivotField>
    <pivotField dataField="1" showAll="0"/>
    <pivotField showAll="0"/>
    <pivotField showAll="0"/>
    <pivotField showAll="0"/>
  </pivotFields>
  <rowFields count="1">
    <field x="1"/>
  </rowFields>
  <rowItems count="10">
    <i>
      <x/>
    </i>
    <i>
      <x v="1"/>
    </i>
    <i>
      <x v="2"/>
    </i>
    <i>
      <x v="3"/>
    </i>
    <i>
      <x v="4"/>
    </i>
    <i>
      <x v="5"/>
    </i>
    <i>
      <x v="6"/>
    </i>
    <i>
      <x v="7"/>
    </i>
    <i>
      <x v="8"/>
    </i>
    <i t="grand">
      <x/>
    </i>
  </rowItems>
  <colFields count="1">
    <field x="0"/>
  </colFields>
  <colItems count="2">
    <i>
      <x v="1"/>
    </i>
    <i t="grand">
      <x/>
    </i>
  </colItems>
  <dataFields count="1">
    <dataField name="Sum of avg_distance" fld="2" baseField="0" baseItem="0"/>
  </dataFields>
  <chartFormats count="3">
    <chartFormat chart="0" format="1" series="1">
      <pivotArea type="data" outline="0" fieldPosition="0">
        <references count="1">
          <reference field="0" count="1" selected="0">
            <x v="1"/>
          </reference>
        </references>
      </pivotArea>
    </chartFormat>
    <chartFormat chart="0" format="2" series="1">
      <pivotArea type="data" outline="0" fieldPosition="0">
        <references count="2">
          <reference field="4294967294" count="1" selected="0">
            <x v="0"/>
          </reference>
          <reference field="0" count="1" selected="0">
            <x v="1"/>
          </reference>
        </references>
      </pivotArea>
    </chartFormat>
    <chartFormat chart="0" format="3"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F97DE6-AE9D-4524-BA1B-AD17462452B3}" name="PivotTable23"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T18:V24" firstHeaderRow="0" firstDataRow="1" firstDataCol="1"/>
  <pivotFields count="3">
    <pivotField dataField="1" showAll="0"/>
    <pivotField dataField="1" showAll="0"/>
    <pivotField axis="axisRow" showAll="0">
      <items count="6">
        <item x="2"/>
        <item x="0"/>
        <item x="1"/>
        <item x="4"/>
        <item x="3"/>
        <item t="default"/>
      </items>
    </pivotField>
  </pivotFields>
  <rowFields count="1">
    <field x="2"/>
  </rowFields>
  <rowItems count="6">
    <i>
      <x/>
    </i>
    <i>
      <x v="1"/>
    </i>
    <i>
      <x v="2"/>
    </i>
    <i>
      <x v="3"/>
    </i>
    <i>
      <x v="4"/>
    </i>
    <i t="grand">
      <x/>
    </i>
  </rowItems>
  <colFields count="1">
    <field x="-2"/>
  </colFields>
  <colItems count="2">
    <i>
      <x/>
    </i>
    <i i="1">
      <x v="1"/>
    </i>
  </colItems>
  <dataFields count="2">
    <dataField name="Sum of total" fld="1" baseField="0" baseItem="0"/>
    <dataField name="Sum of AVG(MonthlyIncome)" fld="0" baseField="0" baseItem="0" numFmtId="164"/>
  </dataFields>
  <formats count="1">
    <format dxfId="1">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6B774B3-EB59-42F9-AA27-3A96F5CF8320}" name="PivotTable18"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154:D157" firstHeaderRow="1" firstDataRow="2" firstDataCol="1"/>
  <pivotFields count="3">
    <pivotField axis="axisCol" showAll="0" sortType="descending">
      <items count="3">
        <item x="1"/>
        <item x="0"/>
        <item t="default"/>
      </items>
    </pivotField>
    <pivotField axis="axisRow" showAll="0">
      <items count="3">
        <item h="1" x="0"/>
        <item x="1"/>
        <item t="default"/>
      </items>
    </pivotField>
    <pivotField dataField="1" showAll="0"/>
  </pivotFields>
  <rowFields count="1">
    <field x="1"/>
  </rowFields>
  <rowItems count="2">
    <i>
      <x v="1"/>
    </i>
    <i t="grand">
      <x/>
    </i>
  </rowItems>
  <colFields count="1">
    <field x="0"/>
  </colFields>
  <colItems count="3">
    <i>
      <x/>
    </i>
    <i>
      <x v="1"/>
    </i>
    <i t="grand">
      <x/>
    </i>
  </colItems>
  <dataFields count="1">
    <dataField name="Sum of total" fld="2" showDataAs="percentOfTotal" baseField="0" baseItem="0" numFmtId="1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 chart="0" format="2" series="1">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3">
          <reference field="4294967294" count="1" selected="0">
            <x v="0"/>
          </reference>
          <reference field="0" count="1" selected="0">
            <x v="0"/>
          </reference>
          <reference field="1" count="1" selected="0">
            <x v="1"/>
          </reference>
        </references>
      </pivotArea>
    </chartFormat>
    <chartFormat chart="0" format="4">
      <pivotArea type="data" outline="0" fieldPosition="0">
        <references count="3">
          <reference field="4294967294" count="1" selected="0">
            <x v="0"/>
          </reference>
          <reference field="0" count="1" selected="0">
            <x v="1"/>
          </reference>
          <reference field="1" count="1" selected="0">
            <x v="0"/>
          </reference>
        </references>
      </pivotArea>
    </chartFormat>
    <chartFormat chart="2" format="13" series="1">
      <pivotArea type="data" outline="0" fieldPosition="0">
        <references count="2">
          <reference field="4294967294" count="1" selected="0">
            <x v="0"/>
          </reference>
          <reference field="0" count="1" selected="0">
            <x v="0"/>
          </reference>
        </references>
      </pivotArea>
    </chartFormat>
    <chartFormat chart="2" format="14">
      <pivotArea type="data" outline="0" fieldPosition="0">
        <references count="3">
          <reference field="4294967294" count="1" selected="0">
            <x v="0"/>
          </reference>
          <reference field="0" count="1" selected="0">
            <x v="0"/>
          </reference>
          <reference field="1" count="1" selected="0">
            <x v="1"/>
          </reference>
        </references>
      </pivotArea>
    </chartFormat>
    <chartFormat chart="2" format="15" series="1">
      <pivotArea type="data" outline="0" fieldPosition="0">
        <references count="2">
          <reference field="4294967294" count="1" selected="0">
            <x v="0"/>
          </reference>
          <reference field="0" count="1" selected="0">
            <x v="1"/>
          </reference>
        </references>
      </pivotArea>
    </chartFormat>
    <chartFormat chart="2" format="16">
      <pivotArea type="data" outline="0" fieldPosition="0">
        <references count="3">
          <reference field="4294967294" count="1" selected="0">
            <x v="0"/>
          </reference>
          <reference field="0" count="1" selected="0">
            <x v="1"/>
          </reference>
          <reference field="1" count="1" selected="0">
            <x v="1"/>
          </reference>
        </references>
      </pivotArea>
    </chartFormat>
    <chartFormat chart="0" format="5">
      <pivotArea type="data" outline="0" fieldPosition="0">
        <references count="3">
          <reference field="4294967294" count="1" selected="0">
            <x v="0"/>
          </reference>
          <reference field="0" count="1" selected="0">
            <x v="1"/>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080F4A-AB1D-4495-908C-A4F49C4A0A8E}" name="PivotTable34" cacheId="2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116:I117" firstHeaderRow="1" firstDataRow="1" firstDataCol="0"/>
  <pivotFields count="1">
    <pivotField dataField="1" numFmtId="9" showAll="0"/>
  </pivotFields>
  <rowItems count="1">
    <i/>
  </rowItems>
  <colItems count="1">
    <i/>
  </colItems>
  <dataFields count="1">
    <dataField name="Sum of Retention Rate" fld="0" baseField="0" baseItem="0" numFmtId="9"/>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F7900C-5D48-4638-A6A1-012DAA4C712D}" name="PivotTable22"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T1:W8" firstHeaderRow="1" firstDataRow="2" firstDataCol="1"/>
  <pivotFields count="4">
    <pivotField showAll="0"/>
    <pivotField axis="axisCol" showAll="0">
      <items count="3">
        <item x="0"/>
        <item x="1"/>
        <item t="default"/>
      </items>
    </pivotField>
    <pivotField dataField="1" showAll="0"/>
    <pivotField axis="axisRow" showAll="0">
      <items count="6">
        <item x="0"/>
        <item x="1"/>
        <item x="2"/>
        <item x="3"/>
        <item x="4"/>
        <item t="default"/>
      </items>
    </pivotField>
  </pivotFields>
  <rowFields count="1">
    <field x="3"/>
  </rowFields>
  <rowItems count="6">
    <i>
      <x/>
    </i>
    <i>
      <x v="1"/>
    </i>
    <i>
      <x v="2"/>
    </i>
    <i>
      <x v="3"/>
    </i>
    <i>
      <x v="4"/>
    </i>
    <i t="grand">
      <x/>
    </i>
  </rowItems>
  <colFields count="1">
    <field x="1"/>
  </colFields>
  <colItems count="3">
    <i>
      <x/>
    </i>
    <i>
      <x v="1"/>
    </i>
    <i t="grand">
      <x/>
    </i>
  </colItems>
  <dataFields count="1">
    <dataField name="Sum of total_employees" fld="2" baseField="0" baseItem="0"/>
  </dataField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3">
          <reference field="4294967294" count="1" selected="0">
            <x v="0"/>
          </reference>
          <reference field="1" count="1" selected="0">
            <x v="1"/>
          </reference>
          <reference field="3" count="1" selected="0">
            <x v="1"/>
          </reference>
        </references>
      </pivotArea>
    </chartFormat>
    <chartFormat chart="2" format="5" series="1">
      <pivotArea type="data" outline="0" fieldPosition="0">
        <references count="2">
          <reference field="4294967294" count="1" selected="0">
            <x v="0"/>
          </reference>
          <reference field="1" count="1" selected="0">
            <x v="0"/>
          </reference>
        </references>
      </pivotArea>
    </chartFormat>
    <chartFormat chart="2" format="6" series="1">
      <pivotArea type="data" outline="0" fieldPosition="0">
        <references count="2">
          <reference field="4294967294" count="1" selected="0">
            <x v="0"/>
          </reference>
          <reference field="1" count="1" selected="0">
            <x v="1"/>
          </reference>
        </references>
      </pivotArea>
    </chartFormat>
    <chartFormat chart="2" format="7">
      <pivotArea type="data" outline="0" fieldPosition="0">
        <references count="3">
          <reference field="4294967294" count="1" selected="0">
            <x v="0"/>
          </reference>
          <reference field="1" count="1" selected="0">
            <x v="1"/>
          </reference>
          <reference field="3" count="1" selected="0">
            <x v="4"/>
          </reference>
        </references>
      </pivotArea>
    </chartFormat>
    <chartFormat chart="2" format="8">
      <pivotArea type="data" outline="0" fieldPosition="0">
        <references count="3">
          <reference field="4294967294" count="1" selected="0">
            <x v="0"/>
          </reference>
          <reference field="1" count="1" selected="0">
            <x v="0"/>
          </reference>
          <reference field="3" count="1" selected="0">
            <x v="4"/>
          </reference>
        </references>
      </pivotArea>
    </chartFormat>
    <chartFormat chart="2" format="9">
      <pivotArea type="data" outline="0" fieldPosition="0">
        <references count="3">
          <reference field="4294967294" count="1" selected="0">
            <x v="0"/>
          </reference>
          <reference field="1" count="1" selected="0">
            <x v="0"/>
          </reference>
          <reference field="3" count="1" selected="0">
            <x v="2"/>
          </reference>
        </references>
      </pivotArea>
    </chartFormat>
    <chartFormat chart="2" format="10">
      <pivotArea type="data" outline="0" fieldPosition="0">
        <references count="3">
          <reference field="4294967294" count="1" selected="0">
            <x v="0"/>
          </reference>
          <reference field="1" count="1" selected="0">
            <x v="0"/>
          </reference>
          <reference field="3" count="1" selected="0">
            <x v="1"/>
          </reference>
        </references>
      </pivotArea>
    </chartFormat>
    <chartFormat chart="2" format="11">
      <pivotArea type="data" outline="0" fieldPosition="0">
        <references count="3">
          <reference field="4294967294" count="1" selected="0">
            <x v="0"/>
          </reference>
          <reference field="1"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D70732-C053-46CA-9710-554E385B2465}" name="PivotTable19"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166:C172" firstHeaderRow="1" firstDataRow="2" firstDataCol="1"/>
  <pivotFields count="4">
    <pivotField axis="axisCol" showAll="0" sortType="descending">
      <items count="3">
        <item x="1"/>
        <item h="1" x="0"/>
        <item t="default"/>
      </items>
    </pivotField>
    <pivotField showAll="0"/>
    <pivotField dataField="1" showAll="0"/>
    <pivotField axis="axisRow" showAll="0">
      <items count="5">
        <item x="3"/>
        <item x="1"/>
        <item x="2"/>
        <item x="0"/>
        <item t="default"/>
      </items>
    </pivotField>
  </pivotFields>
  <rowFields count="1">
    <field x="3"/>
  </rowFields>
  <rowItems count="5">
    <i>
      <x/>
    </i>
    <i>
      <x v="1"/>
    </i>
    <i>
      <x v="2"/>
    </i>
    <i>
      <x v="3"/>
    </i>
    <i t="grand">
      <x/>
    </i>
  </rowItems>
  <colFields count="1">
    <field x="0"/>
  </colFields>
  <colItems count="2">
    <i>
      <x/>
    </i>
    <i t="grand">
      <x/>
    </i>
  </colItems>
  <dataFields count="1">
    <dataField name="Sum of total" fld="2" baseField="0" baseItem="0"/>
  </dataFields>
  <chartFormats count="2">
    <chartFormat chart="0" format="0" series="1">
      <pivotArea type="data" outline="0" fieldPosition="0">
        <references count="2">
          <reference field="4294967294" count="1" selected="0">
            <x v="0"/>
          </reference>
          <reference field="0" count="1" selected="0">
            <x v="1"/>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CB9234-B0B0-48FC-9F50-C296876E2A76}" name="PivotTable2" cacheId="2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9:A10" firstHeaderRow="1" firstDataRow="1" firstDataCol="0"/>
  <pivotFields count="1">
    <pivotField dataField="1" numFmtId="2" showAll="0"/>
  </pivotFields>
  <rowItems count="1">
    <i/>
  </rowItems>
  <colItems count="1">
    <i/>
  </colItems>
  <dataFields count="1">
    <dataField name="Average of Total_Income" fld="0" subtotal="average" baseField="0" baseItem="9" numFmtId="164"/>
  </dataFields>
  <formats count="1">
    <format dxfId="3">
      <pivotArea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FDDEB56-45DA-4E61-83ED-EF25CB041AAC}" name="PivotTable27"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T57:U60" firstHeaderRow="1" firstDataRow="1" firstDataCol="1"/>
  <pivotFields count="4">
    <pivotField showAll="0"/>
    <pivotField dataField="1" showAll="0"/>
    <pivotField showAll="0"/>
    <pivotField axis="axisRow" showAll="0">
      <items count="3">
        <item x="0"/>
        <item x="1"/>
        <item t="default"/>
      </items>
    </pivotField>
  </pivotFields>
  <rowFields count="1">
    <field x="3"/>
  </rowFields>
  <rowItems count="3">
    <i>
      <x/>
    </i>
    <i>
      <x v="1"/>
    </i>
    <i t="grand">
      <x/>
    </i>
  </rowItems>
  <colItems count="1">
    <i/>
  </colItems>
  <dataFields count="1">
    <dataField name="Sum of Total_employees" fld="1" showDataAs="percentOfTotal" baseField="0" baseItem="0" numFmtId="10"/>
  </dataFields>
  <formats count="2">
    <format dxfId="5">
      <pivotArea collapsedLevelsAreSubtotals="1" fieldPosition="0">
        <references count="1">
          <reference field="3" count="1">
            <x v="0"/>
          </reference>
        </references>
      </pivotArea>
    </format>
    <format dxfId="4">
      <pivotArea collapsedLevelsAreSubtotals="1" fieldPosition="0">
        <references count="1">
          <reference field="3" count="1">
            <x v="1"/>
          </reference>
        </references>
      </pivotArea>
    </format>
  </formats>
  <chartFormats count="9">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3" count="1" selected="0">
            <x v="0"/>
          </reference>
        </references>
      </pivotArea>
    </chartFormat>
    <chartFormat chart="1" format="5">
      <pivotArea type="data" outline="0" fieldPosition="0">
        <references count="2">
          <reference field="4294967294" count="1" selected="0">
            <x v="0"/>
          </reference>
          <reference field="3"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28A0CC8-53AC-4C0A-9A40-550E8FFDC0B4}" name="PivotTable1" cacheId="2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A3:A4" firstHeaderRow="1" firstDataRow="1" firstDataCol="0"/>
  <pivotFields count="1">
    <pivotField dataField="1" showAll="0"/>
  </pivotFields>
  <rowItems count="1">
    <i/>
  </rowItems>
  <colItems count="1">
    <i/>
  </colItems>
  <dataFields count="1">
    <dataField name="Total number of Employees" fld="0" baseField="0"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8C24999-22FA-451A-BD43-E1045FAFEC34}" name="PivotTable9"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72:C78" firstHeaderRow="1" firstDataRow="2" firstDataCol="1"/>
  <pivotFields count="3">
    <pivotField axis="axisRow" showAll="0">
      <items count="5">
        <item x="0"/>
        <item x="3"/>
        <item x="1"/>
        <item x="2"/>
        <item t="default"/>
      </items>
    </pivotField>
    <pivotField axis="axisCol" showAll="0">
      <items count="2">
        <item x="0"/>
        <item t="default"/>
      </items>
    </pivotField>
    <pivotField dataField="1" showAll="0"/>
  </pivotFields>
  <rowFields count="1">
    <field x="0"/>
  </rowFields>
  <rowItems count="5">
    <i>
      <x/>
    </i>
    <i>
      <x v="1"/>
    </i>
    <i>
      <x v="2"/>
    </i>
    <i>
      <x v="3"/>
    </i>
    <i t="grand">
      <x/>
    </i>
  </rowItems>
  <colFields count="1">
    <field x="1"/>
  </colFields>
  <colItems count="2">
    <i>
      <x/>
    </i>
    <i t="grand">
      <x/>
    </i>
  </colItems>
  <dataFields count="1">
    <dataField name="Sum of total" fld="2" baseField="0" baseItem="0"/>
  </dataFields>
  <chartFormats count="1">
    <chartFormat chart="0" format="0"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2F63402-7CF5-4808-B4AA-618018CF7F00}" name="PivotTable4" cacheId="1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18:B21" firstHeaderRow="1" firstDataRow="1" firstDataCol="1"/>
  <pivotFields count="2">
    <pivotField axis="axisRow" showAll="0">
      <items count="3">
        <item x="1"/>
        <item x="0"/>
        <item t="default"/>
      </items>
    </pivotField>
    <pivotField dataField="1" showAll="0"/>
  </pivotFields>
  <rowFields count="1">
    <field x="0"/>
  </rowFields>
  <rowItems count="3">
    <i>
      <x/>
    </i>
    <i>
      <x v="1"/>
    </i>
    <i t="grand">
      <x/>
    </i>
  </rowItems>
  <colItems count="1">
    <i/>
  </colItems>
  <dataFields count="1">
    <dataField name="Sum of total_num_employees" fld="1"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398D35C-136E-42DB-827A-1EBEDFF75B59}" name="PivotTable2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M1:AN31" firstHeaderRow="1" firstDataRow="1" firstDataCol="1"/>
  <pivotFields count="2">
    <pivotField dataField="1" showAll="0"/>
    <pivotField axis="axisRow" showAll="0">
      <items count="30">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s>
  <rowFields count="1">
    <field x="1"/>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Sum of correlation_distance_attrition"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FBD0EE7-4315-458D-A61D-7DDE5E634E9E}" name="PivotTable7" cacheId="1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0:C56" firstHeaderRow="1" firstDataRow="2" firstDataCol="1"/>
  <pivotFields count="3">
    <pivotField axis="axisCol" showAll="0">
      <items count="2">
        <item x="0"/>
        <item t="default"/>
      </items>
    </pivotField>
    <pivotField axis="axisRow" showAll="0">
      <items count="5">
        <item x="0"/>
        <item x="1"/>
        <item x="2"/>
        <item x="3"/>
        <item t="default"/>
      </items>
    </pivotField>
    <pivotField dataField="1" showAll="0"/>
  </pivotFields>
  <rowFields count="1">
    <field x="1"/>
  </rowFields>
  <rowItems count="5">
    <i>
      <x/>
    </i>
    <i>
      <x v="1"/>
    </i>
    <i>
      <x v="2"/>
    </i>
    <i>
      <x v="3"/>
    </i>
    <i t="grand">
      <x/>
    </i>
  </rowItems>
  <colFields count="1">
    <field x="0"/>
  </colFields>
  <colItems count="2">
    <i>
      <x/>
    </i>
    <i t="grand">
      <x/>
    </i>
  </colItems>
  <dataFields count="1">
    <dataField name="Sum of total"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7EC96DD-DCCF-4DDB-8322-B7FE4A601306}" name="PivotTable13" cacheId="1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119:A120" firstHeaderRow="1" firstDataRow="1" firstDataCol="0"/>
  <pivotFields count="1">
    <pivotField dataField="1" numFmtId="9" showAll="0"/>
  </pivotFields>
  <rowItems count="1">
    <i/>
  </rowItems>
  <colItems count="1">
    <i/>
  </colItems>
  <dataFields count="1">
    <dataField name="Sum of Attrition Rate" fld="0" baseField="0" baseItem="0" numFmtId="9"/>
  </dataFields>
  <formats count="2">
    <format dxfId="7">
      <pivotArea dataOnly="0" labelOnly="1" outline="0" axis="axisValues" fieldPosition="0"/>
    </format>
    <format dxfId="6">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47DBE55-BA2E-4713-AD31-5DD0A0D178C6}" name="PivotTable26"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T46:U50" firstHeaderRow="1" firstDataRow="1" firstDataCol="1"/>
  <pivotFields count="3">
    <pivotField showAll="0"/>
    <pivotField dataField="1" showAll="0"/>
    <pivotField axis="axisRow" showAll="0">
      <items count="5">
        <item x="1"/>
        <item x="0"/>
        <item x="2"/>
        <item h="1" x="3"/>
        <item t="default"/>
      </items>
    </pivotField>
  </pivotFields>
  <rowFields count="1">
    <field x="2"/>
  </rowFields>
  <rowItems count="4">
    <i>
      <x/>
    </i>
    <i>
      <x v="1"/>
    </i>
    <i>
      <x v="2"/>
    </i>
    <i t="grand">
      <x/>
    </i>
  </rowItems>
  <colItems count="1">
    <i/>
  </colItems>
  <dataFields count="1">
    <dataField name="Sum of total_employees" fld="1"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1" format="3" series="1">
      <pivotArea type="data" outline="0" fieldPosition="0">
        <references count="1">
          <reference field="4294967294" count="1" selected="0">
            <x v="0"/>
          </reference>
        </references>
      </pivotArea>
    </chartFormat>
    <chartFormat chart="1" format="4">
      <pivotArea type="data" outline="0" fieldPosition="0">
        <references count="2">
          <reference field="4294967294" count="1" selected="0">
            <x v="0"/>
          </reference>
          <reference field="2" count="1" selected="0">
            <x v="0"/>
          </reference>
        </references>
      </pivotArea>
    </chartFormat>
    <chartFormat chart="1" format="5">
      <pivotArea type="data" outline="0" fieldPosition="0">
        <references count="2">
          <reference field="4294967294" count="1" selected="0">
            <x v="0"/>
          </reference>
          <reference field="2" count="1" selected="0">
            <x v="1"/>
          </reference>
        </references>
      </pivotArea>
    </chartFormat>
    <chartFormat chart="1" format="6">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10E55A1-8367-4415-ACF4-9AEEA15C4207}"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3:A14" firstHeaderRow="1" firstDataRow="1" firstDataCol="0"/>
  <pivotFields count="1">
    <pivotField dataField="1" showAll="0"/>
  </pivotFields>
  <rowItems count="1">
    <i/>
  </rowItems>
  <colItems count="1">
    <i/>
  </colItems>
  <dataFields count="1">
    <dataField name="Count of Unique_Jobrole" fld="0" subtotal="count" baseField="0" baseItem="0"/>
  </dataFields>
  <chartFormats count="2">
    <chartFormat chart="3" format="0" series="1">
      <pivotArea type="data" outline="0" fieldPosition="0">
        <references count="1">
          <reference field="4294967294" count="1" selected="0">
            <x v="0"/>
          </reference>
        </references>
      </pivotArea>
    </chartFormat>
    <chartFormat chart="3" format="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A347F3A-BFE0-43DD-8E6E-DCBCE80DF3D5}" name="PivotTable24"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T34:V40" firstHeaderRow="0" firstDataRow="1" firstDataCol="1"/>
  <pivotFields count="3">
    <pivotField dataField="1" showAll="0"/>
    <pivotField dataField="1" showAll="0"/>
    <pivotField axis="axisRow" showAll="0">
      <items count="6">
        <item x="0"/>
        <item x="1"/>
        <item x="2"/>
        <item x="3"/>
        <item x="4"/>
        <item t="default"/>
      </items>
    </pivotField>
  </pivotFields>
  <rowFields count="1">
    <field x="2"/>
  </rowFields>
  <rowItems count="6">
    <i>
      <x/>
    </i>
    <i>
      <x v="1"/>
    </i>
    <i>
      <x v="2"/>
    </i>
    <i>
      <x v="3"/>
    </i>
    <i>
      <x v="4"/>
    </i>
    <i t="grand">
      <x/>
    </i>
  </rowItems>
  <colFields count="1">
    <field x="-2"/>
  </colFields>
  <colItems count="2">
    <i>
      <x/>
    </i>
    <i i="1">
      <x v="1"/>
    </i>
  </colItems>
  <dataFields count="2">
    <dataField name="Sum of total" fld="1" baseField="0" baseItem="0"/>
    <dataField name="Sum of AVG(MonthlyIncome)" fld="0" baseField="0" baseItem="0" numFmtId="164"/>
  </dataFields>
  <formats count="1">
    <format dxfId="8">
      <pivotArea outline="0" collapsedLevelsAreSubtotals="1" fieldPosition="0">
        <references count="1">
          <reference field="4294967294" count="1" selected="0">
            <x v="1"/>
          </reference>
        </references>
      </pivotArea>
    </format>
  </formats>
  <chartFormats count="1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 chart="2" format="7">
      <pivotArea type="data" outline="0" fieldPosition="0">
        <references count="2">
          <reference field="4294967294" count="1" selected="0">
            <x v="1"/>
          </reference>
          <reference field="2" count="1" selected="0">
            <x v="4"/>
          </reference>
        </references>
      </pivotArea>
    </chartFormat>
    <chartFormat chart="2" format="8">
      <pivotArea type="data" outline="0" fieldPosition="0">
        <references count="2">
          <reference field="4294967294" count="1" selected="0">
            <x v="1"/>
          </reference>
          <reference field="2" count="1" selected="0">
            <x v="3"/>
          </reference>
        </references>
      </pivotArea>
    </chartFormat>
    <chartFormat chart="2" format="9">
      <pivotArea type="data" outline="0" fieldPosition="0">
        <references count="2">
          <reference field="4294967294" count="1" selected="0">
            <x v="1"/>
          </reference>
          <reference field="2" count="1" selected="0">
            <x v="2"/>
          </reference>
        </references>
      </pivotArea>
    </chartFormat>
    <chartFormat chart="2" format="10">
      <pivotArea type="data" outline="0" fieldPosition="0">
        <references count="2">
          <reference field="4294967294" count="1" selected="0">
            <x v="1"/>
          </reference>
          <reference field="2" count="1" selected="0">
            <x v="1"/>
          </reference>
        </references>
      </pivotArea>
    </chartFormat>
    <chartFormat chart="2" format="11">
      <pivotArea type="data" outline="0" fieldPosition="0">
        <references count="2">
          <reference field="4294967294" count="1" selected="0">
            <x v="1"/>
          </reference>
          <reference field="2" count="1" selected="0">
            <x v="0"/>
          </reference>
        </references>
      </pivotArea>
    </chartFormat>
    <chartFormat chart="2" format="12">
      <pivotArea type="data" outline="0" fieldPosition="0">
        <references count="2">
          <reference field="4294967294" count="1" selected="0">
            <x v="0"/>
          </reference>
          <reference field="2" count="1" selected="0">
            <x v="1"/>
          </reference>
        </references>
      </pivotArea>
    </chartFormat>
    <chartFormat chart="2" format="13">
      <pivotArea type="data" outline="0" fieldPosition="0">
        <references count="2">
          <reference field="4294967294" count="1" selected="0">
            <x v="0"/>
          </reference>
          <reference field="2" count="1" selected="0">
            <x v="0"/>
          </reference>
        </references>
      </pivotArea>
    </chartFormat>
    <chartFormat chart="2"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94A66194-B96B-4AC4-90D0-3EB31E02EDA8}" name="PivotTable15"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128:A129" firstHeaderRow="1" firstDataRow="1" firstDataCol="0"/>
  <pivotFields count="1">
    <pivotField dataField="1" showAll="0"/>
  </pivotFields>
  <rowItems count="1">
    <i/>
  </rowItems>
  <colItems count="1">
    <i/>
  </colItems>
  <dataFields count="1">
    <dataField name="Average Monthly Income" fld="0" baseField="0" baseItem="131596288" numFmtId="164"/>
  </dataFields>
  <formats count="1">
    <format dxfId="9">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1">
          <reference field="4294967294"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3AD0523-AA94-425E-8C6B-8BB148D4D986}" name="PivotTable11" cacheId="1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A101:C107" firstHeaderRow="0" firstDataRow="1" firstDataCol="1"/>
  <pivotFields count="3">
    <pivotField dataField="1" showAll="0"/>
    <pivotField dataField="1" showAll="0"/>
    <pivotField axis="axisRow" showAll="0">
      <items count="6">
        <item x="0"/>
        <item x="1"/>
        <item x="2"/>
        <item x="3"/>
        <item x="4"/>
        <item t="default"/>
      </items>
    </pivotField>
  </pivotFields>
  <rowFields count="1">
    <field x="2"/>
  </rowFields>
  <rowItems count="6">
    <i>
      <x/>
    </i>
    <i>
      <x v="1"/>
    </i>
    <i>
      <x v="2"/>
    </i>
    <i>
      <x v="3"/>
    </i>
    <i>
      <x v="4"/>
    </i>
    <i t="grand">
      <x/>
    </i>
  </rowItems>
  <colFields count="1">
    <field x="-2"/>
  </colFields>
  <colItems count="2">
    <i>
      <x/>
    </i>
    <i i="1">
      <x v="1"/>
    </i>
  </colItems>
  <dataFields count="2">
    <dataField name="Sum of total" fld="1" baseField="0" baseItem="0"/>
    <dataField name="Sum of AVG(MonthlyIncome)" fld="0" baseField="0" baseItem="0" numFmtId="164"/>
  </dataFields>
  <formats count="1">
    <format dxfId="10">
      <pivotArea outline="0" collapsedLevelsAreSubtotals="1" fieldPosition="0">
        <references count="1">
          <reference field="4294967294" count="1" selected="0">
            <x v="1"/>
          </reference>
        </references>
      </pivotArea>
    </format>
  </formats>
  <chartFormats count="2">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BF180BB6-5C3B-424C-9F8A-B8964D1667AA}" name="PivotTable20"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80:B185" firstHeaderRow="1" firstDataRow="1" firstDataCol="1"/>
  <pivotFields count="4">
    <pivotField showAll="0"/>
    <pivotField showAll="0"/>
    <pivotField axis="axisRow" showAll="0" sortType="ascending">
      <items count="5">
        <item x="0"/>
        <item x="1"/>
        <item x="2"/>
        <item x="3"/>
        <item t="default"/>
      </items>
    </pivotField>
    <pivotField dataField="1" showAll="0"/>
  </pivotFields>
  <rowFields count="1">
    <field x="2"/>
  </rowFields>
  <rowItems count="5">
    <i>
      <x/>
    </i>
    <i>
      <x v="1"/>
    </i>
    <i>
      <x v="2"/>
    </i>
    <i>
      <x v="3"/>
    </i>
    <i t="grand">
      <x/>
    </i>
  </rowItems>
  <colItems count="1">
    <i/>
  </colItems>
  <dataFields count="1">
    <dataField name="Sum of total" fld="3"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F50EDBD-53E3-4AC3-AC68-2B419D67DA18}" name="PivotTable32" cacheId="2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T2:AU12" firstHeaderRow="1" firstDataRow="1" firstDataCol="1"/>
  <pivotFields count="4">
    <pivotField axis="axisRow" showAll="0" sortType="descending">
      <items count="10">
        <item x="0"/>
        <item x="1"/>
        <item x="2"/>
        <item x="3"/>
        <item x="4"/>
        <item x="5"/>
        <item x="6"/>
        <item x="7"/>
        <item x="8"/>
        <item t="default"/>
      </items>
      <autoSortScope>
        <pivotArea dataOnly="0" outline="0" fieldPosition="0">
          <references count="1">
            <reference field="4294967294" count="1" selected="0">
              <x v="0"/>
            </reference>
          </references>
        </pivotArea>
      </autoSortScope>
    </pivotField>
    <pivotField showAll="0"/>
    <pivotField dataField="1" showAll="0"/>
    <pivotField showAll="0">
      <items count="4">
        <item x="1"/>
        <item x="2"/>
        <item x="0"/>
        <item t="default"/>
      </items>
    </pivotField>
  </pivotFields>
  <rowFields count="1">
    <field x="0"/>
  </rowFields>
  <rowItems count="10">
    <i>
      <x v="2"/>
    </i>
    <i>
      <x v="7"/>
    </i>
    <i>
      <x v="6"/>
    </i>
    <i>
      <x v="8"/>
    </i>
    <i>
      <x v="1"/>
    </i>
    <i>
      <x v="4"/>
    </i>
    <i>
      <x/>
    </i>
    <i>
      <x v="3"/>
    </i>
    <i>
      <x v="5"/>
    </i>
    <i t="grand">
      <x/>
    </i>
  </rowItems>
  <colItems count="1">
    <i/>
  </colItems>
  <dataFields count="1">
    <dataField name="Sum of total_employee" fld="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D040455-AE12-45EA-BB1C-11612681C7AB}" name="PivotTable14"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J166:L172" firstHeaderRow="1" firstDataRow="2" firstDataCol="1"/>
  <pivotFields count="4">
    <pivotField axis="axisCol" showAll="0">
      <items count="3">
        <item h="1" x="0"/>
        <item x="1"/>
        <item t="default"/>
      </items>
    </pivotField>
    <pivotField showAll="0"/>
    <pivotField dataField="1" showAll="0"/>
    <pivotField axis="axisRow" showAll="0">
      <items count="5">
        <item x="0"/>
        <item x="1"/>
        <item x="2"/>
        <item x="3"/>
        <item t="default"/>
      </items>
    </pivotField>
  </pivotFields>
  <rowFields count="1">
    <field x="3"/>
  </rowFields>
  <rowItems count="5">
    <i>
      <x/>
    </i>
    <i>
      <x v="1"/>
    </i>
    <i>
      <x v="2"/>
    </i>
    <i>
      <x v="3"/>
    </i>
    <i t="grand">
      <x/>
    </i>
  </rowItems>
  <colFields count="1">
    <field x="0"/>
  </colFields>
  <colItems count="2">
    <i>
      <x v="1"/>
    </i>
    <i t="grand">
      <x/>
    </i>
  </colItems>
  <dataFields count="1">
    <dataField name="Sum of total" fld="2" baseField="0" baseItem="0"/>
  </dataFields>
  <chartFormats count="3">
    <chartFormat chart="0" format="0" series="1">
      <pivotArea type="data" outline="0" fieldPosition="0">
        <references count="2">
          <reference field="4294967294" count="1" selected="0">
            <x v="0"/>
          </reference>
          <reference field="0" count="1" selected="0">
            <x v="1"/>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2" format="2"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D7294672-1847-4A23-83FA-7F61D0EE537B}" name="PivotTable6"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7:D41" firstHeaderRow="1" firstDataRow="2" firstDataCol="1"/>
  <pivotFields count="3">
    <pivotField axis="axisRow" showAll="0">
      <items count="3">
        <item x="0"/>
        <item x="1"/>
        <item t="default"/>
      </items>
    </pivotField>
    <pivotField axis="axisCol" showAll="0">
      <items count="3">
        <item x="0"/>
        <item x="1"/>
        <item t="default"/>
      </items>
    </pivotField>
    <pivotField dataField="1" showAll="0"/>
  </pivotFields>
  <rowFields count="1">
    <field x="0"/>
  </rowFields>
  <rowItems count="3">
    <i>
      <x/>
    </i>
    <i>
      <x v="1"/>
    </i>
    <i t="grand">
      <x/>
    </i>
  </rowItems>
  <colFields count="1">
    <field x="1"/>
  </colFields>
  <colItems count="3">
    <i>
      <x/>
    </i>
    <i>
      <x v="1"/>
    </i>
    <i t="grand">
      <x/>
    </i>
  </colItems>
  <dataFields count="1">
    <dataField name="Sum of total" fld="2" baseField="0" baseItem="0"/>
  </dataField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9FB2A8C2-30C4-4488-BF60-A34E1E829FDE}" name="PivotTable8"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61:C66" firstHeaderRow="1" firstDataRow="2" firstDataCol="1"/>
  <pivotFields count="3">
    <pivotField axis="axisCol" showAll="0">
      <items count="2">
        <item x="0"/>
        <item t="default"/>
      </items>
    </pivotField>
    <pivotField dataField="1" showAll="0"/>
    <pivotField axis="axisRow" showAll="0">
      <items count="4">
        <item x="2"/>
        <item x="0"/>
        <item x="1"/>
        <item t="default"/>
      </items>
    </pivotField>
  </pivotFields>
  <rowFields count="1">
    <field x="2"/>
  </rowFields>
  <rowItems count="4">
    <i>
      <x/>
    </i>
    <i>
      <x v="1"/>
    </i>
    <i>
      <x v="2"/>
    </i>
    <i t="grand">
      <x/>
    </i>
  </rowItems>
  <colFields count="1">
    <field x="0"/>
  </colFields>
  <colItems count="2">
    <i>
      <x/>
    </i>
    <i t="grand">
      <x/>
    </i>
  </colItems>
  <dataFields count="1">
    <dataField name="Sum of total" fld="1" showDataAs="percentOfTotal" baseField="0" baseItem="0" numFmtId="9"/>
  </dataFields>
  <formats count="2">
    <format dxfId="12">
      <pivotArea field="0" grandRow="1" outline="0" collapsedLevelsAreSubtotals="1" axis="axisCol" fieldPosition="0">
        <references count="1">
          <reference field="0" count="0" selected="0"/>
        </references>
      </pivotArea>
    </format>
    <format dxfId="11">
      <pivotArea outline="0" collapsedLevelsAreSubtotals="1" fieldPosition="0"/>
    </format>
  </formats>
  <chartFormats count="8">
    <chartFormat chart="0" format="0" series="1">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3">
          <reference field="4294967294" count="1" selected="0">
            <x v="0"/>
          </reference>
          <reference field="0" count="1" selected="0">
            <x v="0"/>
          </reference>
          <reference field="2" count="1" selected="0">
            <x v="1"/>
          </reference>
        </references>
      </pivotArea>
    </chartFormat>
    <chartFormat chart="0" format="2">
      <pivotArea type="data" outline="0" fieldPosition="0">
        <references count="3">
          <reference field="4294967294" count="1" selected="0">
            <x v="0"/>
          </reference>
          <reference field="0" count="1" selected="0">
            <x v="0"/>
          </reference>
          <reference field="2" count="1" selected="0">
            <x v="0"/>
          </reference>
        </references>
      </pivotArea>
    </chartFormat>
    <chartFormat chart="0" format="3">
      <pivotArea type="data" outline="0" fieldPosition="0">
        <references count="3">
          <reference field="4294967294" count="1" selected="0">
            <x v="0"/>
          </reference>
          <reference field="0" count="1" selected="0">
            <x v="0"/>
          </reference>
          <reference field="2" count="1" selected="0">
            <x v="2"/>
          </reference>
        </references>
      </pivotArea>
    </chartFormat>
    <chartFormat chart="6" format="16" series="1">
      <pivotArea type="data" outline="0" fieldPosition="0">
        <references count="2">
          <reference field="4294967294" count="1" selected="0">
            <x v="0"/>
          </reference>
          <reference field="0" count="1" selected="0">
            <x v="0"/>
          </reference>
        </references>
      </pivotArea>
    </chartFormat>
    <chartFormat chart="6" format="17">
      <pivotArea type="data" outline="0" fieldPosition="0">
        <references count="3">
          <reference field="4294967294" count="1" selected="0">
            <x v="0"/>
          </reference>
          <reference field="0" count="1" selected="0">
            <x v="0"/>
          </reference>
          <reference field="2" count="1" selected="0">
            <x v="0"/>
          </reference>
        </references>
      </pivotArea>
    </chartFormat>
    <chartFormat chart="6" format="18">
      <pivotArea type="data" outline="0" fieldPosition="0">
        <references count="3">
          <reference field="4294967294" count="1" selected="0">
            <x v="0"/>
          </reference>
          <reference field="0" count="1" selected="0">
            <x v="0"/>
          </reference>
          <reference field="2" count="1" selected="0">
            <x v="1"/>
          </reference>
        </references>
      </pivotArea>
    </chartFormat>
    <chartFormat chart="6" format="19">
      <pivotArea type="data" outline="0" fieldPosition="0">
        <references count="3">
          <reference field="4294967294" count="1" selected="0">
            <x v="0"/>
          </reference>
          <reference field="0"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9344DCD-0553-4152-A1FC-43C29B424EBC}" name="PivotTable16" cacheId="1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135:B138" firstHeaderRow="1" firstDataRow="1" firstDataCol="1"/>
  <pivotFields count="3">
    <pivotField showAll="0">
      <items count="4">
        <item x="0"/>
        <item x="1"/>
        <item x="2"/>
        <item t="default"/>
      </items>
    </pivotField>
    <pivotField axis="axisRow" showAll="0">
      <items count="3">
        <item x="0"/>
        <item x="1"/>
        <item t="default"/>
      </items>
    </pivotField>
    <pivotField dataField="1" showAll="0"/>
  </pivotFields>
  <rowFields count="1">
    <field x="1"/>
  </rowFields>
  <rowItems count="3">
    <i>
      <x/>
    </i>
    <i>
      <x v="1"/>
    </i>
    <i t="grand">
      <x/>
    </i>
  </rowItems>
  <colItems count="1">
    <i/>
  </colItems>
  <dataFields count="1">
    <dataField name="Sum of Total_employees" fld="2"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C9233EA-363E-4F5F-B204-AD114C33806B}" name="PivotTable5" cacheId="1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9">
  <location ref="A26:D30" firstHeaderRow="1" firstDataRow="2" firstDataCol="1"/>
  <pivotFields count="3">
    <pivotField axis="axisCol" showAll="0">
      <items count="3">
        <item x="0"/>
        <item x="1"/>
        <item t="default"/>
      </items>
    </pivotField>
    <pivotField axis="axisRow" showAll="0" sortType="descending">
      <items count="3">
        <item x="1"/>
        <item x="0"/>
        <item t="default"/>
      </items>
    </pivotField>
    <pivotField dataField="1" showAll="0"/>
  </pivotFields>
  <rowFields count="1">
    <field x="1"/>
  </rowFields>
  <rowItems count="3">
    <i>
      <x/>
    </i>
    <i>
      <x v="1"/>
    </i>
    <i t="grand">
      <x/>
    </i>
  </rowItems>
  <colFields count="1">
    <field x="0"/>
  </colFields>
  <colItems count="3">
    <i>
      <x/>
    </i>
    <i>
      <x v="1"/>
    </i>
    <i t="grand">
      <x/>
    </i>
  </colItems>
  <dataFields count="1">
    <dataField name="Sum of total" fld="2" baseField="0" baseItem="0"/>
  </dataFields>
  <chartFormats count="2">
    <chartFormat chart="11" format="0" series="1">
      <pivotArea type="data" outline="0" fieldPosition="0">
        <references count="2">
          <reference field="4294967294" count="1" selected="0">
            <x v="0"/>
          </reference>
          <reference field="0" count="1" selected="0">
            <x v="0"/>
          </reference>
        </references>
      </pivotArea>
    </chartFormat>
    <chartFormat chart="11" format="1"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56EDD8B2-C463-4EB2-B149-97448ED048F0}" name="PivotTable21"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N2:O7" firstHeaderRow="1" firstDataRow="1" firstDataCol="1"/>
  <pivotFields count="4">
    <pivotField showAll="0"/>
    <pivotField showAll="0"/>
    <pivotField axis="axisRow" showAll="0">
      <items count="5">
        <item x="0"/>
        <item x="1"/>
        <item x="2"/>
        <item x="3"/>
        <item t="default"/>
      </items>
    </pivotField>
    <pivotField dataField="1" showAll="0"/>
  </pivotFields>
  <rowFields count="1">
    <field x="2"/>
  </rowFields>
  <rowItems count="5">
    <i>
      <x/>
    </i>
    <i>
      <x v="1"/>
    </i>
    <i>
      <x v="2"/>
    </i>
    <i>
      <x v="3"/>
    </i>
    <i t="grand">
      <x/>
    </i>
  </rowItems>
  <colItems count="1">
    <i/>
  </colItems>
  <dataFields count="1">
    <dataField name="Sum of total" fld="3"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36BC4C05-9141-4E52-8C4D-8D0630CAAA2C}" name="PivotTable12" cacheId="1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J2:K7" firstHeaderRow="1" firstDataRow="1" firstDataCol="1"/>
  <pivotFields count="3">
    <pivotField axis="axisRow" showAll="0">
      <items count="5">
        <item x="0"/>
        <item x="1"/>
        <item x="2"/>
        <item x="3"/>
        <item t="default"/>
      </items>
    </pivotField>
    <pivotField showAll="0"/>
    <pivotField dataField="1" showAll="0"/>
  </pivotFields>
  <rowFields count="1">
    <field x="0"/>
  </rowFields>
  <rowItems count="5">
    <i>
      <x/>
    </i>
    <i>
      <x v="1"/>
    </i>
    <i>
      <x v="2"/>
    </i>
    <i>
      <x v="3"/>
    </i>
    <i t="grand">
      <x/>
    </i>
  </rowItems>
  <colItems count="1">
    <i/>
  </colItems>
  <dataFields count="1">
    <dataField name="Sum of total" fld="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6" xr16:uid="{275E0E9E-8143-4D8E-BD1C-A5DCC67A6792}" autoFormatId="16" applyNumberFormats="0" applyBorderFormats="0" applyFontFormats="0" applyPatternFormats="0" applyAlignmentFormats="0" applyWidthHeightFormats="0">
  <queryTableRefresh nextId="2">
    <queryTableFields count="1">
      <queryTableField id="1" name="Total_Income" tableColumnId="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DE9CD80C-69C4-4687-8435-99A690F1770B}" autoFormatId="16" applyNumberFormats="0" applyBorderFormats="0" applyFontFormats="0" applyPatternFormats="0" applyAlignmentFormats="0" applyWidthHeightFormats="0">
  <queryTableRefresh nextId="2">
    <queryTableFields count="1">
      <queryTableField id="1" name="total_number_of_Employees" tableColumnId="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0" xr16:uid="{19D72501-C2A6-416D-9D6C-C14531ED4E43}" autoFormatId="16" applyNumberFormats="0" applyBorderFormats="0" applyFontFormats="0" applyPatternFormats="0" applyAlignmentFormats="0" applyWidthHeightFormats="0">
  <queryTableRefresh nextId="3">
    <queryTableFields count="2">
      <queryTableField id="1" name="Attrition" tableColumnId="1"/>
      <queryTableField id="2" name="total_num_employees"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31" xr16:uid="{329DED0F-A806-48DB-BB17-07BD294F1F88}" autoFormatId="16" applyNumberFormats="0" applyBorderFormats="0" applyFontFormats="0" applyPatternFormats="0" applyAlignmentFormats="0" applyWidthHeightFormats="0">
  <queryTableRefresh nextId="4">
    <queryTableFields count="3">
      <queryTableField id="1" name="Gender" tableColumnId="1"/>
      <queryTableField id="2" name="Attrition" tableColumnId="2"/>
      <queryTableField id="3" name="total"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32" xr16:uid="{CD862F90-7BF7-44B4-A183-2CA1E4511425}" autoFormatId="16" applyNumberFormats="0" applyBorderFormats="0" applyFontFormats="0" applyPatternFormats="0" applyAlignmentFormats="0" applyWidthHeightFormats="0">
  <queryTableRefresh nextId="3">
    <queryTableFields count="2">
      <queryTableField id="1" name="Attrition" tableColumnId="1"/>
      <queryTableField id="2" name="avg_income"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33" xr16:uid="{3C1B80CB-C21E-4982-B0FE-7954F74CD1D2}" autoFormatId="16" applyNumberFormats="0" applyBorderFormats="0" applyFontFormats="0" applyPatternFormats="0" applyAlignmentFormats="0" applyWidthHeightFormats="0">
  <queryTableRefresh nextId="4">
    <queryTableFields count="3">
      <queryTableField id="1" name="Attrition" tableColumnId="1"/>
      <queryTableField id="2" name="WorkLifeBalance" tableColumnId="2"/>
      <queryTableField id="3" name="total"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34" xr16:uid="{DD931384-25CA-4CE9-AB23-94EC0B42A6C4}" autoFormatId="16" applyNumberFormats="0" applyBorderFormats="0" applyFontFormats="0" applyPatternFormats="0" applyAlignmentFormats="0" applyWidthHeightFormats="0">
  <queryTableRefresh nextId="4">
    <queryTableFields count="3">
      <queryTableField id="1" name="Attrition" tableColumnId="1"/>
      <queryTableField id="2" name="total" tableColumnId="2"/>
      <queryTableField id="3" name="Job_Satisfication" tableColumnId="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2" connectionId="35" xr16:uid="{4D8DC27E-1F44-4FCE-9062-68CC7119DB71}" autoFormatId="16" applyNumberFormats="0" applyBorderFormats="0" applyFontFormats="0" applyPatternFormats="0" applyAlignmentFormats="0" applyWidthHeightFormats="0">
  <queryTableRefresh nextId="5" unboundColumnsRight="1">
    <queryTableFields count="4">
      <queryTableField id="1" name="Attrition" tableColumnId="1"/>
      <queryTableField id="2" name="total" tableColumnId="2"/>
      <queryTableField id="3" name="Job_Satisfication" tableColumnId="3"/>
      <queryTableField id="4" dataBound="0" tableColumnId="4"/>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37" xr16:uid="{65D8CCE9-F032-423B-9E7A-46F8D8CF9887}" autoFormatId="16" applyNumberFormats="0" applyBorderFormats="0" applyFontFormats="0" applyPatternFormats="0" applyAlignmentFormats="0" applyWidthHeightFormats="0">
  <queryTableRefresh nextId="4">
    <queryTableFields count="3">
      <queryTableField id="1" name="tenure_group" tableColumnId="1"/>
      <queryTableField id="2" name="Attrition" tableColumnId="2"/>
      <queryTableField id="3" name="total" tableColumnId="3"/>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3" xr16:uid="{811C006D-10DF-4447-925B-15D988B31570}" autoFormatId="16" applyNumberFormats="0" applyBorderFormats="0" applyFontFormats="0" applyPatternFormats="0" applyAlignmentFormats="0" applyWidthHeightFormats="0">
  <queryTableRefresh nextId="7">
    <queryTableFields count="6">
      <queryTableField id="1" name="Attrition" tableColumnId="1"/>
      <queryTableField id="2" name="JobRole" tableColumnId="2"/>
      <queryTableField id="3" name="avg_distance" tableColumnId="3"/>
      <queryTableField id="4" name="highest_distance" tableColumnId="4"/>
      <queryTableField id="5" name="lowest_distance" tableColumnId="5"/>
      <queryTableField id="6" name="total_disatance" tableColumnId="6"/>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4" xr16:uid="{6DDB09F5-9636-49FD-874A-B61779AE2983}" autoFormatId="16" applyNumberFormats="0" applyBorderFormats="0" applyFontFormats="0" applyPatternFormats="0" applyAlignmentFormats="0" applyWidthHeightFormats="0">
  <queryTableRefresh nextId="4">
    <queryTableFields count="3">
      <queryTableField id="1" name="AVG(MonthlyIncome)" tableColumnId="1"/>
      <queryTableField id="2" name="total" tableColumnId="2"/>
      <queryTableField id="3" name="Education_Level" tableColumnId="3"/>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connectionId="5" xr16:uid="{A7C043C7-FEB5-4831-9A32-C411F47F8D17}" autoFormatId="16" applyNumberFormats="0" applyBorderFormats="0" applyFontFormats="0" applyPatternFormats="0" applyAlignmentFormats="0" applyWidthHeightFormats="0">
  <queryTableRefresh nextId="2">
    <queryTableFields count="1">
      <queryTableField id="1" name="percentage" tableColumnId="1"/>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 connectionId="8" xr16:uid="{96FC7531-F512-4F64-B8C5-7B9C729824C2}" autoFormatId="16" applyNumberFormats="0" applyBorderFormats="0" applyFontFormats="0" applyPatternFormats="0" applyAlignmentFormats="0" applyWidthHeightFormats="0">
  <queryTableRefresh nextId="2">
    <queryTableFields count="1">
      <queryTableField id="1" name="percentage" tableColumnId="1"/>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2" connectionId="10" xr16:uid="{04C1D953-DBAE-4C0D-87EF-CA94DC5843E1}" autoFormatId="16" applyNumberFormats="0" applyBorderFormats="0" applyFontFormats="0" applyPatternFormats="0" applyAlignmentFormats="0" applyWidthHeightFormats="0">
  <queryTableRefresh nextId="2">
    <queryTableFields count="1">
      <queryTableField id="1" name="percentage" tableColumnId="1"/>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1" connectionId="11" xr16:uid="{FAF1338E-42CF-46E7-B07A-7C8770558DE6}" autoFormatId="16" applyNumberFormats="0" applyBorderFormats="0" applyFontFormats="0" applyPatternFormats="0" applyAlignmentFormats="0" applyWidthHeightFormats="0">
  <queryTableRefresh nextId="2">
    <queryTableFields count="1">
      <queryTableField id="1" name="Average_Income" tableColumnId="1"/>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1" connectionId="13" xr16:uid="{393ABF72-5B77-4242-8A54-CD1429DC9D8B}" autoFormatId="16" applyNumberFormats="0" applyBorderFormats="0" applyFontFormats="0" applyPatternFormats="0" applyAlignmentFormats="0" applyWidthHeightFormats="0">
  <queryTableRefresh nextId="4">
    <queryTableFields count="3">
      <queryTableField id="1" name="Department" tableColumnId="1"/>
      <queryTableField id="2" name="Attrition" tableColumnId="2"/>
      <queryTableField id="3" name="Total_employees" tableColumnId="3"/>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ternalData_1" connectionId="14" xr16:uid="{D85F2E2A-8248-4015-ACE3-1D9F349A8BF0}" autoFormatId="16" applyNumberFormats="0" applyBorderFormats="0" applyFontFormats="0" applyPatternFormats="0" applyAlignmentFormats="0" applyWidthHeightFormats="0">
  <queryTableRefresh nextId="5">
    <queryTableFields count="4">
      <queryTableField id="1" name="MaritalStatus" tableColumnId="1"/>
      <queryTableField id="2" name="Attrition" tableColumnId="2"/>
      <queryTableField id="3" name="Avg(MonthlyIncome)" tableColumnId="3"/>
      <queryTableField id="4" name="total" tableColumnId="4"/>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ExternalData_1" connectionId="15" xr16:uid="{B880BEDB-8E9B-499D-8222-CDF134CB1572}" autoFormatId="16" applyNumberFormats="0" applyBorderFormats="0" applyFontFormats="0" applyPatternFormats="0" applyAlignmentFormats="0" applyWidthHeightFormats="0">
  <queryTableRefresh nextId="4">
    <queryTableFields count="3">
      <queryTableField id="1" name="OverTime" tableColumnId="1"/>
      <queryTableField id="2" name="Attrition" tableColumnId="2"/>
      <queryTableField id="3" name="total" tableColumnId="3"/>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ExternalData_1" connectionId="17" xr16:uid="{45C40E25-5C8C-4FEC-B279-62C26573D5A7}" autoFormatId="16" applyNumberFormats="0" applyBorderFormats="0" applyFontFormats="0" applyPatternFormats="0" applyAlignmentFormats="0" applyWidthHeightFormats="0">
  <queryTableRefresh nextId="5">
    <queryTableFields count="4">
      <queryTableField id="1" name="Attrition" tableColumnId="1"/>
      <queryTableField id="2" name="WorkLifeBalance" tableColumnId="2"/>
      <queryTableField id="3" name="total" tableColumnId="3"/>
      <queryTableField id="4" name="WorkLife" tableColumnId="4"/>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ExternalData_1" connectionId="19" xr16:uid="{62A1D8EA-C0AD-45F0-8071-076F800E07A5}" autoFormatId="16" applyNumberFormats="0" applyBorderFormats="0" applyFontFormats="0" applyPatternFormats="0" applyAlignmentFormats="0" applyWidthHeightFormats="0">
  <queryTableRefresh nextId="5">
    <queryTableFields count="4">
      <queryTableField id="1" name="Attrition" tableColumnId="1"/>
      <queryTableField id="2" name="YearsSinceLastPromotion" tableColumnId="2"/>
      <queryTableField id="3" name="PromotionGroup" tableColumnId="3"/>
      <queryTableField id="4" name="total" tableColumnId="4"/>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ExternalData_1" connectionId="20" xr16:uid="{8A3808FE-11F0-48D0-BDC8-768733AB6D8B}" autoFormatId="16" applyNumberFormats="0" applyBorderFormats="0" applyFontFormats="0" applyPatternFormats="0" applyAlignmentFormats="0" applyWidthHeightFormats="0">
  <queryTableRefresh nextId="5">
    <queryTableFields count="4">
      <queryTableField id="1" name="Age" tableColumnId="1"/>
      <queryTableField id="2" name="Gender" tableColumnId="2"/>
      <queryTableField id="3" name="total_employees" tableColumnId="3"/>
      <queryTableField id="4" name="AgeGroup" tableColumnId="4"/>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ExternalData_2" connectionId="21" xr16:uid="{7CE33625-E2D7-414A-97F0-CDC286E9EA05}" autoFormatId="16" applyNumberFormats="0" applyBorderFormats="0" applyFontFormats="0" applyPatternFormats="0" applyAlignmentFormats="0" applyWidthHeightFormats="0">
  <queryTableRefresh nextId="4">
    <queryTableFields count="3">
      <queryTableField id="1" name="AVG(MonthlyIncome)" tableColumnId="1"/>
      <queryTableField id="2" name="total" tableColumnId="2"/>
      <queryTableField id="3" name="Education_Level" tableColumnId="3"/>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ExternalData_1" connectionId="22" xr16:uid="{B7C5EDC6-E3A6-48B5-9E7D-0F725EFCB8EC}" autoFormatId="16" applyNumberFormats="0" applyBorderFormats="0" applyFontFormats="0" applyPatternFormats="0" applyAlignmentFormats="0" applyWidthHeightFormats="0">
  <queryTableRefresh nextId="4">
    <queryTableFields count="3">
      <queryTableField id="1" name="AvgMonthly" tableColumnId="1"/>
      <queryTableField id="2" name="total_employees" tableColumnId="2"/>
      <queryTableField id="3" name="DistanceStatus" tableColumnId="3"/>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ExternalData_1" connectionId="23" xr16:uid="{8EB90216-A5A9-4D79-A342-46B7BF55A7C6}" autoFormatId="16" applyNumberFormats="0" applyBorderFormats="0" applyFontFormats="0" applyPatternFormats="0" applyAlignmentFormats="0" applyWidthHeightFormats="0">
  <queryTableRefresh nextId="5">
    <queryTableFields count="4">
      <queryTableField id="1" name="PerformanceRating" tableColumnId="1"/>
      <queryTableField id="2" name="Total_employees" tableColumnId="2"/>
      <queryTableField id="3" name="Attrition_rate" tableColumnId="3"/>
      <queryTableField id="4" name="PerformanceRating2" tableColumnId="4"/>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ExternalData_1" connectionId="1" xr16:uid="{F9C0C95C-6908-44D3-9E2F-030988EF20A8}" autoFormatId="16" applyNumberFormats="0" applyBorderFormats="0" applyFontFormats="0" applyPatternFormats="0" applyAlignmentFormats="0" applyWidthHeightFormats="0">
  <queryTableRefresh nextId="38">
    <queryTableFields count="37">
      <queryTableField id="1" name="EmployeeID" tableColumnId="1"/>
      <queryTableField id="2" name="Age" tableColumnId="2"/>
      <queryTableField id="3" name="Gender" tableColumnId="3"/>
      <queryTableField id="4" name="MaritalStatus" tableColumnId="4"/>
      <queryTableField id="5" name="Education" tableColumnId="5"/>
      <queryTableField id="6" name="EducationField" tableColumnId="6"/>
      <queryTableField id="7" name="NumCompaniesWorked" tableColumnId="7"/>
      <queryTableField id="8" name="Over18" tableColumnId="8"/>
      <queryTableField id="9" name="TotalWorkingYears" tableColumnId="9"/>
      <queryTableField id="10" name="TrainingTimesLastYear" tableColumnId="10"/>
      <queryTableField id="11" name="YearsAtCompany" tableColumnId="11"/>
      <queryTableField id="12" name="YearsInCurrentRole" tableColumnId="12"/>
      <queryTableField id="13" name="YearsSinceLastPromotion" tableColumnId="13"/>
      <queryTableField id="14" name="YearsWithCurrManager" tableColumnId="14"/>
      <queryTableField id="15" name="Attrition" tableColumnId="15"/>
      <queryTableField id="16" name="BusinessTravel" tableColumnId="16"/>
      <queryTableField id="17" name="DailyRate" tableColumnId="17"/>
      <queryTableField id="18" name="Department" tableColumnId="18"/>
      <queryTableField id="19" name="Distance" tableColumnId="19"/>
      <queryTableField id="20" name="EmployeeCount" tableColumnId="20"/>
      <queryTableField id="21" name="EnvironmentSatisfaction" tableColumnId="21"/>
      <queryTableField id="22" name="HourlyRate" tableColumnId="22"/>
      <queryTableField id="23" name="JobInvolvement" tableColumnId="23"/>
      <queryTableField id="24" name="JobLevel" tableColumnId="24"/>
      <queryTableField id="25" name="JobRole" tableColumnId="25"/>
      <queryTableField id="26" name="JobSatisfaction" tableColumnId="26"/>
      <queryTableField id="27" name="MonthlyIncome" tableColumnId="27"/>
      <queryTableField id="28" name="MonthlyRate" tableColumnId="28"/>
      <queryTableField id="29" name="OverTime" tableColumnId="29"/>
      <queryTableField id="30" name="PercentSalaryHike" tableColumnId="30"/>
      <queryTableField id="31" name="PerformanceRating" tableColumnId="31"/>
      <queryTableField id="32" name="RelationshipSatisfaction" tableColumnId="32"/>
      <queryTableField id="33" name="StandardHours" tableColumnId="33"/>
      <queryTableField id="34" name="StockOptionLevel" tableColumnId="34"/>
      <queryTableField id="35" name="WorkLifeBalance" tableColumnId="35"/>
      <queryTableField id="36" name="AttritionNum" tableColumnId="36"/>
      <queryTableField id="37" name="AgeGroup" tableColumnId="37"/>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ExternalData_1" connectionId="29" xr16:uid="{2ABC1200-2B5F-49BE-9F5C-5356FC55517C}" autoFormatId="16" applyNumberFormats="0" applyBorderFormats="0" applyFontFormats="0" applyPatternFormats="0" applyAlignmentFormats="0" applyWidthHeightFormats="0">
  <queryTableRefresh nextId="5">
    <queryTableFields count="4">
      <queryTableField id="1" name="JobRole" tableColumnId="1"/>
      <queryTableField id="2" name="Distance" tableColumnId="2"/>
      <queryTableField id="3" name="total_employee" tableColumnId="3"/>
      <queryTableField id="4" name="DistanceStatus"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F90CCA4-FB2A-46D1-8B93-3702F37B169A}" sourceName="Gender">
  <pivotTables>
    <pivotTable tabId="3" name="PivotTable6"/>
    <pivotTable tabId="3" name="PivotTable5"/>
  </pivotTables>
  <data>
    <tabular pivotCacheId="77193460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36848E7-D2ED-4333-8103-E56D2E0CF7BF}" sourceName="Department">
  <pivotTables>
    <pivotTable tabId="3" name="PivotTable16"/>
  </pivotTables>
  <data>
    <tabular pivotCacheId="1596237885">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97C06D98-3B82-4FFD-80EE-D47B0F7447AA}" sourceName="MaritalStatus">
  <pivotTables>
    <pivotTable tabId="3" name="PivotTable17"/>
  </pivotTables>
  <data>
    <tabular pivotCacheId="1041502939" sortOrder="descending">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tanceStatus" xr10:uid="{B2906E70-FF91-4B83-B937-EC951F91E0F5}" sourceName="DistanceStatus">
  <pivotTables>
    <pivotTable tabId="3" name="PivotTable32"/>
  </pivotTables>
  <data>
    <tabular pivotCacheId="881645881">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0DA2E4B-551C-4D76-8F9F-671FC465488A}" cache="Slicer_Gender" caption="Gender" showCaption="0" style="SlicerStyleLight6" rowHeight="241300"/>
  <slicer name="Department" xr10:uid="{DF933C5F-3A0E-452F-8648-7B5C9D3610A5}" cache="Slicer_Department" caption="Department"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tanceStatus" xr10:uid="{3F56066F-872A-493D-A620-2DBB54B58174}" cache="Slicer_DistanceStatus" caption="DistanceStatus" columnCount="3" showCaption="0" style="SlicerStyleDark6"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1737FAE7-C24C-4F2F-99BC-9AB6D3FA40AA}" cache="Slicer_Department" caption="Department" showCaption="0" style="SlicerStyleDark6" rowHeight="241300"/>
  <slicer name="MaritalStatus" xr10:uid="{1D551D7C-AD16-4D4E-B41D-3E5DE2BA5619}" cache="Slicer_MaritalStatus" caption="MaritalStatus" columnCount="3" showCaption="0" style="SlicerStyleDark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5.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8.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9.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20.xml"/></Relationships>
</file>

<file path=xl/tables/_rels/table21.xml.rels><?xml version="1.0" encoding="UTF-8" standalone="yes"?>
<Relationships xmlns="http://schemas.openxmlformats.org/package/2006/relationships"><Relationship Id="rId1" Type="http://schemas.openxmlformats.org/officeDocument/2006/relationships/queryTable" Target="../queryTables/queryTable21.xml"/></Relationships>
</file>

<file path=xl/tables/_rels/table22.xml.rels><?xml version="1.0" encoding="UTF-8" standalone="yes"?>
<Relationships xmlns="http://schemas.openxmlformats.org/package/2006/relationships"><Relationship Id="rId1" Type="http://schemas.openxmlformats.org/officeDocument/2006/relationships/queryTable" Target="../queryTables/queryTable22.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23.xml"/></Relationships>
</file>

<file path=xl/tables/_rels/table24.xml.rels><?xml version="1.0" encoding="UTF-8" standalone="yes"?>
<Relationships xmlns="http://schemas.openxmlformats.org/package/2006/relationships"><Relationship Id="rId1" Type="http://schemas.openxmlformats.org/officeDocument/2006/relationships/queryTable" Target="../queryTables/queryTable24.xml"/></Relationships>
</file>

<file path=xl/tables/_rels/table25.xml.rels><?xml version="1.0" encoding="UTF-8" standalone="yes"?>
<Relationships xmlns="http://schemas.openxmlformats.org/package/2006/relationships"><Relationship Id="rId1" Type="http://schemas.openxmlformats.org/officeDocument/2006/relationships/queryTable" Target="../queryTables/queryTable25.xml"/></Relationships>
</file>

<file path=xl/tables/_rels/table26.xml.rels><?xml version="1.0" encoding="UTF-8" standalone="yes"?>
<Relationships xmlns="http://schemas.openxmlformats.org/package/2006/relationships"><Relationship Id="rId1" Type="http://schemas.openxmlformats.org/officeDocument/2006/relationships/queryTable" Target="../queryTables/queryTable2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64E18F-44ED-4741-BB53-B2202A3A6CAE}" name="Query2" displayName="Query2" ref="A1:A2" tableType="queryTable" totalsRowShown="0" dataDxfId="59">
  <autoFilter ref="A1:A2" xr:uid="{CA64E18F-44ED-4741-BB53-B2202A3A6CAE}"/>
  <tableColumns count="1">
    <tableColumn id="1" xr3:uid="{6F61ACAD-0680-47D1-ABD4-68D1BD3E26B7}" uniqueName="1" name="Total_Income" queryTableFieldId="1" dataDxfId="5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36D7EE-6253-456A-A23C-3BC2F50034E9}" name="Query1" displayName="Query1" ref="A1:A2" tableType="queryTable" totalsRowShown="0">
  <autoFilter ref="A1:A2" xr:uid="{9836D7EE-6253-456A-A23C-3BC2F50034E9}"/>
  <tableColumns count="1">
    <tableColumn id="1" xr3:uid="{CA47D60C-BEEE-4645-B2D1-049086911057}" uniqueName="1" name="total_number_of_Employees" queryTableFieldId="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46A6A87-36F5-4465-AC44-546C07C9172A}" name="Query4" displayName="Query4" ref="A1:B3" tableType="queryTable" totalsRowShown="0">
  <autoFilter ref="A1:B3" xr:uid="{346A6A87-36F5-4465-AC44-546C07C9172A}"/>
  <tableColumns count="2">
    <tableColumn id="1" xr3:uid="{AC6F59A6-8DBF-400D-A568-ED138CBC6306}" uniqueName="1" name="Attrition" queryTableFieldId="1" dataDxfId="57"/>
    <tableColumn id="2" xr3:uid="{6E9F5084-A460-4A6F-B7AE-62509542D115}" uniqueName="2" name="total_num_employees"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4D0F1AF-F513-43D8-B7FC-33C2E60821A7}" name="Query5" displayName="Query5" ref="A1:C5" tableType="queryTable" totalsRowShown="0">
  <autoFilter ref="A1:C5" xr:uid="{74D0F1AF-F513-43D8-B7FC-33C2E60821A7}"/>
  <tableColumns count="3">
    <tableColumn id="1" xr3:uid="{1E0F1D38-F796-4985-B989-814927750BE6}" uniqueName="1" name="Gender" queryTableFieldId="1" dataDxfId="56"/>
    <tableColumn id="2" xr3:uid="{036A1C1F-5DDA-4A00-98AC-284EF17A128C}" uniqueName="2" name="Attrition" queryTableFieldId="2" dataDxfId="55"/>
    <tableColumn id="3" xr3:uid="{52D245C2-BB03-421E-BD55-D854AFE6199C}" uniqueName="3" name="total" queryTableFieldId="3"/>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C71582-4E76-40FB-BC54-FEA94849D25C}" name="Query6" displayName="Query6" ref="A1:B3" tableType="queryTable" totalsRowShown="0">
  <autoFilter ref="A1:B3" xr:uid="{9DC71582-4E76-40FB-BC54-FEA94849D25C}"/>
  <tableColumns count="2">
    <tableColumn id="1" xr3:uid="{A1BF7CCA-9C77-4F1A-BA8E-5C18B6B7886B}" uniqueName="1" name="Attrition" queryTableFieldId="1" dataDxfId="54"/>
    <tableColumn id="2" xr3:uid="{6139C4F3-F44D-4AA8-96B1-C3F9531A803A}" uniqueName="2" name="avg_income" queryTableFieldId="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2FD85CF-AEDD-4578-8C85-78EB51ECD07B}" name="Query7" displayName="Query7" ref="A1:C5" tableType="queryTable" totalsRowShown="0">
  <autoFilter ref="A1:C5" xr:uid="{C2FD85CF-AEDD-4578-8C85-78EB51ECD07B}"/>
  <tableColumns count="3">
    <tableColumn id="1" xr3:uid="{65B220DC-DEE1-4AB7-A14D-A5E02157C919}" uniqueName="1" name="Attrition" queryTableFieldId="1" dataDxfId="53"/>
    <tableColumn id="2" xr3:uid="{68F34390-D9F5-4C9A-8318-BB8A78E93131}" uniqueName="2" name="WorkLifeBalance" queryTableFieldId="2"/>
    <tableColumn id="3" xr3:uid="{83CA6115-12A1-40DB-B5E9-5EB0C1EADEBC}" uniqueName="3" name="total" queryTableFieldId="3"/>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91A940B-3464-4A49-B61B-F9C69F65E7B9}" name="Query8" displayName="Query8" ref="A1:C5" tableType="queryTable" totalsRowShown="0">
  <autoFilter ref="A1:C5" xr:uid="{891A940B-3464-4A49-B61B-F9C69F65E7B9}"/>
  <tableColumns count="3">
    <tableColumn id="1" xr3:uid="{3970E94D-CF5D-4E8F-A0A3-79F24774A9EE}" uniqueName="1" name="Attrition" queryTableFieldId="1" dataDxfId="52"/>
    <tableColumn id="2" xr3:uid="{EF904AE4-280E-4668-9FA8-CC80043950A9}" uniqueName="2" name="total" queryTableFieldId="2"/>
    <tableColumn id="3" xr3:uid="{B88C1A9E-F08D-4F8F-873B-1095B19DE6C5}" uniqueName="3" name="Job_Satisfication" queryTableFieldId="3" dataDxfId="51"/>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5EE0583E-D41E-41B3-81F4-87F2E46FA3F8}" name="Query813" displayName="Query813" ref="F1:I5" tableType="queryTable" totalsRowShown="0">
  <autoFilter ref="F1:I5" xr:uid="{5EE0583E-D41E-41B3-81F4-87F2E46FA3F8}"/>
  <tableColumns count="4">
    <tableColumn id="1" xr3:uid="{7535843B-C8AC-4EC1-850D-00B190C9B1C4}" uniqueName="1" name="Attrition" queryTableFieldId="1" dataDxfId="50"/>
    <tableColumn id="2" xr3:uid="{795944DE-65C7-4060-808C-AD23189F8BD9}" uniqueName="2" name="total" queryTableFieldId="2" dataDxfId="49" dataCellStyle="Percent"/>
    <tableColumn id="3" xr3:uid="{4AE93E32-F296-4622-BFB8-101C5F3B0ABF}" uniqueName="3" name="Job_Satisfication" queryTableFieldId="3" dataDxfId="48"/>
    <tableColumn id="4" xr3:uid="{932A785A-6988-4C48-9678-607F2945A5CD}" uniqueName="4" name="Column1" queryTableFieldId="4"/>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C246957-2A31-4EF3-A6DC-E730D03107E9}" name="Query9" displayName="Query9" ref="A1:C5" tableType="queryTable" totalsRowShown="0">
  <autoFilter ref="A1:C5" xr:uid="{6C246957-2A31-4EF3-A6DC-E730D03107E9}"/>
  <sortState xmlns:xlrd2="http://schemas.microsoft.com/office/spreadsheetml/2017/richdata2" ref="A2:C5">
    <sortCondition ref="A2:A5" customList="0-2 Years,3-5 Years,6-10 Years,10+ Years"/>
  </sortState>
  <tableColumns count="3">
    <tableColumn id="1" xr3:uid="{340AB937-B44F-43F3-9967-382CF8E46609}" uniqueName="1" name="tenure_group" queryTableFieldId="1" dataDxfId="47"/>
    <tableColumn id="2" xr3:uid="{73EA3162-DBD9-41BF-8062-8A66666E4CD4}" uniqueName="2" name="Attrition" queryTableFieldId="2" dataDxfId="46"/>
    <tableColumn id="3" xr3:uid="{B79ADEA2-37C7-4027-868D-5CC29EA8011A}" uniqueName="3" name="total" queryTableFieldId="3"/>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9369372-1228-471C-BDA6-AD601FF25158}" name="Query10" displayName="Query10" ref="A1:F19" tableType="queryTable" totalsRowShown="0">
  <autoFilter ref="A1:F19" xr:uid="{09369372-1228-471C-BDA6-AD601FF25158}"/>
  <tableColumns count="6">
    <tableColumn id="1" xr3:uid="{4D37DF2D-6FAB-4F20-81E2-9F55DDEBDF50}" uniqueName="1" name="Attrition" queryTableFieldId="1" dataDxfId="45"/>
    <tableColumn id="2" xr3:uid="{C7E06246-B359-4AFE-9C80-CCFA5CC4F87C}" uniqueName="2" name="JobRole" queryTableFieldId="2" dataDxfId="44"/>
    <tableColumn id="3" xr3:uid="{AD94C08C-77AD-4767-A8E0-4C54F75D3BCF}" uniqueName="3" name="avg_distance" queryTableFieldId="3"/>
    <tableColumn id="4" xr3:uid="{AEA88715-D268-4A0A-89E9-988861922D54}" uniqueName="4" name="highest_distance" queryTableFieldId="4"/>
    <tableColumn id="5" xr3:uid="{0CC4289B-C028-436B-8E49-9492B1909F2F}" uniqueName="5" name="lowest_distance" queryTableFieldId="5"/>
    <tableColumn id="6" xr3:uid="{2FEC36C1-65BD-4D7D-989D-394ADB37496D}" uniqueName="6" name="total_disatance" queryTableFieldId="6"/>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A0F9805E-3C3C-4FDD-99DA-77A12055052F}" name="Query11" displayName="Query11" ref="A1:C6" tableType="queryTable" totalsRowShown="0">
  <autoFilter ref="A1:C6" xr:uid="{A0F9805E-3C3C-4FDD-99DA-77A12055052F}"/>
  <tableColumns count="3">
    <tableColumn id="1" xr3:uid="{CAA3915C-918D-431A-9A94-D71EF9CF456D}" uniqueName="1" name="AVG(MonthlyIncome)" queryTableFieldId="1"/>
    <tableColumn id="2" xr3:uid="{8679899C-71A9-49AE-B56D-8695FF4A413C}" uniqueName="2" name="total" queryTableFieldId="2"/>
    <tableColumn id="3" xr3:uid="{1A7FDE35-1FE3-4C84-B391-A2994643E133}" uniqueName="3" name="Education_Level" queryTableFieldId="3" dataDxfId="43"/>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4385909-96F1-4779-9F4E-C72C3C9ADB7F}" name="Query12" displayName="Query12" ref="A1:A2" tableType="queryTable" totalsRowShown="0" headerRowCellStyle="Percent" dataCellStyle="Percent">
  <autoFilter ref="A1:A2" xr:uid="{84385909-96F1-4779-9F4E-C72C3C9ADB7F}"/>
  <tableColumns count="1">
    <tableColumn id="1" xr3:uid="{69B00A0D-8491-4B5E-8514-680739D43166}" uniqueName="1" name="percentage" queryTableFieldId="1" dataDxfId="42" dataCellStyle="Percent"/>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CD79420-2DA1-4BAA-AB20-8A5B76A2FD78}" name="Query14" displayName="Query14" ref="A1:A2" tableType="queryTable" totalsRowShown="0" headerRowCellStyle="Percent" dataCellStyle="Percent">
  <autoFilter ref="A1:A2" xr:uid="{4CD79420-2DA1-4BAA-AB20-8A5B76A2FD78}"/>
  <tableColumns count="1">
    <tableColumn id="1" xr3:uid="{EC7905E5-E44C-483D-8D5D-8C83D8C7B780}" uniqueName="1" name="percentage" queryTableFieldId="1" dataDxfId="41" dataCellStyle="Percent"/>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BA83CFB2-740D-4A48-8504-3621D9B7DD65}" name="Query1425" displayName="Query1425" ref="C1:C2" tableType="queryTable" totalsRowShown="0" headerRowCellStyle="Percent" dataCellStyle="Percent">
  <autoFilter ref="C1:C2" xr:uid="{BA83CFB2-740D-4A48-8504-3621D9B7DD65}"/>
  <tableColumns count="1">
    <tableColumn id="1" xr3:uid="{427E3533-DF68-4D5D-9733-83B957C471BB}" uniqueName="1" name="percentage" queryTableFieldId="1" dataDxfId="40" dataCellStyle="Percent"/>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2FE6D21-E987-4294-924D-DEC64E8FC8D0}" name="Query15" displayName="Query15" ref="A1:A2" tableType="queryTable" totalsRowShown="0">
  <autoFilter ref="A1:A2" xr:uid="{D2FE6D21-E987-4294-924D-DEC64E8FC8D0}"/>
  <tableColumns count="1">
    <tableColumn id="1" xr3:uid="{42AD479A-69E8-4771-8EDB-8018B52530C3}" uniqueName="1" name="Average_Income" queryTableFieldId="1"/>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2763C8B-2CE4-452A-AD86-B3B73FE00668}" name="Query17" displayName="Query17" ref="A1:C7" tableType="queryTable" totalsRowShown="0">
  <autoFilter ref="A1:C7" xr:uid="{22763C8B-2CE4-452A-AD86-B3B73FE00668}"/>
  <tableColumns count="3">
    <tableColumn id="1" xr3:uid="{249BC032-5A8D-45D7-A80B-2124A31D1CB2}" uniqueName="1" name="Department" queryTableFieldId="1" dataDxfId="39"/>
    <tableColumn id="2" xr3:uid="{6217EC7C-873F-4315-AB06-DBB0E96DCA8A}" uniqueName="2" name="Attrition" queryTableFieldId="2" dataDxfId="38"/>
    <tableColumn id="3" xr3:uid="{23A9A0A2-5106-4660-A9B7-2F6387DB8905}" uniqueName="3" name="Total_employees" queryTableFieldId="3"/>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646BBCC6-DC7B-4EEC-9201-B678A5A0B563}" name="Query18" displayName="Query18" ref="A1:D7" tableType="queryTable" totalsRowShown="0">
  <autoFilter ref="A1:D7" xr:uid="{646BBCC6-DC7B-4EEC-9201-B678A5A0B563}"/>
  <tableColumns count="4">
    <tableColumn id="1" xr3:uid="{D389F6AE-2838-429E-992C-8FA4E97A886D}" uniqueName="1" name="MaritalStatus" queryTableFieldId="1" dataDxfId="37"/>
    <tableColumn id="2" xr3:uid="{26397439-1E40-443A-B675-C2576417F9DC}" uniqueName="2" name="Attrition" queryTableFieldId="2" dataDxfId="36"/>
    <tableColumn id="3" xr3:uid="{16E4208B-36CF-4B10-85C1-934DCF27F5E9}" uniqueName="3" name="Avg(MonthlyIncome)" queryTableFieldId="3"/>
    <tableColumn id="4" xr3:uid="{1E26E450-25D3-4EEC-A13F-2BE7FA037ACB}" uniqueName="4" name="total" queryTableFieldId="4"/>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6BFA61C-B30A-456D-90F9-11FB1B4CCCF1}" name="Query19" displayName="Query19" ref="A1:C5" tableType="queryTable" totalsRowShown="0">
  <autoFilter ref="A1:C5" xr:uid="{C6BFA61C-B30A-456D-90F9-11FB1B4CCCF1}"/>
  <tableColumns count="3">
    <tableColumn id="1" xr3:uid="{857F13D2-9DBB-4BC3-9331-E28D83520C10}" uniqueName="1" name="OverTime" queryTableFieldId="1" dataDxfId="35"/>
    <tableColumn id="2" xr3:uid="{DCAE5E69-8B90-4921-8735-76453CEEC4F8}" uniqueName="2" name="Attrition" queryTableFieldId="2" dataDxfId="34"/>
    <tableColumn id="3" xr3:uid="{04FDBC5A-C8BE-4D1A-A399-98850E31C688}" uniqueName="3" name="total" queryTableFieldId="3"/>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806FC64-88C4-4100-AE25-6DC7715BF010}" name="Query20" displayName="Query20" ref="A1:D9" tableType="queryTable" totalsRowShown="0">
  <autoFilter ref="A1:D9" xr:uid="{1806FC64-88C4-4100-AE25-6DC7715BF010}"/>
  <sortState xmlns:xlrd2="http://schemas.microsoft.com/office/spreadsheetml/2017/richdata2" ref="A2:D9">
    <sortCondition ref="D2:D9" customList="Poor,Fair,Good,Excellent"/>
  </sortState>
  <tableColumns count="4">
    <tableColumn id="1" xr3:uid="{0ABC02D4-E11D-401D-BE72-9A14D7445F69}" uniqueName="1" name="Attrition" queryTableFieldId="1" dataDxfId="33"/>
    <tableColumn id="2" xr3:uid="{BCF98949-4BA0-430A-A57D-9EBE034D3C09}" uniqueName="2" name="WorkLifeBalance" queryTableFieldId="2"/>
    <tableColumn id="3" xr3:uid="{3C24FE60-D2F6-4D2A-994E-AEAF555C150F}" uniqueName="3" name="total" queryTableFieldId="3"/>
    <tableColumn id="4" xr3:uid="{4ED091D6-A1A1-4DA5-B9FF-BEBEF57ECB4D}" uniqueName="4" name="WorkLife" queryTableFieldId="4" dataDxfId="32"/>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BB4C3A5-570D-4E82-87B6-25C1A1BF69D2}" name="Query22" displayName="Query22" ref="A1:D15" tableType="queryTable" totalsRowShown="0">
  <autoFilter ref="A1:D15" xr:uid="{4BB4C3A5-570D-4E82-87B6-25C1A1BF69D2}"/>
  <sortState xmlns:xlrd2="http://schemas.microsoft.com/office/spreadsheetml/2017/richdata2" ref="A2:D15">
    <sortCondition ref="C2:C15" customList="Less 1yrs,1-5yrs,6-10yrs,11-15yrs"/>
  </sortState>
  <tableColumns count="4">
    <tableColumn id="1" xr3:uid="{AEAAF614-C710-4294-9372-9B74DACD3766}" uniqueName="1" name="Attrition" queryTableFieldId="1" dataDxfId="31"/>
    <tableColumn id="2" xr3:uid="{DC03AF9F-E7A4-453E-8836-23F9662E97C1}" uniqueName="2" name="YearsSinceLastPromotion" queryTableFieldId="2"/>
    <tableColumn id="3" xr3:uid="{0D9830A8-2550-44AB-8FBB-7808B7C76406}" uniqueName="3" name="PromotionGroup" queryTableFieldId="3" dataDxfId="30"/>
    <tableColumn id="4" xr3:uid="{902CEB8A-6705-408E-BBED-68F1B7BB0AF0}" uniqueName="4" name="total" queryTableFieldId="4"/>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68EC4CC-9BA7-4BBA-B487-247776BDF896}" name="Query23" displayName="Query23" ref="A1:D86" tableType="queryTable" totalsRowShown="0">
  <autoFilter ref="A1:D86" xr:uid="{168EC4CC-9BA7-4BBA-B487-247776BDF896}"/>
  <sortState xmlns:xlrd2="http://schemas.microsoft.com/office/spreadsheetml/2017/richdata2" ref="A2:D86">
    <sortCondition ref="D2:D86" customList="18-27,28-37,38-47,48-57,58-67"/>
  </sortState>
  <tableColumns count="4">
    <tableColumn id="1" xr3:uid="{CE864733-790F-489E-BFB1-55A32CD4FD8C}" uniqueName="1" name="Age" queryTableFieldId="1"/>
    <tableColumn id="2" xr3:uid="{35BF7809-7FE0-4EDD-A16D-FB219F2F4B47}" uniqueName="2" name="Gender" queryTableFieldId="2" dataDxfId="29"/>
    <tableColumn id="3" xr3:uid="{5A63FA50-AF31-4DDE-BD8F-6C319EFE4644}" uniqueName="3" name="total_employees" queryTableFieldId="3"/>
    <tableColumn id="4" xr3:uid="{2A464A6B-FF67-4E34-A529-9B12914EDA01}" uniqueName="4" name="AgeGroup" queryTableFieldId="4" dataDxfId="28"/>
  </tableColumns>
  <tableStyleInfo name="TableStyleMedium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363785FF-D4A9-47F0-8F1A-54AAA90F33B5}" name="Query24" displayName="Query24" ref="A1:C6" tableType="queryTable" totalsRowShown="0">
  <autoFilter ref="A1:C6" xr:uid="{363785FF-D4A9-47F0-8F1A-54AAA90F33B5}"/>
  <sortState xmlns:xlrd2="http://schemas.microsoft.com/office/spreadsheetml/2017/richdata2" ref="A2:C6">
    <sortCondition ref="C2:C6" customList="Below College,College,Bachelor's,Master's,Doctorate"/>
  </sortState>
  <tableColumns count="3">
    <tableColumn id="1" xr3:uid="{C53E0DF1-5C08-43A6-99EC-2CAA2A247602}" uniqueName="1" name="AVG(MonthlyIncome)" queryTableFieldId="1"/>
    <tableColumn id="2" xr3:uid="{BB7F1806-0F18-45F7-9726-038A914BDB98}" uniqueName="2" name="total" queryTableFieldId="2"/>
    <tableColumn id="3" xr3:uid="{4F5753C0-7FD7-4B68-8F01-7823002A626C}" uniqueName="3" name="Education_Level" queryTableFieldId="3" dataDxfId="27"/>
  </tableColumns>
  <tableStyleInfo name="TableStyleMedium7"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5078EEF-FA9B-432A-9301-0C227C5D9C2B}" name="Query25" displayName="Query25" ref="A1:C30" tableType="queryTable" totalsRowShown="0">
  <autoFilter ref="A1:C30" xr:uid="{B5078EEF-FA9B-432A-9301-0C227C5D9C2B}">
    <filterColumn colId="2">
      <customFilters>
        <customFilter operator="notEqual" val=" "/>
      </customFilters>
    </filterColumn>
  </autoFilter>
  <tableColumns count="3">
    <tableColumn id="1" xr3:uid="{BE6286AB-48A8-4095-8F53-C693D0E7B059}" uniqueName="1" name="AvgMonthly" queryTableFieldId="1"/>
    <tableColumn id="2" xr3:uid="{5DC2BB90-CEDC-4540-BE44-3E6B8524DE78}" uniqueName="2" name="total_employees" queryTableFieldId="2"/>
    <tableColumn id="3" xr3:uid="{8C0469BC-AB82-48D0-9A2F-641E636EB396}" uniqueName="3" name="DistanceStatus" queryTableFieldId="3" dataDxfId="26"/>
  </tableColumns>
  <tableStyleInfo name="TableStyleMedium7"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FB49B75E-44B8-4392-B408-4BEC214E39C0}" name="Query26" displayName="Query26" ref="A1:D3" tableType="queryTable" totalsRowShown="0">
  <autoFilter ref="A1:D3" xr:uid="{FB49B75E-44B8-4392-B408-4BEC214E39C0}"/>
  <tableColumns count="4">
    <tableColumn id="1" xr3:uid="{57B4877F-86B7-49F8-87C0-F95FC77AB7CB}" uniqueName="1" name="PerformanceRating" queryTableFieldId="1"/>
    <tableColumn id="2" xr3:uid="{ED1F215C-C4CE-40E7-80EC-6E9F9364FAC4}" uniqueName="2" name="Total_employees" queryTableFieldId="2"/>
    <tableColumn id="3" xr3:uid="{2B0B07D5-7B06-4B95-A9C1-1BFF0C2461EF}" uniqueName="3" name="Attrition_rate" queryTableFieldId="3"/>
    <tableColumn id="4" xr3:uid="{1C07196E-3331-4CBE-90BD-A11B1AC9B2CB}" uniqueName="4" name="PerformanceRating2" queryTableFieldId="4" dataDxfId="25"/>
  </tableColumns>
  <tableStyleInfo name="TableStyleMedium7"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F6329B6-3F4F-4383-87BA-4E4A09215D15}" name="hr_employee_attrition" displayName="hr_employee_attrition" ref="A1:AK1471" tableType="queryTable" totalsRowShown="0">
  <autoFilter ref="A1:AK1471" xr:uid="{EF6329B6-3F4F-4383-87BA-4E4A09215D15}"/>
  <tableColumns count="37">
    <tableColumn id="1" xr3:uid="{89699953-0005-4F46-9B26-1E8239BCFC97}" uniqueName="1" name="EmployeeID" queryTableFieldId="1"/>
    <tableColumn id="2" xr3:uid="{970AB773-B0EA-4DAB-9A65-AB21C713AEC1}" uniqueName="2" name="Age" queryTableFieldId="2"/>
    <tableColumn id="3" xr3:uid="{C531062A-5B5B-44A7-9037-737170289A72}" uniqueName="3" name="Gender" queryTableFieldId="3" dataDxfId="24"/>
    <tableColumn id="4" xr3:uid="{0E3D3607-05BA-4908-AD6D-0B2FF7EEA4B4}" uniqueName="4" name="MaritalStatus" queryTableFieldId="4" dataDxfId="23"/>
    <tableColumn id="5" xr3:uid="{B710DE15-AA59-4CC8-AF63-A887337F6FEC}" uniqueName="5" name="Education" queryTableFieldId="5"/>
    <tableColumn id="6" xr3:uid="{B4C14B27-BDBE-43A7-AF95-FAD5E27A34ED}" uniqueName="6" name="EducationField" queryTableFieldId="6" dataDxfId="22"/>
    <tableColumn id="7" xr3:uid="{9F224115-7151-4793-9389-C2E4664B306D}" uniqueName="7" name="NumCompaniesWorked" queryTableFieldId="7"/>
    <tableColumn id="8" xr3:uid="{50410EEC-CD75-47C8-8E1A-41BBF6B7A4F7}" uniqueName="8" name="Over18" queryTableFieldId="8" dataDxfId="21"/>
    <tableColumn id="9" xr3:uid="{2010E986-8F47-4E00-93D3-AA416926DD3C}" uniqueName="9" name="TotalWorkingYears" queryTableFieldId="9"/>
    <tableColumn id="10" xr3:uid="{713280F1-B509-4FF6-ABF4-9C74A342B031}" uniqueName="10" name="TrainingTimesLastYear" queryTableFieldId="10"/>
    <tableColumn id="11" xr3:uid="{9FE78CD2-8ABB-404B-AA98-21D8A031383E}" uniqueName="11" name="YearsAtCompany" queryTableFieldId="11"/>
    <tableColumn id="12" xr3:uid="{FADBFFD0-471F-41FF-9A84-C63FC4F7B1C1}" uniqueName="12" name="YearsInCurrentRole" queryTableFieldId="12"/>
    <tableColumn id="13" xr3:uid="{F12891DF-C11F-4F18-AC3B-9807F67FE115}" uniqueName="13" name="YearsSinceLastPromotion" queryTableFieldId="13"/>
    <tableColumn id="14" xr3:uid="{1CD50A7E-4E48-44C0-9C26-7CAE6FE60062}" uniqueName="14" name="YearsWithCurrManager" queryTableFieldId="14"/>
    <tableColumn id="15" xr3:uid="{4A48F813-E5D0-4E2D-82C8-77E7E912C1AF}" uniqueName="15" name="Attrition" queryTableFieldId="15" dataDxfId="20"/>
    <tableColumn id="16" xr3:uid="{D759BB4A-965C-4161-AE12-90BFCF964487}" uniqueName="16" name="BusinessTravel" queryTableFieldId="16" dataDxfId="19"/>
    <tableColumn id="17" xr3:uid="{063789FE-ADB4-42AE-A3CC-6EAADD88AD6F}" uniqueName="17" name="DailyRate" queryTableFieldId="17"/>
    <tableColumn id="18" xr3:uid="{CF053AF7-50C5-4220-B621-16383B150237}" uniqueName="18" name="Department" queryTableFieldId="18" dataDxfId="18"/>
    <tableColumn id="19" xr3:uid="{E3D21416-2AFA-4941-A513-CB3514ABFA6D}" uniqueName="19" name="Distance" queryTableFieldId="19"/>
    <tableColumn id="20" xr3:uid="{87B758B4-FCFF-45AA-B44F-741CEE4B8E22}" uniqueName="20" name="EmployeeCount" queryTableFieldId="20"/>
    <tableColumn id="21" xr3:uid="{43C14274-5E51-4E44-8110-7E9846835200}" uniqueName="21" name="EnvironmentSatisfaction" queryTableFieldId="21"/>
    <tableColumn id="22" xr3:uid="{F203451A-F39D-4F2C-A2BA-F491191DB969}" uniqueName="22" name="HourlyRate" queryTableFieldId="22"/>
    <tableColumn id="23" xr3:uid="{7A115EC8-9C1E-4D4A-9E99-B37A44A25F12}" uniqueName="23" name="JobInvolvement" queryTableFieldId="23"/>
    <tableColumn id="24" xr3:uid="{22B8FF26-FAA8-4FA1-B319-9C33CC2E18AC}" uniqueName="24" name="JobLevel" queryTableFieldId="24"/>
    <tableColumn id="25" xr3:uid="{24B244BE-D4BB-4B7F-AC54-A7E9D49A0503}" uniqueName="25" name="JobRole" queryTableFieldId="25" dataDxfId="17"/>
    <tableColumn id="26" xr3:uid="{D088D239-C0CD-4894-91EA-65662FF56C7C}" uniqueName="26" name="JobSatisfaction" queryTableFieldId="26"/>
    <tableColumn id="27" xr3:uid="{4056270D-7FC8-408C-8A94-C1DC7880F484}" uniqueName="27" name="MonthlyIncome" queryTableFieldId="27"/>
    <tableColumn id="28" xr3:uid="{DA3665B6-B685-477B-9BE9-CD6BDC9B99FF}" uniqueName="28" name="MonthlyRate" queryTableFieldId="28"/>
    <tableColumn id="29" xr3:uid="{50CCED99-EC77-4175-AF1A-DFCBEB43462C}" uniqueName="29" name="OverTime" queryTableFieldId="29" dataDxfId="16"/>
    <tableColumn id="30" xr3:uid="{2D6774E5-D375-4DB9-8FD2-95267E87D4CD}" uniqueName="30" name="PercentSalaryHike" queryTableFieldId="30"/>
    <tableColumn id="31" xr3:uid="{75431F6D-6AA8-4C95-8167-9216E51BEEA7}" uniqueName="31" name="PerformanceRating" queryTableFieldId="31"/>
    <tableColumn id="32" xr3:uid="{F484DA37-135F-45B6-84CF-6166C7A67BAF}" uniqueName="32" name="RelationshipSatisfaction" queryTableFieldId="32"/>
    <tableColumn id="33" xr3:uid="{1952D0D6-5B05-4FC3-A2F9-D6CE0426268F}" uniqueName="33" name="StandardHours" queryTableFieldId="33"/>
    <tableColumn id="34" xr3:uid="{99E86697-9D1A-4464-AE9A-068F1D42D28C}" uniqueName="34" name="StockOptionLevel" queryTableFieldId="34"/>
    <tableColumn id="35" xr3:uid="{13E456FD-D260-47D5-A821-E1EA4E7AF1C5}" uniqueName="35" name="WorkLifeBalance" queryTableFieldId="35"/>
    <tableColumn id="36" xr3:uid="{71C02093-F9EF-406D-A3DE-E02071175FC6}" uniqueName="36" name="AttritionNum" queryTableFieldId="36"/>
    <tableColumn id="37" xr3:uid="{E5BF0259-D44D-4779-820B-E2C4920D8414}" uniqueName="37" name="AgeGroup" queryTableFieldId="37" dataDxfId="15"/>
  </tableColumns>
  <tableStyleInfo name="TableStyleMedium7"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2652E1F-CE4B-4F85-9600-52D8DB8644F8}" name="Query31" displayName="Query31" ref="A1:D113" tableType="queryTable" totalsRowShown="0">
  <autoFilter ref="A1:D113" xr:uid="{92652E1F-CE4B-4F85-9600-52D8DB8644F8}"/>
  <sortState xmlns:xlrd2="http://schemas.microsoft.com/office/spreadsheetml/2017/richdata2" ref="A2:D113">
    <sortCondition ref="A2:A113"/>
  </sortState>
  <tableColumns count="4">
    <tableColumn id="1" xr3:uid="{666F0468-445C-4DE7-8079-4ABBA4F39DC4}" uniqueName="1" name="JobRole" queryTableFieldId="1" dataDxfId="14"/>
    <tableColumn id="2" xr3:uid="{AAA47CAE-4F0A-45EB-A35C-0B1FEEE85FCB}" uniqueName="2" name="Distance" queryTableFieldId="2"/>
    <tableColumn id="3" xr3:uid="{5FB0F79D-7B94-4954-BFD1-50E767F6BF54}" uniqueName="3" name="total_employee" queryTableFieldId="3"/>
    <tableColumn id="4" xr3:uid="{EB727EA0-041E-44D0-AFE5-1ADBB56DE59A}" uniqueName="4" name="DistanceStatus" queryTableFieldId="4" dataDxfId="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29" Type="http://schemas.openxmlformats.org/officeDocument/2006/relationships/pivotTable" Target="../pivotTables/pivotTable29.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32" Type="http://schemas.microsoft.com/office/2007/relationships/slicer" Target="../slicers/slicer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28" Type="http://schemas.openxmlformats.org/officeDocument/2006/relationships/pivotTable" Target="../pivotTables/pivotTable28.xml"/><Relationship Id="rId10" Type="http://schemas.openxmlformats.org/officeDocument/2006/relationships/pivotTable" Target="../pivotTables/pivotTable10.xml"/><Relationship Id="rId19" Type="http://schemas.openxmlformats.org/officeDocument/2006/relationships/pivotTable" Target="../pivotTables/pivotTable19.xml"/><Relationship Id="rId31"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ivotTable" Target="../pivotTables/pivotTable27.xml"/><Relationship Id="rId30" Type="http://schemas.openxmlformats.org/officeDocument/2006/relationships/printerSettings" Target="../printerSettings/printerSettings1.bin"/></Relationships>
</file>

<file path=xl/worksheets/_rels/sheet2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2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23F33-BADA-4062-8CDF-CAE3B4ECCA04}">
  <dimension ref="A1:A2"/>
  <sheetViews>
    <sheetView workbookViewId="0">
      <selection activeCell="D18" sqref="D18"/>
    </sheetView>
  </sheetViews>
  <sheetFormatPr defaultRowHeight="15" x14ac:dyDescent="0.25"/>
  <cols>
    <col min="1" max="1" width="15.42578125" bestFit="1" customWidth="1"/>
  </cols>
  <sheetData>
    <row r="1" spans="1:1" x14ac:dyDescent="0.25">
      <c r="A1" t="s">
        <v>2</v>
      </c>
    </row>
    <row r="2" spans="1:1" x14ac:dyDescent="0.25">
      <c r="A2" s="2">
        <v>6502.9313000000002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ADD2D-C9ED-4713-B1EB-5D919662A15A}">
  <dimension ref="A1:A2"/>
  <sheetViews>
    <sheetView workbookViewId="0">
      <selection activeCell="H6" sqref="H6"/>
    </sheetView>
  </sheetViews>
  <sheetFormatPr defaultRowHeight="15" x14ac:dyDescent="0.25"/>
  <cols>
    <col min="1" max="1" width="29.5703125" bestFit="1" customWidth="1"/>
  </cols>
  <sheetData>
    <row r="1" spans="1:1" x14ac:dyDescent="0.25">
      <c r="A1" t="s">
        <v>0</v>
      </c>
    </row>
    <row r="2" spans="1:1" x14ac:dyDescent="0.25">
      <c r="A2">
        <v>1470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16F74-CFAE-487D-8F16-DBB3073F9C5B}">
  <dimension ref="A1:B3"/>
  <sheetViews>
    <sheetView workbookViewId="0">
      <selection sqref="A1:B3"/>
    </sheetView>
  </sheetViews>
  <sheetFormatPr defaultRowHeight="15" x14ac:dyDescent="0.25"/>
  <cols>
    <col min="1" max="1" width="10.85546875" bestFit="1" customWidth="1"/>
    <col min="2" max="2" width="23.7109375" bestFit="1" customWidth="1"/>
  </cols>
  <sheetData>
    <row r="1" spans="1:2" x14ac:dyDescent="0.25">
      <c r="A1" t="s">
        <v>16</v>
      </c>
      <c r="B1" t="s">
        <v>17</v>
      </c>
    </row>
    <row r="2" spans="1:2" x14ac:dyDescent="0.25">
      <c r="A2" s="1" t="s">
        <v>18</v>
      </c>
      <c r="B2">
        <v>237</v>
      </c>
    </row>
    <row r="3" spans="1:2" x14ac:dyDescent="0.25">
      <c r="A3" s="1" t="s">
        <v>19</v>
      </c>
      <c r="B3">
        <v>1233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1CD8F-F311-4630-922E-087010E2A5B2}">
  <dimension ref="A1:C5"/>
  <sheetViews>
    <sheetView workbookViewId="0">
      <selection activeCell="H15" sqref="H15"/>
    </sheetView>
  </sheetViews>
  <sheetFormatPr defaultRowHeight="15" x14ac:dyDescent="0.25"/>
  <cols>
    <col min="1" max="1" width="10" bestFit="1" customWidth="1"/>
    <col min="2" max="2" width="10.85546875" bestFit="1" customWidth="1"/>
    <col min="3" max="3" width="7.42578125" bestFit="1" customWidth="1"/>
  </cols>
  <sheetData>
    <row r="1" spans="1:3" x14ac:dyDescent="0.25">
      <c r="A1" t="s">
        <v>22</v>
      </c>
      <c r="B1" t="s">
        <v>16</v>
      </c>
      <c r="C1" t="s">
        <v>23</v>
      </c>
    </row>
    <row r="2" spans="1:3" x14ac:dyDescent="0.25">
      <c r="A2" s="1" t="s">
        <v>24</v>
      </c>
      <c r="B2" s="1" t="s">
        <v>19</v>
      </c>
      <c r="C2">
        <v>501</v>
      </c>
    </row>
    <row r="3" spans="1:3" x14ac:dyDescent="0.25">
      <c r="A3" s="1" t="s">
        <v>24</v>
      </c>
      <c r="B3" s="1" t="s">
        <v>18</v>
      </c>
      <c r="C3">
        <v>87</v>
      </c>
    </row>
    <row r="4" spans="1:3" x14ac:dyDescent="0.25">
      <c r="A4" s="1" t="s">
        <v>25</v>
      </c>
      <c r="B4" s="1" t="s">
        <v>19</v>
      </c>
      <c r="C4">
        <v>732</v>
      </c>
    </row>
    <row r="5" spans="1:3" x14ac:dyDescent="0.25">
      <c r="A5" s="1" t="s">
        <v>25</v>
      </c>
      <c r="B5" s="1" t="s">
        <v>18</v>
      </c>
      <c r="C5">
        <v>150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94BC3-21A7-42F5-B145-0E52087DA638}">
  <dimension ref="A1:B3"/>
  <sheetViews>
    <sheetView workbookViewId="0">
      <selection activeCell="E7" sqref="E7"/>
    </sheetView>
  </sheetViews>
  <sheetFormatPr defaultRowHeight="15" x14ac:dyDescent="0.25"/>
  <cols>
    <col min="1" max="1" width="10.85546875" bestFit="1" customWidth="1"/>
    <col min="2" max="2" width="13.85546875" bestFit="1" customWidth="1"/>
  </cols>
  <sheetData>
    <row r="1" spans="1:2" x14ac:dyDescent="0.25">
      <c r="A1" t="s">
        <v>16</v>
      </c>
      <c r="B1" t="s">
        <v>27</v>
      </c>
    </row>
    <row r="2" spans="1:2" x14ac:dyDescent="0.25">
      <c r="A2" s="1" t="s">
        <v>19</v>
      </c>
      <c r="B2">
        <v>6832.74</v>
      </c>
    </row>
    <row r="3" spans="1:2" x14ac:dyDescent="0.25">
      <c r="A3" s="1" t="s">
        <v>18</v>
      </c>
      <c r="B3">
        <v>4787.09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9DDC1-D733-4979-B8E3-3375A305B407}">
  <dimension ref="A1:C5"/>
  <sheetViews>
    <sheetView workbookViewId="0">
      <selection sqref="A1:C5"/>
    </sheetView>
  </sheetViews>
  <sheetFormatPr defaultRowHeight="15" x14ac:dyDescent="0.25"/>
  <cols>
    <col min="1" max="1" width="10.85546875" bestFit="1" customWidth="1"/>
    <col min="2" max="2" width="18.42578125" bestFit="1" customWidth="1"/>
    <col min="3" max="3" width="7.42578125" bestFit="1" customWidth="1"/>
  </cols>
  <sheetData>
    <row r="1" spans="1:3" x14ac:dyDescent="0.25">
      <c r="A1" t="s">
        <v>16</v>
      </c>
      <c r="B1" t="s">
        <v>28</v>
      </c>
      <c r="C1" t="s">
        <v>23</v>
      </c>
    </row>
    <row r="2" spans="1:3" x14ac:dyDescent="0.25">
      <c r="A2" s="1" t="s">
        <v>18</v>
      </c>
      <c r="B2">
        <v>1</v>
      </c>
      <c r="C2">
        <v>25</v>
      </c>
    </row>
    <row r="3" spans="1:3" x14ac:dyDescent="0.25">
      <c r="A3" s="1" t="s">
        <v>18</v>
      </c>
      <c r="B3">
        <v>2</v>
      </c>
      <c r="C3">
        <v>58</v>
      </c>
    </row>
    <row r="4" spans="1:3" x14ac:dyDescent="0.25">
      <c r="A4" s="1" t="s">
        <v>18</v>
      </c>
      <c r="B4">
        <v>3</v>
      </c>
      <c r="C4">
        <v>127</v>
      </c>
    </row>
    <row r="5" spans="1:3" x14ac:dyDescent="0.25">
      <c r="A5" s="1" t="s">
        <v>18</v>
      </c>
      <c r="B5">
        <v>4</v>
      </c>
      <c r="C5">
        <v>27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21D43-A03E-4AF9-8732-5DA5B5013FB3}">
  <dimension ref="A1:J12"/>
  <sheetViews>
    <sheetView workbookViewId="0">
      <selection activeCell="K11" sqref="K11"/>
    </sheetView>
  </sheetViews>
  <sheetFormatPr defaultRowHeight="15" x14ac:dyDescent="0.25"/>
  <cols>
    <col min="1" max="1" width="10.85546875" bestFit="1" customWidth="1"/>
    <col min="2" max="2" width="7.42578125" bestFit="1" customWidth="1"/>
    <col min="3" max="3" width="18.28515625" bestFit="1" customWidth="1"/>
    <col min="6" max="6" width="10.85546875" bestFit="1" customWidth="1"/>
    <col min="7" max="7" width="7.42578125" bestFit="1" customWidth="1"/>
    <col min="8" max="8" width="18.28515625" bestFit="1" customWidth="1"/>
    <col min="9" max="9" width="11.140625" bestFit="1" customWidth="1"/>
  </cols>
  <sheetData>
    <row r="1" spans="1:10" x14ac:dyDescent="0.25">
      <c r="A1" t="s">
        <v>16</v>
      </c>
      <c r="B1" t="s">
        <v>23</v>
      </c>
      <c r="C1" t="s">
        <v>29</v>
      </c>
      <c r="F1" t="s">
        <v>16</v>
      </c>
      <c r="G1" t="s">
        <v>23</v>
      </c>
      <c r="H1" t="s">
        <v>29</v>
      </c>
      <c r="I1" t="s">
        <v>84</v>
      </c>
      <c r="J1" t="s">
        <v>23</v>
      </c>
    </row>
    <row r="2" spans="1:10" x14ac:dyDescent="0.25">
      <c r="A2" s="1" t="s">
        <v>18</v>
      </c>
      <c r="B2">
        <v>66</v>
      </c>
      <c r="C2" s="1" t="s">
        <v>30</v>
      </c>
      <c r="F2" s="1" t="s">
        <v>18</v>
      </c>
      <c r="G2" s="8">
        <v>66</v>
      </c>
      <c r="H2" s="1" t="s">
        <v>30</v>
      </c>
      <c r="I2" t="s">
        <v>30</v>
      </c>
      <c r="J2" s="8">
        <f>Query813[[#This Row],[total]]/100</f>
        <v>0.66</v>
      </c>
    </row>
    <row r="3" spans="1:10" x14ac:dyDescent="0.25">
      <c r="A3" s="1" t="s">
        <v>18</v>
      </c>
      <c r="B3">
        <v>46</v>
      </c>
      <c r="C3" s="1" t="s">
        <v>30</v>
      </c>
      <c r="F3" s="1" t="s">
        <v>18</v>
      </c>
      <c r="G3" s="8">
        <v>46</v>
      </c>
      <c r="H3" s="1" t="s">
        <v>30</v>
      </c>
      <c r="I3" t="s">
        <v>30</v>
      </c>
      <c r="J3" s="8">
        <f>Query813[[#This Row],[total]]/100</f>
        <v>0.46</v>
      </c>
    </row>
    <row r="4" spans="1:10" x14ac:dyDescent="0.25">
      <c r="A4" s="1" t="s">
        <v>18</v>
      </c>
      <c r="B4">
        <v>73</v>
      </c>
      <c r="C4" s="1" t="s">
        <v>31</v>
      </c>
      <c r="F4" s="1" t="s">
        <v>18</v>
      </c>
      <c r="G4" s="8">
        <v>73</v>
      </c>
      <c r="H4" s="1" t="s">
        <v>31</v>
      </c>
      <c r="I4" t="s">
        <v>31</v>
      </c>
      <c r="J4" s="8">
        <f>Query813[[#This Row],[total]]/100</f>
        <v>0.73</v>
      </c>
    </row>
    <row r="5" spans="1:10" x14ac:dyDescent="0.25">
      <c r="A5" s="1" t="s">
        <v>18</v>
      </c>
      <c r="B5">
        <v>52</v>
      </c>
      <c r="C5" s="1" t="s">
        <v>32</v>
      </c>
      <c r="F5" s="1" t="s">
        <v>18</v>
      </c>
      <c r="G5" s="8">
        <v>52</v>
      </c>
      <c r="H5" s="1" t="s">
        <v>32</v>
      </c>
      <c r="I5" t="s">
        <v>32</v>
      </c>
      <c r="J5" s="8">
        <f>Query813[[#This Row],[total]]/100</f>
        <v>0.52</v>
      </c>
    </row>
    <row r="9" spans="1:10" x14ac:dyDescent="0.25">
      <c r="F9" s="1"/>
      <c r="G9" s="8"/>
      <c r="H9" s="1"/>
    </row>
    <row r="10" spans="1:10" x14ac:dyDescent="0.25">
      <c r="F10" s="1"/>
      <c r="G10" s="8"/>
      <c r="H10" s="1"/>
    </row>
    <row r="11" spans="1:10" x14ac:dyDescent="0.25">
      <c r="F11" s="1"/>
      <c r="G11" s="8"/>
      <c r="H11" s="1"/>
    </row>
    <row r="12" spans="1:10" x14ac:dyDescent="0.25">
      <c r="F12" s="1"/>
      <c r="G12" s="8"/>
      <c r="H12" s="1"/>
    </row>
  </sheetData>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2C7CE-5944-414A-8BF5-B2BA7B25355B}">
  <dimension ref="A1:C5"/>
  <sheetViews>
    <sheetView workbookViewId="0">
      <selection sqref="A1:C5"/>
    </sheetView>
  </sheetViews>
  <sheetFormatPr defaultRowHeight="15" x14ac:dyDescent="0.25"/>
  <cols>
    <col min="1" max="1" width="15.5703125" bestFit="1" customWidth="1"/>
    <col min="2" max="2" width="10.85546875" bestFit="1" customWidth="1"/>
    <col min="3" max="3" width="7.42578125" bestFit="1" customWidth="1"/>
  </cols>
  <sheetData>
    <row r="1" spans="1:3" x14ac:dyDescent="0.25">
      <c r="A1" t="s">
        <v>35</v>
      </c>
      <c r="B1" t="s">
        <v>16</v>
      </c>
      <c r="C1" t="s">
        <v>23</v>
      </c>
    </row>
    <row r="2" spans="1:3" x14ac:dyDescent="0.25">
      <c r="A2" s="1" t="s">
        <v>36</v>
      </c>
      <c r="B2" s="1" t="s">
        <v>18</v>
      </c>
      <c r="C2">
        <v>102</v>
      </c>
    </row>
    <row r="3" spans="1:3" x14ac:dyDescent="0.25">
      <c r="A3" s="1" t="s">
        <v>38</v>
      </c>
      <c r="B3" s="1" t="s">
        <v>18</v>
      </c>
      <c r="C3">
        <v>60</v>
      </c>
    </row>
    <row r="4" spans="1:3" x14ac:dyDescent="0.25">
      <c r="A4" s="1" t="s">
        <v>39</v>
      </c>
      <c r="B4" s="1" t="s">
        <v>18</v>
      </c>
      <c r="C4">
        <v>55</v>
      </c>
    </row>
    <row r="5" spans="1:3" x14ac:dyDescent="0.25">
      <c r="A5" s="1" t="s">
        <v>37</v>
      </c>
      <c r="B5" s="1" t="s">
        <v>18</v>
      </c>
      <c r="C5">
        <v>20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44ECD-3F80-4703-9218-016F31ED17B3}">
  <dimension ref="A1:F19"/>
  <sheetViews>
    <sheetView workbookViewId="0">
      <selection sqref="A1:F19"/>
    </sheetView>
  </sheetViews>
  <sheetFormatPr defaultRowHeight="15" x14ac:dyDescent="0.25"/>
  <cols>
    <col min="1" max="1" width="10.85546875" bestFit="1" customWidth="1"/>
    <col min="2" max="2" width="25" bestFit="1" customWidth="1"/>
    <col min="3" max="3" width="14.7109375" bestFit="1" customWidth="1"/>
    <col min="4" max="4" width="18.42578125" bestFit="1" customWidth="1"/>
    <col min="5" max="5" width="17.85546875" bestFit="1" customWidth="1"/>
    <col min="6" max="6" width="17" bestFit="1" customWidth="1"/>
  </cols>
  <sheetData>
    <row r="1" spans="1:6" x14ac:dyDescent="0.25">
      <c r="A1" t="s">
        <v>16</v>
      </c>
      <c r="B1" t="s">
        <v>41</v>
      </c>
      <c r="C1" t="s">
        <v>42</v>
      </c>
      <c r="D1" t="s">
        <v>43</v>
      </c>
      <c r="E1" t="s">
        <v>44</v>
      </c>
      <c r="F1" t="s">
        <v>45</v>
      </c>
    </row>
    <row r="2" spans="1:6" x14ac:dyDescent="0.25">
      <c r="A2" s="1" t="s">
        <v>19</v>
      </c>
      <c r="B2" s="1" t="s">
        <v>8</v>
      </c>
      <c r="C2">
        <v>9</v>
      </c>
      <c r="D2">
        <v>29</v>
      </c>
      <c r="E2">
        <v>1</v>
      </c>
      <c r="F2">
        <v>122</v>
      </c>
    </row>
    <row r="3" spans="1:6" x14ac:dyDescent="0.25">
      <c r="A3" s="1" t="s">
        <v>19</v>
      </c>
      <c r="B3" s="1" t="s">
        <v>12</v>
      </c>
      <c r="C3">
        <v>7</v>
      </c>
      <c r="D3">
        <v>26</v>
      </c>
      <c r="E3">
        <v>1</v>
      </c>
      <c r="F3">
        <v>40</v>
      </c>
    </row>
    <row r="4" spans="1:6" x14ac:dyDescent="0.25">
      <c r="A4" s="1" t="s">
        <v>19</v>
      </c>
      <c r="B4" s="1" t="s">
        <v>6</v>
      </c>
      <c r="C4">
        <v>9</v>
      </c>
      <c r="D4">
        <v>29</v>
      </c>
      <c r="E4">
        <v>1</v>
      </c>
      <c r="F4">
        <v>197</v>
      </c>
    </row>
    <row r="5" spans="1:6" x14ac:dyDescent="0.25">
      <c r="A5" s="1" t="s">
        <v>19</v>
      </c>
      <c r="B5" s="1" t="s">
        <v>9</v>
      </c>
      <c r="C5">
        <v>8</v>
      </c>
      <c r="D5">
        <v>29</v>
      </c>
      <c r="E5">
        <v>1</v>
      </c>
      <c r="F5">
        <v>97</v>
      </c>
    </row>
    <row r="6" spans="1:6" x14ac:dyDescent="0.25">
      <c r="A6" s="1" t="s">
        <v>19</v>
      </c>
      <c r="B6" s="1" t="s">
        <v>7</v>
      </c>
      <c r="C6">
        <v>10</v>
      </c>
      <c r="D6">
        <v>29</v>
      </c>
      <c r="E6">
        <v>1</v>
      </c>
      <c r="F6">
        <v>135</v>
      </c>
    </row>
    <row r="7" spans="1:6" x14ac:dyDescent="0.25">
      <c r="A7" s="1" t="s">
        <v>19</v>
      </c>
      <c r="B7" s="1" t="s">
        <v>11</v>
      </c>
      <c r="C7">
        <v>8</v>
      </c>
      <c r="D7">
        <v>28</v>
      </c>
      <c r="E7">
        <v>1</v>
      </c>
      <c r="F7">
        <v>78</v>
      </c>
    </row>
    <row r="8" spans="1:6" x14ac:dyDescent="0.25">
      <c r="A8" s="1" t="s">
        <v>19</v>
      </c>
      <c r="B8" s="1" t="s">
        <v>5</v>
      </c>
      <c r="C8">
        <v>9</v>
      </c>
      <c r="D8">
        <v>29</v>
      </c>
      <c r="E8">
        <v>1</v>
      </c>
      <c r="F8">
        <v>245</v>
      </c>
    </row>
    <row r="9" spans="1:6" x14ac:dyDescent="0.25">
      <c r="A9" s="1" t="s">
        <v>19</v>
      </c>
      <c r="B9" s="1" t="s">
        <v>4</v>
      </c>
      <c r="C9">
        <v>9</v>
      </c>
      <c r="D9">
        <v>29</v>
      </c>
      <c r="E9">
        <v>1</v>
      </c>
      <c r="F9">
        <v>269</v>
      </c>
    </row>
    <row r="10" spans="1:6" x14ac:dyDescent="0.25">
      <c r="A10" s="1" t="s">
        <v>19</v>
      </c>
      <c r="B10" s="1" t="s">
        <v>10</v>
      </c>
      <c r="C10">
        <v>9</v>
      </c>
      <c r="D10">
        <v>29</v>
      </c>
      <c r="E10">
        <v>1</v>
      </c>
      <c r="F10">
        <v>50</v>
      </c>
    </row>
    <row r="11" spans="1:6" x14ac:dyDescent="0.25">
      <c r="A11" s="1" t="s">
        <v>18</v>
      </c>
      <c r="B11" s="1" t="s">
        <v>8</v>
      </c>
      <c r="C11">
        <v>18</v>
      </c>
      <c r="D11">
        <v>29</v>
      </c>
      <c r="E11">
        <v>2</v>
      </c>
      <c r="F11">
        <v>9</v>
      </c>
    </row>
    <row r="12" spans="1:6" x14ac:dyDescent="0.25">
      <c r="A12" s="1" t="s">
        <v>18</v>
      </c>
      <c r="B12" s="1" t="s">
        <v>12</v>
      </c>
      <c r="C12">
        <v>13</v>
      </c>
      <c r="D12">
        <v>23</v>
      </c>
      <c r="E12">
        <v>1</v>
      </c>
      <c r="F12">
        <v>12</v>
      </c>
    </row>
    <row r="13" spans="1:6" x14ac:dyDescent="0.25">
      <c r="A13" s="1" t="s">
        <v>18</v>
      </c>
      <c r="B13" s="1" t="s">
        <v>6</v>
      </c>
      <c r="C13">
        <v>10</v>
      </c>
      <c r="D13">
        <v>29</v>
      </c>
      <c r="E13">
        <v>1</v>
      </c>
      <c r="F13">
        <v>62</v>
      </c>
    </row>
    <row r="14" spans="1:6" x14ac:dyDescent="0.25">
      <c r="A14" s="1" t="s">
        <v>18</v>
      </c>
      <c r="B14" s="1" t="s">
        <v>9</v>
      </c>
      <c r="C14">
        <v>10</v>
      </c>
      <c r="D14">
        <v>29</v>
      </c>
      <c r="E14">
        <v>2</v>
      </c>
      <c r="F14">
        <v>5</v>
      </c>
    </row>
    <row r="15" spans="1:6" x14ac:dyDescent="0.25">
      <c r="A15" s="1" t="s">
        <v>18</v>
      </c>
      <c r="B15" s="1" t="s">
        <v>7</v>
      </c>
      <c r="C15">
        <v>9</v>
      </c>
      <c r="D15">
        <v>23</v>
      </c>
      <c r="E15">
        <v>1</v>
      </c>
      <c r="F15">
        <v>10</v>
      </c>
    </row>
    <row r="16" spans="1:6" x14ac:dyDescent="0.25">
      <c r="A16" s="1" t="s">
        <v>18</v>
      </c>
      <c r="B16" s="1" t="s">
        <v>11</v>
      </c>
      <c r="C16">
        <v>7</v>
      </c>
      <c r="D16">
        <v>12</v>
      </c>
      <c r="E16">
        <v>2</v>
      </c>
      <c r="F16">
        <v>2</v>
      </c>
    </row>
    <row r="17" spans="1:6" x14ac:dyDescent="0.25">
      <c r="A17" s="1" t="s">
        <v>18</v>
      </c>
      <c r="B17" s="1" t="s">
        <v>5</v>
      </c>
      <c r="C17">
        <v>10</v>
      </c>
      <c r="D17">
        <v>29</v>
      </c>
      <c r="E17">
        <v>1</v>
      </c>
      <c r="F17">
        <v>47</v>
      </c>
    </row>
    <row r="18" spans="1:6" x14ac:dyDescent="0.25">
      <c r="A18" s="1" t="s">
        <v>18</v>
      </c>
      <c r="B18" s="1" t="s">
        <v>4</v>
      </c>
      <c r="C18">
        <v>13</v>
      </c>
      <c r="D18">
        <v>29</v>
      </c>
      <c r="E18">
        <v>1</v>
      </c>
      <c r="F18">
        <v>57</v>
      </c>
    </row>
    <row r="19" spans="1:6" x14ac:dyDescent="0.25">
      <c r="A19" s="1" t="s">
        <v>18</v>
      </c>
      <c r="B19" s="1" t="s">
        <v>10</v>
      </c>
      <c r="C19">
        <v>8</v>
      </c>
      <c r="D19">
        <v>24</v>
      </c>
      <c r="E19">
        <v>1</v>
      </c>
      <c r="F19">
        <v>33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08A03-6617-4DE3-8D5A-80031A70F9C5}">
  <dimension ref="A1:C6"/>
  <sheetViews>
    <sheetView workbookViewId="0">
      <selection activeCell="E1" sqref="E1"/>
    </sheetView>
  </sheetViews>
  <sheetFormatPr defaultRowHeight="15" x14ac:dyDescent="0.25"/>
  <cols>
    <col min="1" max="1" width="23.140625" bestFit="1" customWidth="1"/>
    <col min="2" max="2" width="7.42578125" bestFit="1" customWidth="1"/>
    <col min="3" max="3" width="17.85546875" bestFit="1" customWidth="1"/>
  </cols>
  <sheetData>
    <row r="1" spans="1:3" x14ac:dyDescent="0.25">
      <c r="A1" t="s">
        <v>48</v>
      </c>
      <c r="B1" t="s">
        <v>23</v>
      </c>
      <c r="C1" t="s">
        <v>49</v>
      </c>
    </row>
    <row r="2" spans="1:3" x14ac:dyDescent="0.25">
      <c r="A2">
        <v>4360.1612999999998</v>
      </c>
      <c r="B2">
        <v>31</v>
      </c>
      <c r="C2" s="1" t="s">
        <v>50</v>
      </c>
    </row>
    <row r="3" spans="1:3" x14ac:dyDescent="0.25">
      <c r="A3">
        <v>4282.5455000000002</v>
      </c>
      <c r="B3">
        <v>44</v>
      </c>
      <c r="C3" s="1" t="s">
        <v>51</v>
      </c>
    </row>
    <row r="4" spans="1:3" x14ac:dyDescent="0.25">
      <c r="A4">
        <v>4770.2424000000001</v>
      </c>
      <c r="B4">
        <v>99</v>
      </c>
      <c r="C4" s="1" t="s">
        <v>52</v>
      </c>
    </row>
    <row r="5" spans="1:3" x14ac:dyDescent="0.25">
      <c r="A5">
        <v>5335.1552000000001</v>
      </c>
      <c r="B5">
        <v>58</v>
      </c>
      <c r="C5" s="1" t="s">
        <v>53</v>
      </c>
    </row>
    <row r="6" spans="1:3" x14ac:dyDescent="0.25">
      <c r="A6">
        <v>5850.2</v>
      </c>
      <c r="B6">
        <v>5</v>
      </c>
      <c r="C6" s="1" t="s">
        <v>54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8C3E5C-A7A3-4B03-A353-26135E1E4EC8}">
  <dimension ref="A1:E2"/>
  <sheetViews>
    <sheetView workbookViewId="0">
      <selection activeCell="C2" sqref="C2"/>
    </sheetView>
  </sheetViews>
  <sheetFormatPr defaultRowHeight="15" x14ac:dyDescent="0.25"/>
  <cols>
    <col min="1" max="1" width="13.28515625" bestFit="1" customWidth="1"/>
  </cols>
  <sheetData>
    <row r="1" spans="1:5" x14ac:dyDescent="0.25">
      <c r="A1" s="8" t="s">
        <v>57</v>
      </c>
      <c r="C1" t="s">
        <v>58</v>
      </c>
      <c r="E1" s="8"/>
    </row>
    <row r="2" spans="1:5" x14ac:dyDescent="0.25">
      <c r="A2" s="8">
        <v>16.12</v>
      </c>
      <c r="C2" s="8">
        <f>Query12[[#This Row],[percentage]]/100</f>
        <v>0.16120000000000001</v>
      </c>
      <c r="E2" s="8"/>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6F571-8C60-4B67-8185-8E4326208C6C}">
  <dimension ref="A1:E2"/>
  <sheetViews>
    <sheetView workbookViewId="0">
      <selection activeCell="E1" sqref="E1:E2"/>
    </sheetView>
  </sheetViews>
  <sheetFormatPr defaultRowHeight="15" x14ac:dyDescent="0.25"/>
  <cols>
    <col min="1" max="1" width="13.28515625" bestFit="1" customWidth="1"/>
    <col min="3" max="3" width="13.28515625" bestFit="1" customWidth="1"/>
  </cols>
  <sheetData>
    <row r="1" spans="1:5" x14ac:dyDescent="0.25">
      <c r="A1" s="8" t="s">
        <v>57</v>
      </c>
      <c r="C1" s="8" t="s">
        <v>57</v>
      </c>
      <c r="E1" t="s">
        <v>145</v>
      </c>
    </row>
    <row r="2" spans="1:5" x14ac:dyDescent="0.25">
      <c r="A2" s="8">
        <v>83.88</v>
      </c>
      <c r="C2" s="8">
        <v>83.88</v>
      </c>
      <c r="E2" s="8">
        <f>Query1425[[#This Row],[percentage]]/100</f>
        <v>0.83879999999999999</v>
      </c>
    </row>
  </sheetData>
  <pageMargins left="0.7" right="0.7" top="0.75" bottom="0.75" header="0.3" footer="0.3"/>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8C6D2-B365-4EB0-8A96-4453E88D53DB}">
  <dimension ref="A1:A2"/>
  <sheetViews>
    <sheetView workbookViewId="0">
      <selection sqref="A1:A2"/>
    </sheetView>
  </sheetViews>
  <sheetFormatPr defaultRowHeight="15" x14ac:dyDescent="0.25"/>
  <cols>
    <col min="1" max="1" width="18.28515625" bestFit="1" customWidth="1"/>
  </cols>
  <sheetData>
    <row r="1" spans="1:1" x14ac:dyDescent="0.25">
      <c r="A1" t="s">
        <v>60</v>
      </c>
    </row>
    <row r="2" spans="1:1" x14ac:dyDescent="0.25">
      <c r="A2">
        <v>4787.0928000000004</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131A4-0E33-42DD-92F6-60DA05B9099E}">
  <dimension ref="A1:C7"/>
  <sheetViews>
    <sheetView workbookViewId="0">
      <selection sqref="A1:C7"/>
    </sheetView>
  </sheetViews>
  <sheetFormatPr defaultRowHeight="15" x14ac:dyDescent="0.25"/>
  <cols>
    <col min="1" max="1" width="23.85546875" bestFit="1" customWidth="1"/>
    <col min="2" max="2" width="10.85546875" bestFit="1" customWidth="1"/>
    <col min="3" max="3" width="18.7109375" bestFit="1" customWidth="1"/>
  </cols>
  <sheetData>
    <row r="1" spans="1:3" x14ac:dyDescent="0.25">
      <c r="A1" t="s">
        <v>62</v>
      </c>
      <c r="B1" t="s">
        <v>16</v>
      </c>
      <c r="C1" t="s">
        <v>65</v>
      </c>
    </row>
    <row r="2" spans="1:3" x14ac:dyDescent="0.25">
      <c r="A2" s="1" t="s">
        <v>12</v>
      </c>
      <c r="B2" s="1" t="s">
        <v>19</v>
      </c>
      <c r="C2">
        <v>51</v>
      </c>
    </row>
    <row r="3" spans="1:3" x14ac:dyDescent="0.25">
      <c r="A3" s="1" t="s">
        <v>12</v>
      </c>
      <c r="B3" s="1" t="s">
        <v>18</v>
      </c>
      <c r="C3">
        <v>12</v>
      </c>
    </row>
    <row r="4" spans="1:3" x14ac:dyDescent="0.25">
      <c r="A4" s="1" t="s">
        <v>63</v>
      </c>
      <c r="B4" s="1" t="s">
        <v>19</v>
      </c>
      <c r="C4">
        <v>828</v>
      </c>
    </row>
    <row r="5" spans="1:3" x14ac:dyDescent="0.25">
      <c r="A5" s="1" t="s">
        <v>63</v>
      </c>
      <c r="B5" s="1" t="s">
        <v>18</v>
      </c>
      <c r="C5">
        <v>133</v>
      </c>
    </row>
    <row r="6" spans="1:3" x14ac:dyDescent="0.25">
      <c r="A6" s="1" t="s">
        <v>64</v>
      </c>
      <c r="B6" s="1" t="s">
        <v>19</v>
      </c>
      <c r="C6">
        <v>354</v>
      </c>
    </row>
    <row r="7" spans="1:3" x14ac:dyDescent="0.25">
      <c r="A7" s="1" t="s">
        <v>64</v>
      </c>
      <c r="B7" s="1" t="s">
        <v>18</v>
      </c>
      <c r="C7">
        <v>92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A69DE-7ABF-40AE-A9AC-EC02AC28E38F}">
  <dimension ref="A1:D7"/>
  <sheetViews>
    <sheetView workbookViewId="0"/>
  </sheetViews>
  <sheetFormatPr defaultRowHeight="15" x14ac:dyDescent="0.25"/>
  <cols>
    <col min="1" max="1" width="15.140625" bestFit="1" customWidth="1"/>
    <col min="2" max="2" width="10.85546875" bestFit="1" customWidth="1"/>
    <col min="3" max="3" width="22.42578125" bestFit="1" customWidth="1"/>
    <col min="4" max="4" width="7.42578125" bestFit="1" customWidth="1"/>
  </cols>
  <sheetData>
    <row r="1" spans="1:4" x14ac:dyDescent="0.25">
      <c r="A1" t="s">
        <v>67</v>
      </c>
      <c r="B1" t="s">
        <v>16</v>
      </c>
      <c r="C1" t="s">
        <v>68</v>
      </c>
      <c r="D1" t="s">
        <v>23</v>
      </c>
    </row>
    <row r="2" spans="1:4" x14ac:dyDescent="0.25">
      <c r="A2" s="1" t="s">
        <v>69</v>
      </c>
      <c r="B2" s="1" t="s">
        <v>19</v>
      </c>
      <c r="C2">
        <v>7071.4557999999997</v>
      </c>
      <c r="D2">
        <v>294</v>
      </c>
    </row>
    <row r="3" spans="1:4" x14ac:dyDescent="0.25">
      <c r="A3" s="1" t="s">
        <v>69</v>
      </c>
      <c r="B3" s="1" t="s">
        <v>18</v>
      </c>
      <c r="C3">
        <v>4245.6970000000001</v>
      </c>
      <c r="D3">
        <v>33</v>
      </c>
    </row>
    <row r="4" spans="1:4" x14ac:dyDescent="0.25">
      <c r="A4" s="1" t="s">
        <v>70</v>
      </c>
      <c r="B4" s="1" t="s">
        <v>19</v>
      </c>
      <c r="C4">
        <v>6969.7793000000001</v>
      </c>
      <c r="D4">
        <v>589</v>
      </c>
    </row>
    <row r="5" spans="1:4" x14ac:dyDescent="0.25">
      <c r="A5" s="1" t="s">
        <v>70</v>
      </c>
      <c r="B5" s="1" t="s">
        <v>18</v>
      </c>
      <c r="C5">
        <v>5558.8213999999998</v>
      </c>
      <c r="D5">
        <v>84</v>
      </c>
    </row>
    <row r="6" spans="1:4" x14ac:dyDescent="0.25">
      <c r="A6" s="1" t="s">
        <v>71</v>
      </c>
      <c r="B6" s="1" t="s">
        <v>19</v>
      </c>
      <c r="C6">
        <v>6401.6</v>
      </c>
      <c r="D6">
        <v>350</v>
      </c>
    </row>
    <row r="7" spans="1:4" x14ac:dyDescent="0.25">
      <c r="A7" s="1" t="s">
        <v>71</v>
      </c>
      <c r="B7" s="1" t="s">
        <v>18</v>
      </c>
      <c r="C7">
        <v>4395.7667000000001</v>
      </c>
      <c r="D7">
        <v>120</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C51AE-7B9E-4BBA-98B0-F98C55301FE3}">
  <dimension ref="A1:C5"/>
  <sheetViews>
    <sheetView workbookViewId="0">
      <selection sqref="A1:C5"/>
    </sheetView>
  </sheetViews>
  <sheetFormatPr defaultRowHeight="15" x14ac:dyDescent="0.25"/>
  <cols>
    <col min="1" max="1" width="12" bestFit="1" customWidth="1"/>
    <col min="2" max="2" width="10.85546875" bestFit="1" customWidth="1"/>
    <col min="3" max="3" width="7.42578125" bestFit="1" customWidth="1"/>
  </cols>
  <sheetData>
    <row r="1" spans="1:3" x14ac:dyDescent="0.25">
      <c r="A1" t="s">
        <v>73</v>
      </c>
      <c r="B1" t="s">
        <v>16</v>
      </c>
      <c r="C1" t="s">
        <v>23</v>
      </c>
    </row>
    <row r="2" spans="1:3" x14ac:dyDescent="0.25">
      <c r="A2" s="1" t="s">
        <v>19</v>
      </c>
      <c r="B2" s="1" t="s">
        <v>19</v>
      </c>
      <c r="C2">
        <v>944</v>
      </c>
    </row>
    <row r="3" spans="1:3" x14ac:dyDescent="0.25">
      <c r="A3" s="1" t="s">
        <v>19</v>
      </c>
      <c r="B3" s="1" t="s">
        <v>18</v>
      </c>
      <c r="C3">
        <v>110</v>
      </c>
    </row>
    <row r="4" spans="1:3" x14ac:dyDescent="0.25">
      <c r="A4" s="1" t="s">
        <v>18</v>
      </c>
      <c r="B4" s="1" t="s">
        <v>19</v>
      </c>
      <c r="C4">
        <v>289</v>
      </c>
    </row>
    <row r="5" spans="1:3" x14ac:dyDescent="0.25">
      <c r="A5" s="1" t="s">
        <v>18</v>
      </c>
      <c r="B5" s="1" t="s">
        <v>18</v>
      </c>
      <c r="C5">
        <v>127</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C4A7D-3EE0-42EA-84AF-60805108EE87}">
  <dimension ref="A1:D9"/>
  <sheetViews>
    <sheetView workbookViewId="0">
      <selection sqref="A1:D9"/>
    </sheetView>
  </sheetViews>
  <sheetFormatPr defaultRowHeight="15" x14ac:dyDescent="0.25"/>
  <cols>
    <col min="1" max="1" width="10.85546875" bestFit="1" customWidth="1"/>
    <col min="2" max="2" width="18.42578125" bestFit="1" customWidth="1"/>
    <col min="3" max="3" width="7.42578125" bestFit="1" customWidth="1"/>
    <col min="4" max="4" width="11.42578125" bestFit="1" customWidth="1"/>
  </cols>
  <sheetData>
    <row r="1" spans="1:4" x14ac:dyDescent="0.25">
      <c r="A1" t="s">
        <v>16</v>
      </c>
      <c r="B1" t="s">
        <v>28</v>
      </c>
      <c r="C1" t="s">
        <v>23</v>
      </c>
      <c r="D1" t="s">
        <v>74</v>
      </c>
    </row>
    <row r="2" spans="1:4" x14ac:dyDescent="0.25">
      <c r="A2" s="1" t="s">
        <v>19</v>
      </c>
      <c r="B2">
        <v>1</v>
      </c>
      <c r="C2">
        <v>55</v>
      </c>
      <c r="D2" s="1" t="s">
        <v>75</v>
      </c>
    </row>
    <row r="3" spans="1:4" x14ac:dyDescent="0.25">
      <c r="A3" s="1" t="s">
        <v>18</v>
      </c>
      <c r="B3">
        <v>1</v>
      </c>
      <c r="C3">
        <v>25</v>
      </c>
      <c r="D3" s="1" t="s">
        <v>75</v>
      </c>
    </row>
    <row r="4" spans="1:4" x14ac:dyDescent="0.25">
      <c r="A4" s="1" t="s">
        <v>19</v>
      </c>
      <c r="B4">
        <v>2</v>
      </c>
      <c r="C4">
        <v>286</v>
      </c>
      <c r="D4" s="1" t="s">
        <v>76</v>
      </c>
    </row>
    <row r="5" spans="1:4" x14ac:dyDescent="0.25">
      <c r="A5" s="1" t="s">
        <v>18</v>
      </c>
      <c r="B5">
        <v>2</v>
      </c>
      <c r="C5">
        <v>58</v>
      </c>
      <c r="D5" s="1" t="s">
        <v>76</v>
      </c>
    </row>
    <row r="6" spans="1:4" x14ac:dyDescent="0.25">
      <c r="A6" s="1" t="s">
        <v>19</v>
      </c>
      <c r="B6">
        <v>3</v>
      </c>
      <c r="C6">
        <v>766</v>
      </c>
      <c r="D6" s="1" t="s">
        <v>31</v>
      </c>
    </row>
    <row r="7" spans="1:4" x14ac:dyDescent="0.25">
      <c r="A7" s="1" t="s">
        <v>18</v>
      </c>
      <c r="B7">
        <v>3</v>
      </c>
      <c r="C7">
        <v>127</v>
      </c>
      <c r="D7" s="1" t="s">
        <v>31</v>
      </c>
    </row>
    <row r="8" spans="1:4" x14ac:dyDescent="0.25">
      <c r="A8" s="1" t="s">
        <v>19</v>
      </c>
      <c r="B8">
        <v>4</v>
      </c>
      <c r="C8">
        <v>126</v>
      </c>
      <c r="D8" s="1" t="s">
        <v>32</v>
      </c>
    </row>
    <row r="9" spans="1:4" x14ac:dyDescent="0.25">
      <c r="A9" s="1" t="s">
        <v>18</v>
      </c>
      <c r="B9">
        <v>4</v>
      </c>
      <c r="C9">
        <v>27</v>
      </c>
      <c r="D9" s="1" t="s">
        <v>32</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52744-2B8D-49BE-8CCC-D87207967413}">
  <dimension ref="A1:D15"/>
  <sheetViews>
    <sheetView workbookViewId="0">
      <selection sqref="A1:D15"/>
    </sheetView>
  </sheetViews>
  <sheetFormatPr defaultRowHeight="15" x14ac:dyDescent="0.25"/>
  <cols>
    <col min="1" max="1" width="10.85546875" bestFit="1" customWidth="1"/>
    <col min="2" max="2" width="26.140625" bestFit="1" customWidth="1"/>
    <col min="3" max="3" width="18.42578125" bestFit="1" customWidth="1"/>
    <col min="4" max="4" width="7.42578125" bestFit="1" customWidth="1"/>
  </cols>
  <sheetData>
    <row r="1" spans="1:4" x14ac:dyDescent="0.25">
      <c r="A1" t="s">
        <v>16</v>
      </c>
      <c r="B1" t="s">
        <v>78</v>
      </c>
      <c r="C1" t="s">
        <v>79</v>
      </c>
      <c r="D1" t="s">
        <v>23</v>
      </c>
    </row>
    <row r="2" spans="1:4" x14ac:dyDescent="0.25">
      <c r="A2" s="1" t="s">
        <v>18</v>
      </c>
      <c r="B2">
        <v>0</v>
      </c>
      <c r="C2" s="1" t="s">
        <v>80</v>
      </c>
      <c r="D2">
        <v>110</v>
      </c>
    </row>
    <row r="3" spans="1:4" x14ac:dyDescent="0.25">
      <c r="A3" s="1" t="s">
        <v>18</v>
      </c>
      <c r="B3">
        <v>1</v>
      </c>
      <c r="C3" s="1" t="s">
        <v>80</v>
      </c>
      <c r="D3">
        <v>49</v>
      </c>
    </row>
    <row r="4" spans="1:4" x14ac:dyDescent="0.25">
      <c r="A4" s="1" t="s">
        <v>18</v>
      </c>
      <c r="B4">
        <v>2</v>
      </c>
      <c r="C4" s="1" t="s">
        <v>81</v>
      </c>
      <c r="D4">
        <v>27</v>
      </c>
    </row>
    <row r="5" spans="1:4" x14ac:dyDescent="0.25">
      <c r="A5" s="1" t="s">
        <v>18</v>
      </c>
      <c r="B5">
        <v>3</v>
      </c>
      <c r="C5" s="1" t="s">
        <v>81</v>
      </c>
      <c r="D5">
        <v>9</v>
      </c>
    </row>
    <row r="6" spans="1:4" x14ac:dyDescent="0.25">
      <c r="A6" s="1" t="s">
        <v>18</v>
      </c>
      <c r="B6">
        <v>4</v>
      </c>
      <c r="C6" s="1" t="s">
        <v>81</v>
      </c>
      <c r="D6">
        <v>5</v>
      </c>
    </row>
    <row r="7" spans="1:4" x14ac:dyDescent="0.25">
      <c r="A7" s="1" t="s">
        <v>18</v>
      </c>
      <c r="B7">
        <v>5</v>
      </c>
      <c r="C7" s="1" t="s">
        <v>81</v>
      </c>
      <c r="D7">
        <v>2</v>
      </c>
    </row>
    <row r="8" spans="1:4" x14ac:dyDescent="0.25">
      <c r="A8" s="1" t="s">
        <v>18</v>
      </c>
      <c r="B8">
        <v>6</v>
      </c>
      <c r="C8" s="1" t="s">
        <v>82</v>
      </c>
      <c r="D8">
        <v>6</v>
      </c>
    </row>
    <row r="9" spans="1:4" x14ac:dyDescent="0.25">
      <c r="A9" s="1" t="s">
        <v>18</v>
      </c>
      <c r="B9">
        <v>7</v>
      </c>
      <c r="C9" s="1" t="s">
        <v>82</v>
      </c>
      <c r="D9">
        <v>16</v>
      </c>
    </row>
    <row r="10" spans="1:4" x14ac:dyDescent="0.25">
      <c r="A10" s="1" t="s">
        <v>18</v>
      </c>
      <c r="B10">
        <v>9</v>
      </c>
      <c r="C10" s="1" t="s">
        <v>82</v>
      </c>
      <c r="D10">
        <v>4</v>
      </c>
    </row>
    <row r="11" spans="1:4" x14ac:dyDescent="0.25">
      <c r="A11" s="1" t="s">
        <v>18</v>
      </c>
      <c r="B11">
        <v>10</v>
      </c>
      <c r="C11" s="1" t="s">
        <v>82</v>
      </c>
      <c r="D11">
        <v>1</v>
      </c>
    </row>
    <row r="12" spans="1:4" x14ac:dyDescent="0.25">
      <c r="A12" s="1" t="s">
        <v>18</v>
      </c>
      <c r="B12">
        <v>11</v>
      </c>
      <c r="C12" s="1" t="s">
        <v>83</v>
      </c>
      <c r="D12">
        <v>2</v>
      </c>
    </row>
    <row r="13" spans="1:4" x14ac:dyDescent="0.25">
      <c r="A13" s="1" t="s">
        <v>18</v>
      </c>
      <c r="B13">
        <v>13</v>
      </c>
      <c r="C13" s="1" t="s">
        <v>83</v>
      </c>
      <c r="D13">
        <v>2</v>
      </c>
    </row>
    <row r="14" spans="1:4" x14ac:dyDescent="0.25">
      <c r="A14" s="1" t="s">
        <v>18</v>
      </c>
      <c r="B14">
        <v>14</v>
      </c>
      <c r="C14" s="1" t="s">
        <v>83</v>
      </c>
      <c r="D14">
        <v>1</v>
      </c>
    </row>
    <row r="15" spans="1:4" x14ac:dyDescent="0.25">
      <c r="A15" s="1" t="s">
        <v>18</v>
      </c>
      <c r="B15">
        <v>15</v>
      </c>
      <c r="C15" s="1" t="s">
        <v>83</v>
      </c>
      <c r="D15">
        <v>3</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C0459-07F7-44C4-A89D-3D80DB27A48D}">
  <dimension ref="A1:D86"/>
  <sheetViews>
    <sheetView topLeftCell="A2" workbookViewId="0">
      <selection sqref="A1:D86"/>
    </sheetView>
  </sheetViews>
  <sheetFormatPr defaultRowHeight="15" x14ac:dyDescent="0.25"/>
  <cols>
    <col min="1" max="1" width="6.7109375" bestFit="1" customWidth="1"/>
    <col min="2" max="2" width="10" bestFit="1" customWidth="1"/>
    <col min="3" max="3" width="18.42578125" bestFit="1" customWidth="1"/>
    <col min="4" max="4" width="12.28515625" bestFit="1" customWidth="1"/>
  </cols>
  <sheetData>
    <row r="1" spans="1:4" x14ac:dyDescent="0.25">
      <c r="A1" t="s">
        <v>85</v>
      </c>
      <c r="B1" t="s">
        <v>22</v>
      </c>
      <c r="C1" t="s">
        <v>86</v>
      </c>
      <c r="D1" t="s">
        <v>87</v>
      </c>
    </row>
    <row r="2" spans="1:4" x14ac:dyDescent="0.25">
      <c r="A2">
        <v>23</v>
      </c>
      <c r="B2" s="1" t="s">
        <v>24</v>
      </c>
      <c r="C2">
        <v>1</v>
      </c>
      <c r="D2" s="1" t="s">
        <v>89</v>
      </c>
    </row>
    <row r="3" spans="1:4" x14ac:dyDescent="0.25">
      <c r="A3">
        <v>20</v>
      </c>
      <c r="B3" s="1" t="s">
        <v>24</v>
      </c>
      <c r="C3">
        <v>6</v>
      </c>
      <c r="D3" s="1" t="s">
        <v>89</v>
      </c>
    </row>
    <row r="4" spans="1:4" x14ac:dyDescent="0.25">
      <c r="A4">
        <v>22</v>
      </c>
      <c r="B4" s="1" t="s">
        <v>24</v>
      </c>
      <c r="C4">
        <v>5</v>
      </c>
      <c r="D4" s="1" t="s">
        <v>89</v>
      </c>
    </row>
    <row r="5" spans="1:4" x14ac:dyDescent="0.25">
      <c r="A5">
        <v>19</v>
      </c>
      <c r="B5" s="1" t="s">
        <v>24</v>
      </c>
      <c r="C5">
        <v>4</v>
      </c>
      <c r="D5" s="1" t="s">
        <v>89</v>
      </c>
    </row>
    <row r="6" spans="1:4" x14ac:dyDescent="0.25">
      <c r="A6">
        <v>24</v>
      </c>
      <c r="B6" s="1" t="s">
        <v>24</v>
      </c>
      <c r="C6">
        <v>11</v>
      </c>
      <c r="D6" s="1" t="s">
        <v>89</v>
      </c>
    </row>
    <row r="7" spans="1:4" x14ac:dyDescent="0.25">
      <c r="A7">
        <v>25</v>
      </c>
      <c r="B7" s="1" t="s">
        <v>24</v>
      </c>
      <c r="C7">
        <v>6</v>
      </c>
      <c r="D7" s="1" t="s">
        <v>89</v>
      </c>
    </row>
    <row r="8" spans="1:4" x14ac:dyDescent="0.25">
      <c r="A8">
        <v>18</v>
      </c>
      <c r="B8" s="1" t="s">
        <v>24</v>
      </c>
      <c r="C8">
        <v>4</v>
      </c>
      <c r="D8" s="1" t="s">
        <v>89</v>
      </c>
    </row>
    <row r="9" spans="1:4" x14ac:dyDescent="0.25">
      <c r="A9">
        <v>27</v>
      </c>
      <c r="B9" s="1" t="s">
        <v>24</v>
      </c>
      <c r="C9">
        <v>22</v>
      </c>
      <c r="D9" s="1" t="s">
        <v>89</v>
      </c>
    </row>
    <row r="10" spans="1:4" x14ac:dyDescent="0.25">
      <c r="A10">
        <v>21</v>
      </c>
      <c r="B10" s="1" t="s">
        <v>24</v>
      </c>
      <c r="C10">
        <v>6</v>
      </c>
      <c r="D10" s="1" t="s">
        <v>89</v>
      </c>
    </row>
    <row r="11" spans="1:4" x14ac:dyDescent="0.25">
      <c r="A11">
        <v>26</v>
      </c>
      <c r="B11" s="1" t="s">
        <v>24</v>
      </c>
      <c r="C11">
        <v>14</v>
      </c>
      <c r="D11" s="1" t="s">
        <v>89</v>
      </c>
    </row>
    <row r="12" spans="1:4" x14ac:dyDescent="0.25">
      <c r="A12">
        <v>27</v>
      </c>
      <c r="B12" s="1" t="s">
        <v>25</v>
      </c>
      <c r="C12">
        <v>26</v>
      </c>
      <c r="D12" s="1" t="s">
        <v>89</v>
      </c>
    </row>
    <row r="13" spans="1:4" x14ac:dyDescent="0.25">
      <c r="A13">
        <v>22</v>
      </c>
      <c r="B13" s="1" t="s">
        <v>25</v>
      </c>
      <c r="C13">
        <v>11</v>
      </c>
      <c r="D13" s="1" t="s">
        <v>89</v>
      </c>
    </row>
    <row r="14" spans="1:4" x14ac:dyDescent="0.25">
      <c r="A14">
        <v>21</v>
      </c>
      <c r="B14" s="1" t="s">
        <v>25</v>
      </c>
      <c r="C14">
        <v>7</v>
      </c>
      <c r="D14" s="1" t="s">
        <v>89</v>
      </c>
    </row>
    <row r="15" spans="1:4" x14ac:dyDescent="0.25">
      <c r="A15">
        <v>24</v>
      </c>
      <c r="B15" s="1" t="s">
        <v>25</v>
      </c>
      <c r="C15">
        <v>15</v>
      </c>
      <c r="D15" s="1" t="s">
        <v>89</v>
      </c>
    </row>
    <row r="16" spans="1:4" x14ac:dyDescent="0.25">
      <c r="A16">
        <v>26</v>
      </c>
      <c r="B16" s="1" t="s">
        <v>25</v>
      </c>
      <c r="C16">
        <v>25</v>
      </c>
      <c r="D16" s="1" t="s">
        <v>89</v>
      </c>
    </row>
    <row r="17" spans="1:4" x14ac:dyDescent="0.25">
      <c r="A17">
        <v>19</v>
      </c>
      <c r="B17" s="1" t="s">
        <v>25</v>
      </c>
      <c r="C17">
        <v>5</v>
      </c>
      <c r="D17" s="1" t="s">
        <v>89</v>
      </c>
    </row>
    <row r="18" spans="1:4" x14ac:dyDescent="0.25">
      <c r="A18">
        <v>18</v>
      </c>
      <c r="B18" s="1" t="s">
        <v>25</v>
      </c>
      <c r="C18">
        <v>4</v>
      </c>
      <c r="D18" s="1" t="s">
        <v>89</v>
      </c>
    </row>
    <row r="19" spans="1:4" x14ac:dyDescent="0.25">
      <c r="A19">
        <v>25</v>
      </c>
      <c r="B19" s="1" t="s">
        <v>25</v>
      </c>
      <c r="C19">
        <v>20</v>
      </c>
      <c r="D19" s="1" t="s">
        <v>89</v>
      </c>
    </row>
    <row r="20" spans="1:4" x14ac:dyDescent="0.25">
      <c r="A20">
        <v>23</v>
      </c>
      <c r="B20" s="1" t="s">
        <v>25</v>
      </c>
      <c r="C20">
        <v>13</v>
      </c>
      <c r="D20" s="1" t="s">
        <v>89</v>
      </c>
    </row>
    <row r="21" spans="1:4" x14ac:dyDescent="0.25">
      <c r="A21">
        <v>20</v>
      </c>
      <c r="B21" s="1" t="s">
        <v>25</v>
      </c>
      <c r="C21">
        <v>5</v>
      </c>
      <c r="D21" s="1" t="s">
        <v>89</v>
      </c>
    </row>
    <row r="22" spans="1:4" x14ac:dyDescent="0.25">
      <c r="A22">
        <v>31</v>
      </c>
      <c r="B22" s="1" t="s">
        <v>24</v>
      </c>
      <c r="C22">
        <v>28</v>
      </c>
      <c r="D22" s="1" t="s">
        <v>90</v>
      </c>
    </row>
    <row r="23" spans="1:4" x14ac:dyDescent="0.25">
      <c r="A23">
        <v>33</v>
      </c>
      <c r="B23" s="1" t="s">
        <v>24</v>
      </c>
      <c r="C23">
        <v>24</v>
      </c>
      <c r="D23" s="1" t="s">
        <v>90</v>
      </c>
    </row>
    <row r="24" spans="1:4" x14ac:dyDescent="0.25">
      <c r="A24">
        <v>32</v>
      </c>
      <c r="B24" s="1" t="s">
        <v>24</v>
      </c>
      <c r="C24">
        <v>23</v>
      </c>
      <c r="D24" s="1" t="s">
        <v>90</v>
      </c>
    </row>
    <row r="25" spans="1:4" x14ac:dyDescent="0.25">
      <c r="A25">
        <v>29</v>
      </c>
      <c r="B25" s="1" t="s">
        <v>24</v>
      </c>
      <c r="C25">
        <v>29</v>
      </c>
      <c r="D25" s="1" t="s">
        <v>90</v>
      </c>
    </row>
    <row r="26" spans="1:4" x14ac:dyDescent="0.25">
      <c r="A26">
        <v>34</v>
      </c>
      <c r="B26" s="1" t="s">
        <v>24</v>
      </c>
      <c r="C26">
        <v>33</v>
      </c>
      <c r="D26" s="1" t="s">
        <v>90</v>
      </c>
    </row>
    <row r="27" spans="1:4" x14ac:dyDescent="0.25">
      <c r="A27">
        <v>28</v>
      </c>
      <c r="B27" s="1" t="s">
        <v>24</v>
      </c>
      <c r="C27">
        <v>12</v>
      </c>
      <c r="D27" s="1" t="s">
        <v>90</v>
      </c>
    </row>
    <row r="28" spans="1:4" x14ac:dyDescent="0.25">
      <c r="A28">
        <v>37</v>
      </c>
      <c r="B28" s="1" t="s">
        <v>24</v>
      </c>
      <c r="C28">
        <v>18</v>
      </c>
      <c r="D28" s="1" t="s">
        <v>90</v>
      </c>
    </row>
    <row r="29" spans="1:4" x14ac:dyDescent="0.25">
      <c r="A29">
        <v>35</v>
      </c>
      <c r="B29" s="1" t="s">
        <v>24</v>
      </c>
      <c r="C29">
        <v>27</v>
      </c>
      <c r="D29" s="1" t="s">
        <v>90</v>
      </c>
    </row>
    <row r="30" spans="1:4" x14ac:dyDescent="0.25">
      <c r="A30">
        <v>36</v>
      </c>
      <c r="B30" s="1" t="s">
        <v>24</v>
      </c>
      <c r="C30">
        <v>29</v>
      </c>
      <c r="D30" s="1" t="s">
        <v>90</v>
      </c>
    </row>
    <row r="31" spans="1:4" x14ac:dyDescent="0.25">
      <c r="A31">
        <v>30</v>
      </c>
      <c r="B31" s="1" t="s">
        <v>24</v>
      </c>
      <c r="C31">
        <v>26</v>
      </c>
      <c r="D31" s="1" t="s">
        <v>90</v>
      </c>
    </row>
    <row r="32" spans="1:4" x14ac:dyDescent="0.25">
      <c r="A32">
        <v>37</v>
      </c>
      <c r="B32" s="1" t="s">
        <v>25</v>
      </c>
      <c r="C32">
        <v>32</v>
      </c>
      <c r="D32" s="1" t="s">
        <v>90</v>
      </c>
    </row>
    <row r="33" spans="1:4" x14ac:dyDescent="0.25">
      <c r="A33">
        <v>32</v>
      </c>
      <c r="B33" s="1" t="s">
        <v>25</v>
      </c>
      <c r="C33">
        <v>38</v>
      </c>
      <c r="D33" s="1" t="s">
        <v>90</v>
      </c>
    </row>
    <row r="34" spans="1:4" x14ac:dyDescent="0.25">
      <c r="A34">
        <v>30</v>
      </c>
      <c r="B34" s="1" t="s">
        <v>25</v>
      </c>
      <c r="C34">
        <v>34</v>
      </c>
      <c r="D34" s="1" t="s">
        <v>90</v>
      </c>
    </row>
    <row r="35" spans="1:4" x14ac:dyDescent="0.25">
      <c r="A35">
        <v>36</v>
      </c>
      <c r="B35" s="1" t="s">
        <v>25</v>
      </c>
      <c r="C35">
        <v>40</v>
      </c>
      <c r="D35" s="1" t="s">
        <v>90</v>
      </c>
    </row>
    <row r="36" spans="1:4" x14ac:dyDescent="0.25">
      <c r="A36">
        <v>31</v>
      </c>
      <c r="B36" s="1" t="s">
        <v>25</v>
      </c>
      <c r="C36">
        <v>41</v>
      </c>
      <c r="D36" s="1" t="s">
        <v>90</v>
      </c>
    </row>
    <row r="37" spans="1:4" x14ac:dyDescent="0.25">
      <c r="A37">
        <v>34</v>
      </c>
      <c r="B37" s="1" t="s">
        <v>25</v>
      </c>
      <c r="C37">
        <v>44</v>
      </c>
      <c r="D37" s="1" t="s">
        <v>90</v>
      </c>
    </row>
    <row r="38" spans="1:4" x14ac:dyDescent="0.25">
      <c r="A38">
        <v>28</v>
      </c>
      <c r="B38" s="1" t="s">
        <v>25</v>
      </c>
      <c r="C38">
        <v>36</v>
      </c>
      <c r="D38" s="1" t="s">
        <v>90</v>
      </c>
    </row>
    <row r="39" spans="1:4" x14ac:dyDescent="0.25">
      <c r="A39">
        <v>35</v>
      </c>
      <c r="B39" s="1" t="s">
        <v>25</v>
      </c>
      <c r="C39">
        <v>51</v>
      </c>
      <c r="D39" s="1" t="s">
        <v>90</v>
      </c>
    </row>
    <row r="40" spans="1:4" x14ac:dyDescent="0.25">
      <c r="A40">
        <v>33</v>
      </c>
      <c r="B40" s="1" t="s">
        <v>25</v>
      </c>
      <c r="C40">
        <v>34</v>
      </c>
      <c r="D40" s="1" t="s">
        <v>90</v>
      </c>
    </row>
    <row r="41" spans="1:4" x14ac:dyDescent="0.25">
      <c r="A41">
        <v>29</v>
      </c>
      <c r="B41" s="1" t="s">
        <v>25</v>
      </c>
      <c r="C41">
        <v>39</v>
      </c>
      <c r="D41" s="1" t="s">
        <v>90</v>
      </c>
    </row>
    <row r="42" spans="1:4" x14ac:dyDescent="0.25">
      <c r="A42">
        <v>41</v>
      </c>
      <c r="B42" s="1" t="s">
        <v>24</v>
      </c>
      <c r="C42">
        <v>15</v>
      </c>
      <c r="D42" s="1" t="s">
        <v>88</v>
      </c>
    </row>
    <row r="43" spans="1:4" x14ac:dyDescent="0.25">
      <c r="A43">
        <v>39</v>
      </c>
      <c r="B43" s="1" t="s">
        <v>24</v>
      </c>
      <c r="C43">
        <v>16</v>
      </c>
      <c r="D43" s="1" t="s">
        <v>88</v>
      </c>
    </row>
    <row r="44" spans="1:4" x14ac:dyDescent="0.25">
      <c r="A44">
        <v>40</v>
      </c>
      <c r="B44" s="1" t="s">
        <v>24</v>
      </c>
      <c r="C44">
        <v>24</v>
      </c>
      <c r="D44" s="1" t="s">
        <v>88</v>
      </c>
    </row>
    <row r="45" spans="1:4" x14ac:dyDescent="0.25">
      <c r="A45">
        <v>45</v>
      </c>
      <c r="B45" s="1" t="s">
        <v>24</v>
      </c>
      <c r="C45">
        <v>17</v>
      </c>
      <c r="D45" s="1" t="s">
        <v>88</v>
      </c>
    </row>
    <row r="46" spans="1:4" x14ac:dyDescent="0.25">
      <c r="A46">
        <v>44</v>
      </c>
      <c r="B46" s="1" t="s">
        <v>24</v>
      </c>
      <c r="C46">
        <v>10</v>
      </c>
      <c r="D46" s="1" t="s">
        <v>88</v>
      </c>
    </row>
    <row r="47" spans="1:4" x14ac:dyDescent="0.25">
      <c r="A47">
        <v>46</v>
      </c>
      <c r="B47" s="1" t="s">
        <v>24</v>
      </c>
      <c r="C47">
        <v>15</v>
      </c>
      <c r="D47" s="1" t="s">
        <v>88</v>
      </c>
    </row>
    <row r="48" spans="1:4" x14ac:dyDescent="0.25">
      <c r="A48">
        <v>42</v>
      </c>
      <c r="B48" s="1" t="s">
        <v>24</v>
      </c>
      <c r="C48">
        <v>16</v>
      </c>
      <c r="D48" s="1" t="s">
        <v>88</v>
      </c>
    </row>
    <row r="49" spans="1:4" x14ac:dyDescent="0.25">
      <c r="A49">
        <v>43</v>
      </c>
      <c r="B49" s="1" t="s">
        <v>24</v>
      </c>
      <c r="C49">
        <v>14</v>
      </c>
      <c r="D49" s="1" t="s">
        <v>88</v>
      </c>
    </row>
    <row r="50" spans="1:4" x14ac:dyDescent="0.25">
      <c r="A50">
        <v>38</v>
      </c>
      <c r="B50" s="1" t="s">
        <v>24</v>
      </c>
      <c r="C50">
        <v>27</v>
      </c>
      <c r="D50" s="1" t="s">
        <v>88</v>
      </c>
    </row>
    <row r="51" spans="1:4" x14ac:dyDescent="0.25">
      <c r="A51">
        <v>47</v>
      </c>
      <c r="B51" s="1" t="s">
        <v>24</v>
      </c>
      <c r="C51">
        <v>14</v>
      </c>
      <c r="D51" s="1" t="s">
        <v>88</v>
      </c>
    </row>
    <row r="52" spans="1:4" x14ac:dyDescent="0.25">
      <c r="A52">
        <v>38</v>
      </c>
      <c r="B52" s="1" t="s">
        <v>25</v>
      </c>
      <c r="C52">
        <v>31</v>
      </c>
      <c r="D52" s="1" t="s">
        <v>88</v>
      </c>
    </row>
    <row r="53" spans="1:4" x14ac:dyDescent="0.25">
      <c r="A53">
        <v>42</v>
      </c>
      <c r="B53" s="1" t="s">
        <v>25</v>
      </c>
      <c r="C53">
        <v>30</v>
      </c>
      <c r="D53" s="1" t="s">
        <v>88</v>
      </c>
    </row>
    <row r="54" spans="1:4" x14ac:dyDescent="0.25">
      <c r="A54">
        <v>44</v>
      </c>
      <c r="B54" s="1" t="s">
        <v>25</v>
      </c>
      <c r="C54">
        <v>23</v>
      </c>
      <c r="D54" s="1" t="s">
        <v>88</v>
      </c>
    </row>
    <row r="55" spans="1:4" x14ac:dyDescent="0.25">
      <c r="A55">
        <v>39</v>
      </c>
      <c r="B55" s="1" t="s">
        <v>25</v>
      </c>
      <c r="C55">
        <v>26</v>
      </c>
      <c r="D55" s="1" t="s">
        <v>88</v>
      </c>
    </row>
    <row r="56" spans="1:4" x14ac:dyDescent="0.25">
      <c r="A56">
        <v>46</v>
      </c>
      <c r="B56" s="1" t="s">
        <v>25</v>
      </c>
      <c r="C56">
        <v>18</v>
      </c>
      <c r="D56" s="1" t="s">
        <v>88</v>
      </c>
    </row>
    <row r="57" spans="1:4" x14ac:dyDescent="0.25">
      <c r="A57">
        <v>45</v>
      </c>
      <c r="B57" s="1" t="s">
        <v>25</v>
      </c>
      <c r="C57">
        <v>24</v>
      </c>
      <c r="D57" s="1" t="s">
        <v>88</v>
      </c>
    </row>
    <row r="58" spans="1:4" x14ac:dyDescent="0.25">
      <c r="A58">
        <v>43</v>
      </c>
      <c r="B58" s="1" t="s">
        <v>25</v>
      </c>
      <c r="C58">
        <v>18</v>
      </c>
      <c r="D58" s="1" t="s">
        <v>88</v>
      </c>
    </row>
    <row r="59" spans="1:4" x14ac:dyDescent="0.25">
      <c r="A59">
        <v>40</v>
      </c>
      <c r="B59" s="1" t="s">
        <v>25</v>
      </c>
      <c r="C59">
        <v>33</v>
      </c>
      <c r="D59" s="1" t="s">
        <v>88</v>
      </c>
    </row>
    <row r="60" spans="1:4" x14ac:dyDescent="0.25">
      <c r="A60">
        <v>47</v>
      </c>
      <c r="B60" s="1" t="s">
        <v>25</v>
      </c>
      <c r="C60">
        <v>10</v>
      </c>
      <c r="D60" s="1" t="s">
        <v>88</v>
      </c>
    </row>
    <row r="61" spans="1:4" x14ac:dyDescent="0.25">
      <c r="A61">
        <v>41</v>
      </c>
      <c r="B61" s="1" t="s">
        <v>25</v>
      </c>
      <c r="C61">
        <v>25</v>
      </c>
      <c r="D61" s="1" t="s">
        <v>88</v>
      </c>
    </row>
    <row r="62" spans="1:4" x14ac:dyDescent="0.25">
      <c r="A62">
        <v>54</v>
      </c>
      <c r="B62" s="1" t="s">
        <v>24</v>
      </c>
      <c r="C62">
        <v>15</v>
      </c>
      <c r="D62" s="1" t="s">
        <v>91</v>
      </c>
    </row>
    <row r="63" spans="1:4" x14ac:dyDescent="0.25">
      <c r="A63">
        <v>51</v>
      </c>
      <c r="B63" s="1" t="s">
        <v>24</v>
      </c>
      <c r="C63">
        <v>7</v>
      </c>
      <c r="D63" s="1" t="s">
        <v>91</v>
      </c>
    </row>
    <row r="64" spans="1:4" x14ac:dyDescent="0.25">
      <c r="A64">
        <v>56</v>
      </c>
      <c r="B64" s="1" t="s">
        <v>24</v>
      </c>
      <c r="C64">
        <v>7</v>
      </c>
      <c r="D64" s="1" t="s">
        <v>91</v>
      </c>
    </row>
    <row r="65" spans="1:4" x14ac:dyDescent="0.25">
      <c r="A65">
        <v>49</v>
      </c>
      <c r="B65" s="1" t="s">
        <v>24</v>
      </c>
      <c r="C65">
        <v>12</v>
      </c>
      <c r="D65" s="1" t="s">
        <v>91</v>
      </c>
    </row>
    <row r="66" spans="1:4" x14ac:dyDescent="0.25">
      <c r="A66">
        <v>53</v>
      </c>
      <c r="B66" s="1" t="s">
        <v>24</v>
      </c>
      <c r="C66">
        <v>10</v>
      </c>
      <c r="D66" s="1" t="s">
        <v>91</v>
      </c>
    </row>
    <row r="67" spans="1:4" x14ac:dyDescent="0.25">
      <c r="A67">
        <v>52</v>
      </c>
      <c r="B67" s="1" t="s">
        <v>24</v>
      </c>
      <c r="C67">
        <v>7</v>
      </c>
      <c r="D67" s="1" t="s">
        <v>91</v>
      </c>
    </row>
    <row r="68" spans="1:4" x14ac:dyDescent="0.25">
      <c r="A68">
        <v>48</v>
      </c>
      <c r="B68" s="1" t="s">
        <v>24</v>
      </c>
      <c r="C68">
        <v>7</v>
      </c>
      <c r="D68" s="1" t="s">
        <v>91</v>
      </c>
    </row>
    <row r="69" spans="1:4" x14ac:dyDescent="0.25">
      <c r="A69">
        <v>50</v>
      </c>
      <c r="B69" s="1" t="s">
        <v>24</v>
      </c>
      <c r="C69">
        <v>9</v>
      </c>
      <c r="D69" s="1" t="s">
        <v>91</v>
      </c>
    </row>
    <row r="70" spans="1:4" x14ac:dyDescent="0.25">
      <c r="A70">
        <v>55</v>
      </c>
      <c r="B70" s="1" t="s">
        <v>24</v>
      </c>
      <c r="C70">
        <v>4</v>
      </c>
      <c r="D70" s="1" t="s">
        <v>91</v>
      </c>
    </row>
    <row r="71" spans="1:4" x14ac:dyDescent="0.25">
      <c r="A71">
        <v>49</v>
      </c>
      <c r="B71" s="1" t="s">
        <v>25</v>
      </c>
      <c r="C71">
        <v>12</v>
      </c>
      <c r="D71" s="1" t="s">
        <v>91</v>
      </c>
    </row>
    <row r="72" spans="1:4" x14ac:dyDescent="0.25">
      <c r="A72">
        <v>50</v>
      </c>
      <c r="B72" s="1" t="s">
        <v>25</v>
      </c>
      <c r="C72">
        <v>21</v>
      </c>
      <c r="D72" s="1" t="s">
        <v>91</v>
      </c>
    </row>
    <row r="73" spans="1:4" x14ac:dyDescent="0.25">
      <c r="A73">
        <v>48</v>
      </c>
      <c r="B73" s="1" t="s">
        <v>25</v>
      </c>
      <c r="C73">
        <v>12</v>
      </c>
      <c r="D73" s="1" t="s">
        <v>91</v>
      </c>
    </row>
    <row r="74" spans="1:4" x14ac:dyDescent="0.25">
      <c r="A74">
        <v>57</v>
      </c>
      <c r="B74" s="1" t="s">
        <v>25</v>
      </c>
      <c r="C74">
        <v>4</v>
      </c>
      <c r="D74" s="1" t="s">
        <v>91</v>
      </c>
    </row>
    <row r="75" spans="1:4" x14ac:dyDescent="0.25">
      <c r="A75">
        <v>52</v>
      </c>
      <c r="B75" s="1" t="s">
        <v>25</v>
      </c>
      <c r="C75">
        <v>11</v>
      </c>
      <c r="D75" s="1" t="s">
        <v>91</v>
      </c>
    </row>
    <row r="76" spans="1:4" x14ac:dyDescent="0.25">
      <c r="A76">
        <v>55</v>
      </c>
      <c r="B76" s="1" t="s">
        <v>25</v>
      </c>
      <c r="C76">
        <v>18</v>
      </c>
      <c r="D76" s="1" t="s">
        <v>91</v>
      </c>
    </row>
    <row r="77" spans="1:4" x14ac:dyDescent="0.25">
      <c r="A77">
        <v>56</v>
      </c>
      <c r="B77" s="1" t="s">
        <v>25</v>
      </c>
      <c r="C77">
        <v>7</v>
      </c>
      <c r="D77" s="1" t="s">
        <v>91</v>
      </c>
    </row>
    <row r="78" spans="1:4" x14ac:dyDescent="0.25">
      <c r="A78">
        <v>54</v>
      </c>
      <c r="B78" s="1" t="s">
        <v>25</v>
      </c>
      <c r="C78">
        <v>3</v>
      </c>
      <c r="D78" s="1" t="s">
        <v>91</v>
      </c>
    </row>
    <row r="79" spans="1:4" x14ac:dyDescent="0.25">
      <c r="A79">
        <v>51</v>
      </c>
      <c r="B79" s="1" t="s">
        <v>25</v>
      </c>
      <c r="C79">
        <v>12</v>
      </c>
      <c r="D79" s="1" t="s">
        <v>91</v>
      </c>
    </row>
    <row r="80" spans="1:4" x14ac:dyDescent="0.25">
      <c r="A80">
        <v>53</v>
      </c>
      <c r="B80" s="1" t="s">
        <v>25</v>
      </c>
      <c r="C80">
        <v>9</v>
      </c>
      <c r="D80" s="1" t="s">
        <v>91</v>
      </c>
    </row>
    <row r="81" spans="1:4" x14ac:dyDescent="0.25">
      <c r="A81">
        <v>59</v>
      </c>
      <c r="B81" s="1" t="s">
        <v>24</v>
      </c>
      <c r="C81">
        <v>6</v>
      </c>
      <c r="D81" s="1" t="s">
        <v>92</v>
      </c>
    </row>
    <row r="82" spans="1:4" x14ac:dyDescent="0.25">
      <c r="A82">
        <v>58</v>
      </c>
      <c r="B82" s="1" t="s">
        <v>24</v>
      </c>
      <c r="C82">
        <v>6</v>
      </c>
      <c r="D82" s="1" t="s">
        <v>92</v>
      </c>
    </row>
    <row r="83" spans="1:4" x14ac:dyDescent="0.25">
      <c r="A83">
        <v>60</v>
      </c>
      <c r="B83" s="1" t="s">
        <v>24</v>
      </c>
      <c r="C83">
        <v>2</v>
      </c>
      <c r="D83" s="1" t="s">
        <v>92</v>
      </c>
    </row>
    <row r="84" spans="1:4" x14ac:dyDescent="0.25">
      <c r="A84">
        <v>59</v>
      </c>
      <c r="B84" s="1" t="s">
        <v>25</v>
      </c>
      <c r="C84">
        <v>4</v>
      </c>
      <c r="D84" s="1" t="s">
        <v>92</v>
      </c>
    </row>
    <row r="85" spans="1:4" x14ac:dyDescent="0.25">
      <c r="A85">
        <v>58</v>
      </c>
      <c r="B85" s="1" t="s">
        <v>25</v>
      </c>
      <c r="C85">
        <v>8</v>
      </c>
      <c r="D85" s="1" t="s">
        <v>92</v>
      </c>
    </row>
    <row r="86" spans="1:4" x14ac:dyDescent="0.25">
      <c r="A86">
        <v>60</v>
      </c>
      <c r="B86" s="1" t="s">
        <v>25</v>
      </c>
      <c r="C86">
        <v>3</v>
      </c>
      <c r="D86" s="1" t="s">
        <v>92</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25594-5420-4DEB-B07C-04D72B8B8C1A}">
  <dimension ref="A1:C6"/>
  <sheetViews>
    <sheetView workbookViewId="0">
      <selection sqref="A1:C6"/>
    </sheetView>
  </sheetViews>
  <sheetFormatPr defaultRowHeight="15" x14ac:dyDescent="0.25"/>
  <cols>
    <col min="1" max="1" width="23.140625" bestFit="1" customWidth="1"/>
    <col min="2" max="2" width="7.42578125" bestFit="1" customWidth="1"/>
    <col min="3" max="3" width="17.85546875" bestFit="1" customWidth="1"/>
  </cols>
  <sheetData>
    <row r="1" spans="1:3" x14ac:dyDescent="0.25">
      <c r="A1" t="s">
        <v>48</v>
      </c>
      <c r="B1" t="s">
        <v>23</v>
      </c>
      <c r="C1" t="s">
        <v>49</v>
      </c>
    </row>
    <row r="2" spans="1:3" x14ac:dyDescent="0.25">
      <c r="A2">
        <v>4360.1612999999998</v>
      </c>
      <c r="B2">
        <v>31</v>
      </c>
      <c r="C2" s="1" t="s">
        <v>94</v>
      </c>
    </row>
    <row r="3" spans="1:3" x14ac:dyDescent="0.25">
      <c r="A3">
        <v>4282.5455000000002</v>
      </c>
      <c r="B3">
        <v>44</v>
      </c>
      <c r="C3" s="1" t="s">
        <v>95</v>
      </c>
    </row>
    <row r="4" spans="1:3" x14ac:dyDescent="0.25">
      <c r="A4">
        <v>4770.2424000000001</v>
      </c>
      <c r="B4">
        <v>99</v>
      </c>
      <c r="C4" s="1" t="s">
        <v>96</v>
      </c>
    </row>
    <row r="5" spans="1:3" x14ac:dyDescent="0.25">
      <c r="A5">
        <v>5335.1552000000001</v>
      </c>
      <c r="B5">
        <v>58</v>
      </c>
      <c r="C5" s="1" t="s">
        <v>97</v>
      </c>
    </row>
    <row r="6" spans="1:3" x14ac:dyDescent="0.25">
      <c r="A6">
        <v>5850.2</v>
      </c>
      <c r="B6">
        <v>5</v>
      </c>
      <c r="C6" s="1" t="s">
        <v>98</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60468-57A9-45DE-A11A-9450C2415F9C}">
  <dimension ref="A1:C30"/>
  <sheetViews>
    <sheetView workbookViewId="0">
      <selection sqref="A1:C30"/>
    </sheetView>
  </sheetViews>
  <sheetFormatPr defaultRowHeight="15" x14ac:dyDescent="0.25"/>
  <cols>
    <col min="1" max="1" width="14.140625" bestFit="1" customWidth="1"/>
    <col min="2" max="2" width="18.42578125" bestFit="1" customWidth="1"/>
    <col min="3" max="3" width="16.42578125" bestFit="1" customWidth="1"/>
  </cols>
  <sheetData>
    <row r="1" spans="1:3" x14ac:dyDescent="0.25">
      <c r="A1" t="s">
        <v>99</v>
      </c>
      <c r="B1" t="s">
        <v>86</v>
      </c>
      <c r="C1" t="s">
        <v>100</v>
      </c>
    </row>
    <row r="2" spans="1:3" x14ac:dyDescent="0.25">
      <c r="A2">
        <v>4318.3077000000003</v>
      </c>
      <c r="B2">
        <v>26</v>
      </c>
      <c r="C2" s="1" t="s">
        <v>101</v>
      </c>
    </row>
    <row r="3" spans="1:3" x14ac:dyDescent="0.25">
      <c r="A3">
        <v>6099.0357000000004</v>
      </c>
      <c r="B3">
        <v>28</v>
      </c>
      <c r="C3" s="1" t="s">
        <v>101</v>
      </c>
    </row>
    <row r="4" spans="1:3" x14ac:dyDescent="0.25">
      <c r="A4">
        <v>3744.2856999999999</v>
      </c>
      <c r="B4">
        <v>14</v>
      </c>
      <c r="C4" s="1" t="s">
        <v>101</v>
      </c>
    </row>
    <row r="5" spans="1:3" x14ac:dyDescent="0.25">
      <c r="A5">
        <v>5607.6666999999998</v>
      </c>
      <c r="B5">
        <v>9</v>
      </c>
      <c r="C5" s="1" t="s">
        <v>101</v>
      </c>
    </row>
    <row r="6" spans="1:3" x14ac:dyDescent="0.25">
      <c r="A6">
        <v>3377.3</v>
      </c>
      <c r="B6">
        <v>10</v>
      </c>
      <c r="C6" s="1" t="s">
        <v>101</v>
      </c>
    </row>
    <row r="7" spans="1:3" x14ac:dyDescent="0.25">
      <c r="A7">
        <v>2926.7143000000001</v>
      </c>
      <c r="B7">
        <v>7</v>
      </c>
      <c r="C7" s="1" t="s">
        <v>101</v>
      </c>
    </row>
    <row r="8" spans="1:3" x14ac:dyDescent="0.25">
      <c r="A8">
        <v>3797.8182000000002</v>
      </c>
      <c r="B8">
        <v>11</v>
      </c>
      <c r="C8" s="1" t="s">
        <v>101</v>
      </c>
    </row>
    <row r="9" spans="1:3" x14ac:dyDescent="0.25">
      <c r="A9">
        <v>4156.3999999999996</v>
      </c>
      <c r="B9">
        <v>10</v>
      </c>
      <c r="C9" s="1" t="s">
        <v>101</v>
      </c>
    </row>
    <row r="10" spans="1:3" x14ac:dyDescent="0.25">
      <c r="A10">
        <v>4731.6111000000001</v>
      </c>
      <c r="B10">
        <v>18</v>
      </c>
      <c r="C10" s="1" t="s">
        <v>102</v>
      </c>
    </row>
    <row r="11" spans="1:3" x14ac:dyDescent="0.25">
      <c r="A11">
        <v>4321.6364000000003</v>
      </c>
      <c r="B11">
        <v>11</v>
      </c>
      <c r="C11" s="1" t="s">
        <v>102</v>
      </c>
    </row>
    <row r="12" spans="1:3" x14ac:dyDescent="0.25">
      <c r="A12">
        <v>4934.5</v>
      </c>
      <c r="B12">
        <v>4</v>
      </c>
      <c r="C12" s="1" t="s">
        <v>102</v>
      </c>
    </row>
    <row r="13" spans="1:3" x14ac:dyDescent="0.25">
      <c r="A13">
        <v>7524.6666999999998</v>
      </c>
      <c r="B13">
        <v>6</v>
      </c>
      <c r="C13" s="1" t="s">
        <v>102</v>
      </c>
    </row>
    <row r="14" spans="1:3" x14ac:dyDescent="0.25">
      <c r="A14">
        <v>7002.6666999999998</v>
      </c>
      <c r="B14">
        <v>6</v>
      </c>
      <c r="C14" s="1" t="s">
        <v>102</v>
      </c>
    </row>
    <row r="15" spans="1:3" x14ac:dyDescent="0.25">
      <c r="A15">
        <v>4673.75</v>
      </c>
      <c r="B15">
        <v>4</v>
      </c>
      <c r="C15" s="1" t="s">
        <v>102</v>
      </c>
    </row>
    <row r="16" spans="1:3" x14ac:dyDescent="0.25">
      <c r="A16">
        <v>6894.4</v>
      </c>
      <c r="B16">
        <v>5</v>
      </c>
      <c r="C16" s="1" t="s">
        <v>102</v>
      </c>
    </row>
    <row r="17" spans="1:3" x14ac:dyDescent="0.25">
      <c r="A17">
        <v>4770.1428999999998</v>
      </c>
      <c r="B17">
        <v>7</v>
      </c>
      <c r="C17" s="1" t="s">
        <v>102</v>
      </c>
    </row>
    <row r="18" spans="1:3" x14ac:dyDescent="0.25">
      <c r="A18">
        <v>2429.8000000000002</v>
      </c>
      <c r="B18">
        <v>5</v>
      </c>
      <c r="C18" s="1" t="s">
        <v>102</v>
      </c>
    </row>
    <row r="19" spans="1:3" x14ac:dyDescent="0.25">
      <c r="A19">
        <v>3163</v>
      </c>
      <c r="B19">
        <v>4</v>
      </c>
      <c r="C19" s="1" t="s">
        <v>102</v>
      </c>
    </row>
    <row r="20" spans="1:3" x14ac:dyDescent="0.25">
      <c r="A20">
        <v>3492</v>
      </c>
      <c r="B20">
        <v>3</v>
      </c>
      <c r="C20" s="1" t="s">
        <v>103</v>
      </c>
    </row>
    <row r="21" spans="1:3" x14ac:dyDescent="0.25">
      <c r="A21">
        <v>4917.75</v>
      </c>
      <c r="B21">
        <v>4</v>
      </c>
      <c r="C21" s="1" t="s">
        <v>103</v>
      </c>
    </row>
    <row r="22" spans="1:3" x14ac:dyDescent="0.25">
      <c r="A22">
        <v>4474.6666999999998</v>
      </c>
      <c r="B22">
        <v>3</v>
      </c>
      <c r="C22" s="1" t="s">
        <v>103</v>
      </c>
    </row>
    <row r="23" spans="1:3" x14ac:dyDescent="0.25">
      <c r="A23">
        <v>3464</v>
      </c>
      <c r="B23">
        <v>6</v>
      </c>
      <c r="C23" s="1" t="s">
        <v>103</v>
      </c>
    </row>
    <row r="24" spans="1:3" x14ac:dyDescent="0.25">
      <c r="A24">
        <v>7483.6</v>
      </c>
      <c r="B24">
        <v>5</v>
      </c>
      <c r="C24" s="1" t="s">
        <v>103</v>
      </c>
    </row>
    <row r="25" spans="1:3" x14ac:dyDescent="0.25">
      <c r="A25">
        <v>4511.25</v>
      </c>
      <c r="B25">
        <v>12</v>
      </c>
      <c r="C25" s="1" t="s">
        <v>103</v>
      </c>
    </row>
    <row r="26" spans="1:3" x14ac:dyDescent="0.25">
      <c r="A26">
        <v>3510.5</v>
      </c>
      <c r="B26">
        <v>6</v>
      </c>
      <c r="C26" s="1" t="s">
        <v>103</v>
      </c>
    </row>
    <row r="27" spans="1:3" x14ac:dyDescent="0.25">
      <c r="A27">
        <v>5533</v>
      </c>
      <c r="B27">
        <v>3</v>
      </c>
      <c r="C27" s="1" t="s">
        <v>103</v>
      </c>
    </row>
    <row r="28" spans="1:3" x14ac:dyDescent="0.25">
      <c r="A28">
        <v>6616.3333000000002</v>
      </c>
      <c r="B28">
        <v>3</v>
      </c>
      <c r="C28" s="1" t="s">
        <v>103</v>
      </c>
    </row>
    <row r="29" spans="1:3" x14ac:dyDescent="0.25">
      <c r="A29">
        <v>7569</v>
      </c>
      <c r="B29">
        <v>2</v>
      </c>
      <c r="C29" s="1" t="s">
        <v>103</v>
      </c>
    </row>
    <row r="30" spans="1:3" hidden="1" x14ac:dyDescent="0.25">
      <c r="A30">
        <v>6295.6</v>
      </c>
      <c r="B30">
        <v>5</v>
      </c>
      <c r="C30" s="1"/>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A64A21-9D1C-4E65-924A-A015B60478AC}">
  <dimension ref="A1:D3"/>
  <sheetViews>
    <sheetView workbookViewId="0">
      <selection sqref="A1:D3"/>
    </sheetView>
  </sheetViews>
  <sheetFormatPr defaultRowHeight="15" x14ac:dyDescent="0.25"/>
  <cols>
    <col min="1" max="1" width="20.5703125" bestFit="1" customWidth="1"/>
    <col min="2" max="2" width="18.7109375" bestFit="1" customWidth="1"/>
    <col min="3" max="3" width="15.5703125" bestFit="1" customWidth="1"/>
    <col min="4" max="4" width="21.5703125" bestFit="1" customWidth="1"/>
  </cols>
  <sheetData>
    <row r="1" spans="1:4" x14ac:dyDescent="0.25">
      <c r="A1" t="s">
        <v>104</v>
      </c>
      <c r="B1" t="s">
        <v>65</v>
      </c>
      <c r="C1" t="s">
        <v>105</v>
      </c>
      <c r="D1" t="s">
        <v>106</v>
      </c>
    </row>
    <row r="2" spans="1:4" x14ac:dyDescent="0.25">
      <c r="A2">
        <v>3</v>
      </c>
      <c r="B2">
        <v>200</v>
      </c>
      <c r="C2">
        <v>100</v>
      </c>
      <c r="D2" s="1" t="s">
        <v>32</v>
      </c>
    </row>
    <row r="3" spans="1:4" x14ac:dyDescent="0.25">
      <c r="A3">
        <v>4</v>
      </c>
      <c r="B3">
        <v>37</v>
      </c>
      <c r="C3">
        <v>100</v>
      </c>
      <c r="D3" s="1" t="s">
        <v>107</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4ADFE-929C-4F99-A0C5-B02107E29671}">
  <dimension ref="A1:AK1471"/>
  <sheetViews>
    <sheetView workbookViewId="0"/>
  </sheetViews>
  <sheetFormatPr defaultRowHeight="15" x14ac:dyDescent="0.25"/>
  <cols>
    <col min="1" max="1" width="14" bestFit="1" customWidth="1"/>
    <col min="2" max="2" width="6.7109375" bestFit="1" customWidth="1"/>
    <col min="3" max="3" width="10" bestFit="1" customWidth="1"/>
    <col min="4" max="4" width="15.140625" bestFit="1" customWidth="1"/>
    <col min="5" max="5" width="12" bestFit="1" customWidth="1"/>
    <col min="6" max="6" width="16.85546875" bestFit="1" customWidth="1"/>
    <col min="7" max="7" width="25" bestFit="1" customWidth="1"/>
    <col min="8" max="8" width="9.5703125" bestFit="1" customWidth="1"/>
    <col min="9" max="9" width="20.42578125" bestFit="1" customWidth="1"/>
    <col min="10" max="10" width="23.42578125" bestFit="1" customWidth="1"/>
    <col min="11" max="11" width="18.5703125" bestFit="1" customWidth="1"/>
    <col min="12" max="12" width="20.85546875" bestFit="1" customWidth="1"/>
    <col min="13" max="13" width="26.140625" bestFit="1" customWidth="1"/>
    <col min="14" max="14" width="24.5703125" bestFit="1" customWidth="1"/>
    <col min="15" max="15" width="10.85546875" bestFit="1" customWidth="1"/>
    <col min="16" max="16" width="17.42578125" bestFit="1" customWidth="1"/>
    <col min="17" max="17" width="11.7109375" bestFit="1" customWidth="1"/>
    <col min="18" max="18" width="23.85546875" bestFit="1" customWidth="1"/>
    <col min="19" max="19" width="10.85546875" bestFit="1" customWidth="1"/>
    <col min="20" max="20" width="17.5703125" bestFit="1" customWidth="1"/>
    <col min="21" max="21" width="25.42578125" bestFit="1" customWidth="1"/>
    <col min="22" max="22" width="13.140625" bestFit="1" customWidth="1"/>
    <col min="23" max="23" width="17.7109375" bestFit="1" customWidth="1"/>
    <col min="24" max="24" width="11" bestFit="1" customWidth="1"/>
    <col min="25" max="25" width="25" bestFit="1" customWidth="1"/>
    <col min="26" max="26" width="16.7109375" bestFit="1" customWidth="1"/>
    <col min="27" max="27" width="17.5703125" bestFit="1" customWidth="1"/>
    <col min="28" max="28" width="14.85546875" bestFit="1" customWidth="1"/>
    <col min="29" max="29" width="12" bestFit="1" customWidth="1"/>
    <col min="30" max="30" width="19.7109375" bestFit="1" customWidth="1"/>
    <col min="31" max="31" width="20.5703125" bestFit="1" customWidth="1"/>
    <col min="32" max="32" width="25.140625" bestFit="1" customWidth="1"/>
    <col min="33" max="33" width="16.42578125" bestFit="1" customWidth="1"/>
    <col min="34" max="34" width="19" bestFit="1" customWidth="1"/>
    <col min="35" max="35" width="18.42578125" bestFit="1" customWidth="1"/>
    <col min="36" max="36" width="15.140625" bestFit="1" customWidth="1"/>
    <col min="37" max="37" width="12.28515625" bestFit="1" customWidth="1"/>
  </cols>
  <sheetData>
    <row r="1" spans="1:37" x14ac:dyDescent="0.25">
      <c r="A1" t="s">
        <v>108</v>
      </c>
      <c r="B1" t="s">
        <v>85</v>
      </c>
      <c r="C1" t="s">
        <v>22</v>
      </c>
      <c r="D1" t="s">
        <v>67</v>
      </c>
      <c r="E1" t="s">
        <v>109</v>
      </c>
      <c r="F1" t="s">
        <v>110</v>
      </c>
      <c r="G1" t="s">
        <v>111</v>
      </c>
      <c r="H1" t="s">
        <v>112</v>
      </c>
      <c r="I1" t="s">
        <v>113</v>
      </c>
      <c r="J1" t="s">
        <v>114</v>
      </c>
      <c r="K1" t="s">
        <v>115</v>
      </c>
      <c r="L1" t="s">
        <v>116</v>
      </c>
      <c r="M1" t="s">
        <v>78</v>
      </c>
      <c r="N1" t="s">
        <v>117</v>
      </c>
      <c r="O1" t="s">
        <v>16</v>
      </c>
      <c r="P1" t="s">
        <v>118</v>
      </c>
      <c r="Q1" t="s">
        <v>119</v>
      </c>
      <c r="R1" t="s">
        <v>62</v>
      </c>
      <c r="S1" t="s">
        <v>120</v>
      </c>
      <c r="T1" t="s">
        <v>121</v>
      </c>
      <c r="U1" t="s">
        <v>122</v>
      </c>
      <c r="V1" t="s">
        <v>123</v>
      </c>
      <c r="W1" t="s">
        <v>124</v>
      </c>
      <c r="X1" t="s">
        <v>125</v>
      </c>
      <c r="Y1" t="s">
        <v>41</v>
      </c>
      <c r="Z1" t="s">
        <v>126</v>
      </c>
      <c r="AA1" t="s">
        <v>127</v>
      </c>
      <c r="AB1" t="s">
        <v>128</v>
      </c>
      <c r="AC1" t="s">
        <v>73</v>
      </c>
      <c r="AD1" t="s">
        <v>129</v>
      </c>
      <c r="AE1" t="s">
        <v>104</v>
      </c>
      <c r="AF1" t="s">
        <v>130</v>
      </c>
      <c r="AG1" t="s">
        <v>131</v>
      </c>
      <c r="AH1" t="s">
        <v>132</v>
      </c>
      <c r="AI1" t="s">
        <v>28</v>
      </c>
      <c r="AJ1" t="s">
        <v>133</v>
      </c>
      <c r="AK1" t="s">
        <v>87</v>
      </c>
    </row>
    <row r="2" spans="1:37" x14ac:dyDescent="0.25">
      <c r="A2">
        <v>1</v>
      </c>
      <c r="B2">
        <v>41</v>
      </c>
      <c r="C2" s="1" t="s">
        <v>24</v>
      </c>
      <c r="D2" s="1" t="s">
        <v>71</v>
      </c>
      <c r="E2">
        <v>2</v>
      </c>
      <c r="F2" s="1" t="s">
        <v>134</v>
      </c>
      <c r="G2">
        <v>8</v>
      </c>
      <c r="H2" s="1" t="s">
        <v>18</v>
      </c>
      <c r="I2">
        <v>8</v>
      </c>
      <c r="J2">
        <v>0</v>
      </c>
      <c r="K2">
        <v>6</v>
      </c>
      <c r="L2">
        <v>4</v>
      </c>
      <c r="M2">
        <v>0</v>
      </c>
      <c r="N2">
        <v>5</v>
      </c>
      <c r="O2" s="1" t="s">
        <v>18</v>
      </c>
      <c r="P2" s="1" t="s">
        <v>135</v>
      </c>
      <c r="Q2">
        <v>1102</v>
      </c>
      <c r="R2" s="1" t="s">
        <v>64</v>
      </c>
      <c r="S2">
        <v>1</v>
      </c>
      <c r="T2">
        <v>1</v>
      </c>
      <c r="U2">
        <v>2</v>
      </c>
      <c r="V2">
        <v>94</v>
      </c>
      <c r="W2">
        <v>3</v>
      </c>
      <c r="X2">
        <v>2</v>
      </c>
      <c r="Y2" s="1" t="s">
        <v>4</v>
      </c>
      <c r="Z2">
        <v>4</v>
      </c>
      <c r="AA2">
        <v>5993</v>
      </c>
      <c r="AB2">
        <v>19479</v>
      </c>
      <c r="AC2" s="1" t="s">
        <v>18</v>
      </c>
      <c r="AD2">
        <v>11</v>
      </c>
      <c r="AE2">
        <v>3</v>
      </c>
      <c r="AF2">
        <v>1</v>
      </c>
      <c r="AG2">
        <v>80</v>
      </c>
      <c r="AH2">
        <v>0</v>
      </c>
      <c r="AI2">
        <v>1</v>
      </c>
      <c r="AJ2">
        <v>1</v>
      </c>
      <c r="AK2" s="1" t="s">
        <v>136</v>
      </c>
    </row>
    <row r="3" spans="1:37" x14ac:dyDescent="0.25">
      <c r="A3">
        <v>2</v>
      </c>
      <c r="B3">
        <v>49</v>
      </c>
      <c r="C3" s="1" t="s">
        <v>25</v>
      </c>
      <c r="D3" s="1" t="s">
        <v>70</v>
      </c>
      <c r="E3">
        <v>1</v>
      </c>
      <c r="F3" s="1" t="s">
        <v>134</v>
      </c>
      <c r="G3">
        <v>1</v>
      </c>
      <c r="H3" s="1" t="s">
        <v>18</v>
      </c>
      <c r="I3">
        <v>10</v>
      </c>
      <c r="J3">
        <v>3</v>
      </c>
      <c r="K3">
        <v>10</v>
      </c>
      <c r="L3">
        <v>7</v>
      </c>
      <c r="M3">
        <v>1</v>
      </c>
      <c r="N3">
        <v>7</v>
      </c>
      <c r="O3" s="1" t="s">
        <v>19</v>
      </c>
      <c r="P3" s="1" t="s">
        <v>137</v>
      </c>
      <c r="Q3">
        <v>279</v>
      </c>
      <c r="R3" s="1" t="s">
        <v>63</v>
      </c>
      <c r="S3">
        <v>8</v>
      </c>
      <c r="T3">
        <v>1</v>
      </c>
      <c r="U3">
        <v>3</v>
      </c>
      <c r="V3">
        <v>61</v>
      </c>
      <c r="W3">
        <v>2</v>
      </c>
      <c r="X3">
        <v>2</v>
      </c>
      <c r="Y3" s="1" t="s">
        <v>5</v>
      </c>
      <c r="Z3">
        <v>2</v>
      </c>
      <c r="AA3">
        <v>5130</v>
      </c>
      <c r="AB3">
        <v>24907</v>
      </c>
      <c r="AC3" s="1" t="s">
        <v>19</v>
      </c>
      <c r="AD3">
        <v>23</v>
      </c>
      <c r="AE3">
        <v>4</v>
      </c>
      <c r="AF3">
        <v>4</v>
      </c>
      <c r="AG3">
        <v>80</v>
      </c>
      <c r="AH3">
        <v>1</v>
      </c>
      <c r="AI3">
        <v>3</v>
      </c>
      <c r="AJ3">
        <v>0</v>
      </c>
      <c r="AK3" s="1" t="s">
        <v>136</v>
      </c>
    </row>
    <row r="4" spans="1:37" x14ac:dyDescent="0.25">
      <c r="A4">
        <v>4</v>
      </c>
      <c r="B4">
        <v>37</v>
      </c>
      <c r="C4" s="1" t="s">
        <v>25</v>
      </c>
      <c r="D4" s="1" t="s">
        <v>71</v>
      </c>
      <c r="E4">
        <v>2</v>
      </c>
      <c r="F4" s="1" t="s">
        <v>138</v>
      </c>
      <c r="G4">
        <v>6</v>
      </c>
      <c r="H4" s="1" t="s">
        <v>18</v>
      </c>
      <c r="I4">
        <v>7</v>
      </c>
      <c r="J4">
        <v>3</v>
      </c>
      <c r="K4">
        <v>0</v>
      </c>
      <c r="L4">
        <v>0</v>
      </c>
      <c r="M4">
        <v>0</v>
      </c>
      <c r="N4">
        <v>0</v>
      </c>
      <c r="O4" s="1" t="s">
        <v>18</v>
      </c>
      <c r="P4" s="1" t="s">
        <v>135</v>
      </c>
      <c r="Q4">
        <v>1373</v>
      </c>
      <c r="R4" s="1" t="s">
        <v>63</v>
      </c>
      <c r="S4">
        <v>2</v>
      </c>
      <c r="T4">
        <v>1</v>
      </c>
      <c r="U4">
        <v>4</v>
      </c>
      <c r="V4">
        <v>92</v>
      </c>
      <c r="W4">
        <v>2</v>
      </c>
      <c r="X4">
        <v>1</v>
      </c>
      <c r="Y4" s="1" t="s">
        <v>6</v>
      </c>
      <c r="Z4">
        <v>3</v>
      </c>
      <c r="AA4">
        <v>2090</v>
      </c>
      <c r="AB4">
        <v>2396</v>
      </c>
      <c r="AC4" s="1" t="s">
        <v>18</v>
      </c>
      <c r="AD4">
        <v>15</v>
      </c>
      <c r="AE4">
        <v>3</v>
      </c>
      <c r="AF4">
        <v>2</v>
      </c>
      <c r="AG4">
        <v>80</v>
      </c>
      <c r="AH4">
        <v>0</v>
      </c>
      <c r="AI4">
        <v>3</v>
      </c>
      <c r="AJ4">
        <v>1</v>
      </c>
      <c r="AK4" s="1" t="s">
        <v>136</v>
      </c>
    </row>
    <row r="5" spans="1:37" x14ac:dyDescent="0.25">
      <c r="A5">
        <v>5</v>
      </c>
      <c r="B5">
        <v>33</v>
      </c>
      <c r="C5" s="1" t="s">
        <v>24</v>
      </c>
      <c r="D5" s="1" t="s">
        <v>70</v>
      </c>
      <c r="E5">
        <v>4</v>
      </c>
      <c r="F5" s="1" t="s">
        <v>134</v>
      </c>
      <c r="G5">
        <v>1</v>
      </c>
      <c r="H5" s="1" t="s">
        <v>18</v>
      </c>
      <c r="I5">
        <v>8</v>
      </c>
      <c r="J5">
        <v>3</v>
      </c>
      <c r="K5">
        <v>8</v>
      </c>
      <c r="L5">
        <v>7</v>
      </c>
      <c r="M5">
        <v>3</v>
      </c>
      <c r="N5">
        <v>0</v>
      </c>
      <c r="O5" s="1" t="s">
        <v>19</v>
      </c>
      <c r="P5" s="1" t="s">
        <v>137</v>
      </c>
      <c r="Q5">
        <v>1392</v>
      </c>
      <c r="R5" s="1" t="s">
        <v>63</v>
      </c>
      <c r="S5">
        <v>3</v>
      </c>
      <c r="T5">
        <v>1</v>
      </c>
      <c r="U5">
        <v>4</v>
      </c>
      <c r="V5">
        <v>56</v>
      </c>
      <c r="W5">
        <v>3</v>
      </c>
      <c r="X5">
        <v>1</v>
      </c>
      <c r="Y5" s="1" t="s">
        <v>5</v>
      </c>
      <c r="Z5">
        <v>3</v>
      </c>
      <c r="AA5">
        <v>2909</v>
      </c>
      <c r="AB5">
        <v>23159</v>
      </c>
      <c r="AC5" s="1" t="s">
        <v>18</v>
      </c>
      <c r="AD5">
        <v>11</v>
      </c>
      <c r="AE5">
        <v>3</v>
      </c>
      <c r="AF5">
        <v>3</v>
      </c>
      <c r="AG5">
        <v>80</v>
      </c>
      <c r="AH5">
        <v>0</v>
      </c>
      <c r="AI5">
        <v>3</v>
      </c>
      <c r="AJ5">
        <v>0</v>
      </c>
      <c r="AK5" s="1" t="s">
        <v>136</v>
      </c>
    </row>
    <row r="6" spans="1:37" x14ac:dyDescent="0.25">
      <c r="A6">
        <v>7</v>
      </c>
      <c r="B6">
        <v>27</v>
      </c>
      <c r="C6" s="1" t="s">
        <v>25</v>
      </c>
      <c r="D6" s="1" t="s">
        <v>70</v>
      </c>
      <c r="E6">
        <v>1</v>
      </c>
      <c r="F6" s="1" t="s">
        <v>139</v>
      </c>
      <c r="G6">
        <v>9</v>
      </c>
      <c r="H6" s="1" t="s">
        <v>18</v>
      </c>
      <c r="I6">
        <v>6</v>
      </c>
      <c r="J6">
        <v>3</v>
      </c>
      <c r="K6">
        <v>2</v>
      </c>
      <c r="L6">
        <v>2</v>
      </c>
      <c r="M6">
        <v>2</v>
      </c>
      <c r="N6">
        <v>2</v>
      </c>
      <c r="O6" s="1" t="s">
        <v>19</v>
      </c>
      <c r="P6" s="1" t="s">
        <v>135</v>
      </c>
      <c r="Q6">
        <v>591</v>
      </c>
      <c r="R6" s="1" t="s">
        <v>63</v>
      </c>
      <c r="S6">
        <v>2</v>
      </c>
      <c r="T6">
        <v>1</v>
      </c>
      <c r="U6">
        <v>1</v>
      </c>
      <c r="V6">
        <v>40</v>
      </c>
      <c r="W6">
        <v>3</v>
      </c>
      <c r="X6">
        <v>1</v>
      </c>
      <c r="Y6" s="1" t="s">
        <v>6</v>
      </c>
      <c r="Z6">
        <v>2</v>
      </c>
      <c r="AA6">
        <v>3468</v>
      </c>
      <c r="AB6">
        <v>16632</v>
      </c>
      <c r="AC6" s="1" t="s">
        <v>19</v>
      </c>
      <c r="AD6">
        <v>12</v>
      </c>
      <c r="AE6">
        <v>3</v>
      </c>
      <c r="AF6">
        <v>4</v>
      </c>
      <c r="AG6">
        <v>80</v>
      </c>
      <c r="AH6">
        <v>1</v>
      </c>
      <c r="AI6">
        <v>3</v>
      </c>
      <c r="AJ6">
        <v>0</v>
      </c>
      <c r="AK6" s="1" t="s">
        <v>136</v>
      </c>
    </row>
    <row r="7" spans="1:37" x14ac:dyDescent="0.25">
      <c r="A7">
        <v>8</v>
      </c>
      <c r="B7">
        <v>32</v>
      </c>
      <c r="C7" s="1" t="s">
        <v>25</v>
      </c>
      <c r="D7" s="1" t="s">
        <v>71</v>
      </c>
      <c r="E7">
        <v>2</v>
      </c>
      <c r="F7" s="1" t="s">
        <v>134</v>
      </c>
      <c r="G7">
        <v>0</v>
      </c>
      <c r="H7" s="1" t="s">
        <v>18</v>
      </c>
      <c r="I7">
        <v>8</v>
      </c>
      <c r="J7">
        <v>2</v>
      </c>
      <c r="K7">
        <v>7</v>
      </c>
      <c r="L7">
        <v>7</v>
      </c>
      <c r="M7">
        <v>3</v>
      </c>
      <c r="N7">
        <v>6</v>
      </c>
      <c r="O7" s="1" t="s">
        <v>19</v>
      </c>
      <c r="P7" s="1" t="s">
        <v>137</v>
      </c>
      <c r="Q7">
        <v>1005</v>
      </c>
      <c r="R7" s="1" t="s">
        <v>63</v>
      </c>
      <c r="S7">
        <v>2</v>
      </c>
      <c r="T7">
        <v>1</v>
      </c>
      <c r="U7">
        <v>4</v>
      </c>
      <c r="V7">
        <v>79</v>
      </c>
      <c r="W7">
        <v>3</v>
      </c>
      <c r="X7">
        <v>1</v>
      </c>
      <c r="Y7" s="1" t="s">
        <v>6</v>
      </c>
      <c r="Z7">
        <v>4</v>
      </c>
      <c r="AA7">
        <v>3068</v>
      </c>
      <c r="AB7">
        <v>11864</v>
      </c>
      <c r="AC7" s="1" t="s">
        <v>19</v>
      </c>
      <c r="AD7">
        <v>13</v>
      </c>
      <c r="AE7">
        <v>3</v>
      </c>
      <c r="AF7">
        <v>3</v>
      </c>
      <c r="AG7">
        <v>80</v>
      </c>
      <c r="AH7">
        <v>0</v>
      </c>
      <c r="AI7">
        <v>2</v>
      </c>
      <c r="AJ7">
        <v>0</v>
      </c>
      <c r="AK7" s="1" t="s">
        <v>136</v>
      </c>
    </row>
    <row r="8" spans="1:37" x14ac:dyDescent="0.25">
      <c r="A8">
        <v>10</v>
      </c>
      <c r="B8">
        <v>59</v>
      </c>
      <c r="C8" s="1" t="s">
        <v>24</v>
      </c>
      <c r="D8" s="1" t="s">
        <v>70</v>
      </c>
      <c r="E8">
        <v>3</v>
      </c>
      <c r="F8" s="1" t="s">
        <v>139</v>
      </c>
      <c r="G8">
        <v>4</v>
      </c>
      <c r="H8" s="1" t="s">
        <v>18</v>
      </c>
      <c r="I8">
        <v>12</v>
      </c>
      <c r="J8">
        <v>3</v>
      </c>
      <c r="K8">
        <v>1</v>
      </c>
      <c r="L8">
        <v>0</v>
      </c>
      <c r="M8">
        <v>0</v>
      </c>
      <c r="N8">
        <v>0</v>
      </c>
      <c r="O8" s="1" t="s">
        <v>19</v>
      </c>
      <c r="P8" s="1" t="s">
        <v>135</v>
      </c>
      <c r="Q8">
        <v>1324</v>
      </c>
      <c r="R8" s="1" t="s">
        <v>63</v>
      </c>
      <c r="S8">
        <v>3</v>
      </c>
      <c r="T8">
        <v>1</v>
      </c>
      <c r="U8">
        <v>3</v>
      </c>
      <c r="V8">
        <v>81</v>
      </c>
      <c r="W8">
        <v>4</v>
      </c>
      <c r="X8">
        <v>1</v>
      </c>
      <c r="Y8" s="1" t="s">
        <v>6</v>
      </c>
      <c r="Z8">
        <v>1</v>
      </c>
      <c r="AA8">
        <v>2670</v>
      </c>
      <c r="AB8">
        <v>9964</v>
      </c>
      <c r="AC8" s="1" t="s">
        <v>18</v>
      </c>
      <c r="AD8">
        <v>20</v>
      </c>
      <c r="AE8">
        <v>4</v>
      </c>
      <c r="AF8">
        <v>1</v>
      </c>
      <c r="AG8">
        <v>80</v>
      </c>
      <c r="AH8">
        <v>3</v>
      </c>
      <c r="AI8">
        <v>2</v>
      </c>
      <c r="AJ8">
        <v>0</v>
      </c>
      <c r="AK8" s="1" t="s">
        <v>140</v>
      </c>
    </row>
    <row r="9" spans="1:37" x14ac:dyDescent="0.25">
      <c r="A9">
        <v>11</v>
      </c>
      <c r="B9">
        <v>30</v>
      </c>
      <c r="C9" s="1" t="s">
        <v>25</v>
      </c>
      <c r="D9" s="1" t="s">
        <v>69</v>
      </c>
      <c r="E9">
        <v>1</v>
      </c>
      <c r="F9" s="1" t="s">
        <v>134</v>
      </c>
      <c r="G9">
        <v>1</v>
      </c>
      <c r="H9" s="1" t="s">
        <v>18</v>
      </c>
      <c r="I9">
        <v>1</v>
      </c>
      <c r="J9">
        <v>2</v>
      </c>
      <c r="K9">
        <v>1</v>
      </c>
      <c r="L9">
        <v>0</v>
      </c>
      <c r="M9">
        <v>0</v>
      </c>
      <c r="N9">
        <v>0</v>
      </c>
      <c r="O9" s="1" t="s">
        <v>19</v>
      </c>
      <c r="P9" s="1" t="s">
        <v>135</v>
      </c>
      <c r="Q9">
        <v>1358</v>
      </c>
      <c r="R9" s="1" t="s">
        <v>63</v>
      </c>
      <c r="S9">
        <v>24</v>
      </c>
      <c r="T9">
        <v>1</v>
      </c>
      <c r="U9">
        <v>4</v>
      </c>
      <c r="V9">
        <v>67</v>
      </c>
      <c r="W9">
        <v>3</v>
      </c>
      <c r="X9">
        <v>1</v>
      </c>
      <c r="Y9" s="1" t="s">
        <v>6</v>
      </c>
      <c r="Z9">
        <v>3</v>
      </c>
      <c r="AA9">
        <v>2693</v>
      </c>
      <c r="AB9">
        <v>13335</v>
      </c>
      <c r="AC9" s="1" t="s">
        <v>19</v>
      </c>
      <c r="AD9">
        <v>22</v>
      </c>
      <c r="AE9">
        <v>4</v>
      </c>
      <c r="AF9">
        <v>2</v>
      </c>
      <c r="AG9">
        <v>80</v>
      </c>
      <c r="AH9">
        <v>1</v>
      </c>
      <c r="AI9">
        <v>3</v>
      </c>
      <c r="AJ9">
        <v>0</v>
      </c>
      <c r="AK9" s="1" t="s">
        <v>136</v>
      </c>
    </row>
    <row r="10" spans="1:37" x14ac:dyDescent="0.25">
      <c r="A10">
        <v>12</v>
      </c>
      <c r="B10">
        <v>38</v>
      </c>
      <c r="C10" s="1" t="s">
        <v>25</v>
      </c>
      <c r="D10" s="1" t="s">
        <v>71</v>
      </c>
      <c r="E10">
        <v>3</v>
      </c>
      <c r="F10" s="1" t="s">
        <v>134</v>
      </c>
      <c r="G10">
        <v>0</v>
      </c>
      <c r="H10" s="1" t="s">
        <v>18</v>
      </c>
      <c r="I10">
        <v>10</v>
      </c>
      <c r="J10">
        <v>2</v>
      </c>
      <c r="K10">
        <v>9</v>
      </c>
      <c r="L10">
        <v>7</v>
      </c>
      <c r="M10">
        <v>1</v>
      </c>
      <c r="N10">
        <v>8</v>
      </c>
      <c r="O10" s="1" t="s">
        <v>19</v>
      </c>
      <c r="P10" s="1" t="s">
        <v>137</v>
      </c>
      <c r="Q10">
        <v>216</v>
      </c>
      <c r="R10" s="1" t="s">
        <v>63</v>
      </c>
      <c r="S10">
        <v>23</v>
      </c>
      <c r="T10">
        <v>1</v>
      </c>
      <c r="U10">
        <v>4</v>
      </c>
      <c r="V10">
        <v>44</v>
      </c>
      <c r="W10">
        <v>2</v>
      </c>
      <c r="X10">
        <v>3</v>
      </c>
      <c r="Y10" s="1" t="s">
        <v>7</v>
      </c>
      <c r="Z10">
        <v>3</v>
      </c>
      <c r="AA10">
        <v>9526</v>
      </c>
      <c r="AB10">
        <v>8787</v>
      </c>
      <c r="AC10" s="1" t="s">
        <v>19</v>
      </c>
      <c r="AD10">
        <v>21</v>
      </c>
      <c r="AE10">
        <v>4</v>
      </c>
      <c r="AF10">
        <v>2</v>
      </c>
      <c r="AG10">
        <v>80</v>
      </c>
      <c r="AH10">
        <v>0</v>
      </c>
      <c r="AI10">
        <v>3</v>
      </c>
      <c r="AJ10">
        <v>0</v>
      </c>
      <c r="AK10" s="1" t="s">
        <v>136</v>
      </c>
    </row>
    <row r="11" spans="1:37" x14ac:dyDescent="0.25">
      <c r="A11">
        <v>13</v>
      </c>
      <c r="B11">
        <v>36</v>
      </c>
      <c r="C11" s="1" t="s">
        <v>25</v>
      </c>
      <c r="D11" s="1" t="s">
        <v>70</v>
      </c>
      <c r="E11">
        <v>3</v>
      </c>
      <c r="F11" s="1" t="s">
        <v>139</v>
      </c>
      <c r="G11">
        <v>6</v>
      </c>
      <c r="H11" s="1" t="s">
        <v>18</v>
      </c>
      <c r="I11">
        <v>17</v>
      </c>
      <c r="J11">
        <v>3</v>
      </c>
      <c r="K11">
        <v>7</v>
      </c>
      <c r="L11">
        <v>7</v>
      </c>
      <c r="M11">
        <v>7</v>
      </c>
      <c r="N11">
        <v>7</v>
      </c>
      <c r="O11" s="1" t="s">
        <v>19</v>
      </c>
      <c r="P11" s="1" t="s">
        <v>135</v>
      </c>
      <c r="Q11">
        <v>1299</v>
      </c>
      <c r="R11" s="1" t="s">
        <v>63</v>
      </c>
      <c r="S11">
        <v>27</v>
      </c>
      <c r="T11">
        <v>1</v>
      </c>
      <c r="U11">
        <v>3</v>
      </c>
      <c r="V11">
        <v>94</v>
      </c>
      <c r="W11">
        <v>3</v>
      </c>
      <c r="X11">
        <v>2</v>
      </c>
      <c r="Y11" s="1" t="s">
        <v>8</v>
      </c>
      <c r="Z11">
        <v>3</v>
      </c>
      <c r="AA11">
        <v>5237</v>
      </c>
      <c r="AB11">
        <v>16577</v>
      </c>
      <c r="AC11" s="1" t="s">
        <v>19</v>
      </c>
      <c r="AD11">
        <v>13</v>
      </c>
      <c r="AE11">
        <v>3</v>
      </c>
      <c r="AF11">
        <v>2</v>
      </c>
      <c r="AG11">
        <v>80</v>
      </c>
      <c r="AH11">
        <v>2</v>
      </c>
      <c r="AI11">
        <v>2</v>
      </c>
      <c r="AJ11">
        <v>0</v>
      </c>
      <c r="AK11" s="1" t="s">
        <v>136</v>
      </c>
    </row>
    <row r="12" spans="1:37" x14ac:dyDescent="0.25">
      <c r="A12">
        <v>14</v>
      </c>
      <c r="B12">
        <v>35</v>
      </c>
      <c r="C12" s="1" t="s">
        <v>25</v>
      </c>
      <c r="D12" s="1" t="s">
        <v>70</v>
      </c>
      <c r="E12">
        <v>3</v>
      </c>
      <c r="F12" s="1" t="s">
        <v>139</v>
      </c>
      <c r="G12">
        <v>0</v>
      </c>
      <c r="H12" s="1" t="s">
        <v>18</v>
      </c>
      <c r="I12">
        <v>6</v>
      </c>
      <c r="J12">
        <v>5</v>
      </c>
      <c r="K12">
        <v>5</v>
      </c>
      <c r="L12">
        <v>4</v>
      </c>
      <c r="M12">
        <v>0</v>
      </c>
      <c r="N12">
        <v>3</v>
      </c>
      <c r="O12" s="1" t="s">
        <v>19</v>
      </c>
      <c r="P12" s="1" t="s">
        <v>135</v>
      </c>
      <c r="Q12">
        <v>809</v>
      </c>
      <c r="R12" s="1" t="s">
        <v>63</v>
      </c>
      <c r="S12">
        <v>16</v>
      </c>
      <c r="T12">
        <v>1</v>
      </c>
      <c r="U12">
        <v>1</v>
      </c>
      <c r="V12">
        <v>84</v>
      </c>
      <c r="W12">
        <v>4</v>
      </c>
      <c r="X12">
        <v>1</v>
      </c>
      <c r="Y12" s="1" t="s">
        <v>6</v>
      </c>
      <c r="Z12">
        <v>2</v>
      </c>
      <c r="AA12">
        <v>2426</v>
      </c>
      <c r="AB12">
        <v>16479</v>
      </c>
      <c r="AC12" s="1" t="s">
        <v>19</v>
      </c>
      <c r="AD12">
        <v>13</v>
      </c>
      <c r="AE12">
        <v>3</v>
      </c>
      <c r="AF12">
        <v>3</v>
      </c>
      <c r="AG12">
        <v>80</v>
      </c>
      <c r="AH12">
        <v>1</v>
      </c>
      <c r="AI12">
        <v>3</v>
      </c>
      <c r="AJ12">
        <v>0</v>
      </c>
      <c r="AK12" s="1" t="s">
        <v>136</v>
      </c>
    </row>
    <row r="13" spans="1:37" x14ac:dyDescent="0.25">
      <c r="A13">
        <v>15</v>
      </c>
      <c r="B13">
        <v>29</v>
      </c>
      <c r="C13" s="1" t="s">
        <v>24</v>
      </c>
      <c r="D13" s="1" t="s">
        <v>71</v>
      </c>
      <c r="E13">
        <v>2</v>
      </c>
      <c r="F13" s="1" t="s">
        <v>134</v>
      </c>
      <c r="G13">
        <v>0</v>
      </c>
      <c r="H13" s="1" t="s">
        <v>18</v>
      </c>
      <c r="I13">
        <v>10</v>
      </c>
      <c r="J13">
        <v>3</v>
      </c>
      <c r="K13">
        <v>9</v>
      </c>
      <c r="L13">
        <v>5</v>
      </c>
      <c r="M13">
        <v>0</v>
      </c>
      <c r="N13">
        <v>8</v>
      </c>
      <c r="O13" s="1" t="s">
        <v>19</v>
      </c>
      <c r="P13" s="1" t="s">
        <v>135</v>
      </c>
      <c r="Q13">
        <v>153</v>
      </c>
      <c r="R13" s="1" t="s">
        <v>63</v>
      </c>
      <c r="S13">
        <v>15</v>
      </c>
      <c r="T13">
        <v>1</v>
      </c>
      <c r="U13">
        <v>4</v>
      </c>
      <c r="V13">
        <v>49</v>
      </c>
      <c r="W13">
        <v>2</v>
      </c>
      <c r="X13">
        <v>2</v>
      </c>
      <c r="Y13" s="1" t="s">
        <v>6</v>
      </c>
      <c r="Z13">
        <v>3</v>
      </c>
      <c r="AA13">
        <v>4193</v>
      </c>
      <c r="AB13">
        <v>12682</v>
      </c>
      <c r="AC13" s="1" t="s">
        <v>18</v>
      </c>
      <c r="AD13">
        <v>12</v>
      </c>
      <c r="AE13">
        <v>3</v>
      </c>
      <c r="AF13">
        <v>4</v>
      </c>
      <c r="AG13">
        <v>80</v>
      </c>
      <c r="AH13">
        <v>0</v>
      </c>
      <c r="AI13">
        <v>3</v>
      </c>
      <c r="AJ13">
        <v>0</v>
      </c>
      <c r="AK13" s="1" t="s">
        <v>136</v>
      </c>
    </row>
    <row r="14" spans="1:37" x14ac:dyDescent="0.25">
      <c r="A14">
        <v>16</v>
      </c>
      <c r="B14">
        <v>31</v>
      </c>
      <c r="C14" s="1" t="s">
        <v>25</v>
      </c>
      <c r="D14" s="1" t="s">
        <v>69</v>
      </c>
      <c r="E14">
        <v>1</v>
      </c>
      <c r="F14" s="1" t="s">
        <v>134</v>
      </c>
      <c r="G14">
        <v>1</v>
      </c>
      <c r="H14" s="1" t="s">
        <v>18</v>
      </c>
      <c r="I14">
        <v>5</v>
      </c>
      <c r="J14">
        <v>1</v>
      </c>
      <c r="K14">
        <v>5</v>
      </c>
      <c r="L14">
        <v>2</v>
      </c>
      <c r="M14">
        <v>4</v>
      </c>
      <c r="N14">
        <v>3</v>
      </c>
      <c r="O14" s="1" t="s">
        <v>19</v>
      </c>
      <c r="P14" s="1" t="s">
        <v>135</v>
      </c>
      <c r="Q14">
        <v>670</v>
      </c>
      <c r="R14" s="1" t="s">
        <v>63</v>
      </c>
      <c r="S14">
        <v>26</v>
      </c>
      <c r="T14">
        <v>1</v>
      </c>
      <c r="U14">
        <v>1</v>
      </c>
      <c r="V14">
        <v>31</v>
      </c>
      <c r="W14">
        <v>3</v>
      </c>
      <c r="X14">
        <v>1</v>
      </c>
      <c r="Y14" s="1" t="s">
        <v>5</v>
      </c>
      <c r="Z14">
        <v>3</v>
      </c>
      <c r="AA14">
        <v>2911</v>
      </c>
      <c r="AB14">
        <v>15170</v>
      </c>
      <c r="AC14" s="1" t="s">
        <v>19</v>
      </c>
      <c r="AD14">
        <v>17</v>
      </c>
      <c r="AE14">
        <v>3</v>
      </c>
      <c r="AF14">
        <v>4</v>
      </c>
      <c r="AG14">
        <v>80</v>
      </c>
      <c r="AH14">
        <v>1</v>
      </c>
      <c r="AI14">
        <v>2</v>
      </c>
      <c r="AJ14">
        <v>0</v>
      </c>
      <c r="AK14" s="1" t="s">
        <v>136</v>
      </c>
    </row>
    <row r="15" spans="1:37" x14ac:dyDescent="0.25">
      <c r="A15">
        <v>18</v>
      </c>
      <c r="B15">
        <v>34</v>
      </c>
      <c r="C15" s="1" t="s">
        <v>25</v>
      </c>
      <c r="D15" s="1" t="s">
        <v>69</v>
      </c>
      <c r="E15">
        <v>2</v>
      </c>
      <c r="F15" s="1" t="s">
        <v>139</v>
      </c>
      <c r="G15">
        <v>0</v>
      </c>
      <c r="H15" s="1" t="s">
        <v>18</v>
      </c>
      <c r="I15">
        <v>3</v>
      </c>
      <c r="J15">
        <v>2</v>
      </c>
      <c r="K15">
        <v>2</v>
      </c>
      <c r="L15">
        <v>2</v>
      </c>
      <c r="M15">
        <v>1</v>
      </c>
      <c r="N15">
        <v>2</v>
      </c>
      <c r="O15" s="1" t="s">
        <v>19</v>
      </c>
      <c r="P15" s="1" t="s">
        <v>135</v>
      </c>
      <c r="Q15">
        <v>1346</v>
      </c>
      <c r="R15" s="1" t="s">
        <v>63</v>
      </c>
      <c r="S15">
        <v>19</v>
      </c>
      <c r="T15">
        <v>1</v>
      </c>
      <c r="U15">
        <v>2</v>
      </c>
      <c r="V15">
        <v>93</v>
      </c>
      <c r="W15">
        <v>3</v>
      </c>
      <c r="X15">
        <v>1</v>
      </c>
      <c r="Y15" s="1" t="s">
        <v>6</v>
      </c>
      <c r="Z15">
        <v>4</v>
      </c>
      <c r="AA15">
        <v>2661</v>
      </c>
      <c r="AB15">
        <v>8758</v>
      </c>
      <c r="AC15" s="1" t="s">
        <v>19</v>
      </c>
      <c r="AD15">
        <v>11</v>
      </c>
      <c r="AE15">
        <v>3</v>
      </c>
      <c r="AF15">
        <v>3</v>
      </c>
      <c r="AG15">
        <v>80</v>
      </c>
      <c r="AH15">
        <v>1</v>
      </c>
      <c r="AI15">
        <v>3</v>
      </c>
      <c r="AJ15">
        <v>0</v>
      </c>
      <c r="AK15" s="1" t="s">
        <v>136</v>
      </c>
    </row>
    <row r="16" spans="1:37" x14ac:dyDescent="0.25">
      <c r="A16">
        <v>19</v>
      </c>
      <c r="B16">
        <v>28</v>
      </c>
      <c r="C16" s="1" t="s">
        <v>25</v>
      </c>
      <c r="D16" s="1" t="s">
        <v>71</v>
      </c>
      <c r="E16">
        <v>3</v>
      </c>
      <c r="F16" s="1" t="s">
        <v>134</v>
      </c>
      <c r="G16">
        <v>5</v>
      </c>
      <c r="H16" s="1" t="s">
        <v>18</v>
      </c>
      <c r="I16">
        <v>6</v>
      </c>
      <c r="J16">
        <v>4</v>
      </c>
      <c r="K16">
        <v>4</v>
      </c>
      <c r="L16">
        <v>2</v>
      </c>
      <c r="M16">
        <v>0</v>
      </c>
      <c r="N16">
        <v>3</v>
      </c>
      <c r="O16" s="1" t="s">
        <v>18</v>
      </c>
      <c r="P16" s="1" t="s">
        <v>135</v>
      </c>
      <c r="Q16">
        <v>103</v>
      </c>
      <c r="R16" s="1" t="s">
        <v>63</v>
      </c>
      <c r="S16">
        <v>24</v>
      </c>
      <c r="T16">
        <v>1</v>
      </c>
      <c r="U16">
        <v>3</v>
      </c>
      <c r="V16">
        <v>50</v>
      </c>
      <c r="W16">
        <v>2</v>
      </c>
      <c r="X16">
        <v>1</v>
      </c>
      <c r="Y16" s="1" t="s">
        <v>6</v>
      </c>
      <c r="Z16">
        <v>3</v>
      </c>
      <c r="AA16">
        <v>2028</v>
      </c>
      <c r="AB16">
        <v>12947</v>
      </c>
      <c r="AC16" s="1" t="s">
        <v>18</v>
      </c>
      <c r="AD16">
        <v>14</v>
      </c>
      <c r="AE16">
        <v>3</v>
      </c>
      <c r="AF16">
        <v>2</v>
      </c>
      <c r="AG16">
        <v>80</v>
      </c>
      <c r="AH16">
        <v>0</v>
      </c>
      <c r="AI16">
        <v>3</v>
      </c>
      <c r="AJ16">
        <v>1</v>
      </c>
      <c r="AK16" s="1" t="s">
        <v>136</v>
      </c>
    </row>
    <row r="17" spans="1:37" x14ac:dyDescent="0.25">
      <c r="A17">
        <v>20</v>
      </c>
      <c r="B17">
        <v>29</v>
      </c>
      <c r="C17" s="1" t="s">
        <v>24</v>
      </c>
      <c r="D17" s="1" t="s">
        <v>69</v>
      </c>
      <c r="E17">
        <v>4</v>
      </c>
      <c r="F17" s="1" t="s">
        <v>134</v>
      </c>
      <c r="G17">
        <v>1</v>
      </c>
      <c r="H17" s="1" t="s">
        <v>18</v>
      </c>
      <c r="I17">
        <v>10</v>
      </c>
      <c r="J17">
        <v>1</v>
      </c>
      <c r="K17">
        <v>10</v>
      </c>
      <c r="L17">
        <v>9</v>
      </c>
      <c r="M17">
        <v>8</v>
      </c>
      <c r="N17">
        <v>8</v>
      </c>
      <c r="O17" s="1" t="s">
        <v>19</v>
      </c>
      <c r="P17" s="1" t="s">
        <v>135</v>
      </c>
      <c r="Q17">
        <v>1389</v>
      </c>
      <c r="R17" s="1" t="s">
        <v>63</v>
      </c>
      <c r="S17">
        <v>21</v>
      </c>
      <c r="T17">
        <v>1</v>
      </c>
      <c r="U17">
        <v>2</v>
      </c>
      <c r="V17">
        <v>51</v>
      </c>
      <c r="W17">
        <v>4</v>
      </c>
      <c r="X17">
        <v>3</v>
      </c>
      <c r="Y17" s="1" t="s">
        <v>7</v>
      </c>
      <c r="Z17">
        <v>1</v>
      </c>
      <c r="AA17">
        <v>9980</v>
      </c>
      <c r="AB17">
        <v>10195</v>
      </c>
      <c r="AC17" s="1" t="s">
        <v>19</v>
      </c>
      <c r="AD17">
        <v>11</v>
      </c>
      <c r="AE17">
        <v>3</v>
      </c>
      <c r="AF17">
        <v>3</v>
      </c>
      <c r="AG17">
        <v>80</v>
      </c>
      <c r="AH17">
        <v>1</v>
      </c>
      <c r="AI17">
        <v>3</v>
      </c>
      <c r="AJ17">
        <v>0</v>
      </c>
      <c r="AK17" s="1" t="s">
        <v>136</v>
      </c>
    </row>
    <row r="18" spans="1:37" x14ac:dyDescent="0.25">
      <c r="A18">
        <v>21</v>
      </c>
      <c r="B18">
        <v>32</v>
      </c>
      <c r="C18" s="1" t="s">
        <v>25</v>
      </c>
      <c r="D18" s="1" t="s">
        <v>69</v>
      </c>
      <c r="E18">
        <v>2</v>
      </c>
      <c r="F18" s="1" t="s">
        <v>134</v>
      </c>
      <c r="G18">
        <v>0</v>
      </c>
      <c r="H18" s="1" t="s">
        <v>18</v>
      </c>
      <c r="I18">
        <v>7</v>
      </c>
      <c r="J18">
        <v>5</v>
      </c>
      <c r="K18">
        <v>6</v>
      </c>
      <c r="L18">
        <v>2</v>
      </c>
      <c r="M18">
        <v>0</v>
      </c>
      <c r="N18">
        <v>5</v>
      </c>
      <c r="O18" s="1" t="s">
        <v>19</v>
      </c>
      <c r="P18" s="1" t="s">
        <v>135</v>
      </c>
      <c r="Q18">
        <v>334</v>
      </c>
      <c r="R18" s="1" t="s">
        <v>63</v>
      </c>
      <c r="S18">
        <v>5</v>
      </c>
      <c r="T18">
        <v>1</v>
      </c>
      <c r="U18">
        <v>1</v>
      </c>
      <c r="V18">
        <v>80</v>
      </c>
      <c r="W18">
        <v>4</v>
      </c>
      <c r="X18">
        <v>1</v>
      </c>
      <c r="Y18" s="1" t="s">
        <v>5</v>
      </c>
      <c r="Z18">
        <v>2</v>
      </c>
      <c r="AA18">
        <v>3298</v>
      </c>
      <c r="AB18">
        <v>15053</v>
      </c>
      <c r="AC18" s="1" t="s">
        <v>18</v>
      </c>
      <c r="AD18">
        <v>12</v>
      </c>
      <c r="AE18">
        <v>3</v>
      </c>
      <c r="AF18">
        <v>4</v>
      </c>
      <c r="AG18">
        <v>80</v>
      </c>
      <c r="AH18">
        <v>2</v>
      </c>
      <c r="AI18">
        <v>2</v>
      </c>
      <c r="AJ18">
        <v>0</v>
      </c>
      <c r="AK18" s="1" t="s">
        <v>136</v>
      </c>
    </row>
    <row r="19" spans="1:37" x14ac:dyDescent="0.25">
      <c r="A19">
        <v>22</v>
      </c>
      <c r="B19">
        <v>22</v>
      </c>
      <c r="C19" s="1" t="s">
        <v>25</v>
      </c>
      <c r="D19" s="1" t="s">
        <v>69</v>
      </c>
      <c r="E19">
        <v>2</v>
      </c>
      <c r="F19" s="1" t="s">
        <v>139</v>
      </c>
      <c r="G19">
        <v>1</v>
      </c>
      <c r="H19" s="1" t="s">
        <v>18</v>
      </c>
      <c r="I19">
        <v>1</v>
      </c>
      <c r="J19">
        <v>2</v>
      </c>
      <c r="K19">
        <v>1</v>
      </c>
      <c r="L19">
        <v>0</v>
      </c>
      <c r="M19">
        <v>0</v>
      </c>
      <c r="N19">
        <v>0</v>
      </c>
      <c r="O19" s="1" t="s">
        <v>19</v>
      </c>
      <c r="P19" s="1" t="s">
        <v>141</v>
      </c>
      <c r="Q19">
        <v>1123</v>
      </c>
      <c r="R19" s="1" t="s">
        <v>63</v>
      </c>
      <c r="S19">
        <v>16</v>
      </c>
      <c r="T19">
        <v>1</v>
      </c>
      <c r="U19">
        <v>4</v>
      </c>
      <c r="V19">
        <v>96</v>
      </c>
      <c r="W19">
        <v>4</v>
      </c>
      <c r="X19">
        <v>1</v>
      </c>
      <c r="Y19" s="1" t="s">
        <v>6</v>
      </c>
      <c r="Z19">
        <v>4</v>
      </c>
      <c r="AA19">
        <v>2935</v>
      </c>
      <c r="AB19">
        <v>7324</v>
      </c>
      <c r="AC19" s="1" t="s">
        <v>18</v>
      </c>
      <c r="AD19">
        <v>13</v>
      </c>
      <c r="AE19">
        <v>3</v>
      </c>
      <c r="AF19">
        <v>2</v>
      </c>
      <c r="AG19">
        <v>80</v>
      </c>
      <c r="AH19">
        <v>2</v>
      </c>
      <c r="AI19">
        <v>2</v>
      </c>
      <c r="AJ19">
        <v>0</v>
      </c>
      <c r="AK19" s="1" t="s">
        <v>136</v>
      </c>
    </row>
    <row r="20" spans="1:37" x14ac:dyDescent="0.25">
      <c r="A20">
        <v>23</v>
      </c>
      <c r="B20">
        <v>53</v>
      </c>
      <c r="C20" s="1" t="s">
        <v>24</v>
      </c>
      <c r="D20" s="1" t="s">
        <v>70</v>
      </c>
      <c r="E20">
        <v>4</v>
      </c>
      <c r="F20" s="1" t="s">
        <v>134</v>
      </c>
      <c r="G20">
        <v>2</v>
      </c>
      <c r="H20" s="1" t="s">
        <v>18</v>
      </c>
      <c r="I20">
        <v>31</v>
      </c>
      <c r="J20">
        <v>3</v>
      </c>
      <c r="K20">
        <v>25</v>
      </c>
      <c r="L20">
        <v>8</v>
      </c>
      <c r="M20">
        <v>3</v>
      </c>
      <c r="N20">
        <v>7</v>
      </c>
      <c r="O20" s="1" t="s">
        <v>19</v>
      </c>
      <c r="P20" s="1" t="s">
        <v>135</v>
      </c>
      <c r="Q20">
        <v>1219</v>
      </c>
      <c r="R20" s="1" t="s">
        <v>64</v>
      </c>
      <c r="S20">
        <v>2</v>
      </c>
      <c r="T20">
        <v>1</v>
      </c>
      <c r="U20">
        <v>1</v>
      </c>
      <c r="V20">
        <v>78</v>
      </c>
      <c r="W20">
        <v>2</v>
      </c>
      <c r="X20">
        <v>4</v>
      </c>
      <c r="Y20" s="1" t="s">
        <v>9</v>
      </c>
      <c r="Z20">
        <v>4</v>
      </c>
      <c r="AA20">
        <v>15427</v>
      </c>
      <c r="AB20">
        <v>22021</v>
      </c>
      <c r="AC20" s="1" t="s">
        <v>19</v>
      </c>
      <c r="AD20">
        <v>16</v>
      </c>
      <c r="AE20">
        <v>3</v>
      </c>
      <c r="AF20">
        <v>3</v>
      </c>
      <c r="AG20">
        <v>80</v>
      </c>
      <c r="AH20">
        <v>0</v>
      </c>
      <c r="AI20">
        <v>3</v>
      </c>
      <c r="AJ20">
        <v>0</v>
      </c>
      <c r="AK20" s="1" t="s">
        <v>140</v>
      </c>
    </row>
    <row r="21" spans="1:37" x14ac:dyDescent="0.25">
      <c r="A21">
        <v>24</v>
      </c>
      <c r="B21">
        <v>38</v>
      </c>
      <c r="C21" s="1" t="s">
        <v>25</v>
      </c>
      <c r="D21" s="1" t="s">
        <v>71</v>
      </c>
      <c r="E21">
        <v>3</v>
      </c>
      <c r="F21" s="1" t="s">
        <v>134</v>
      </c>
      <c r="G21">
        <v>5</v>
      </c>
      <c r="H21" s="1" t="s">
        <v>18</v>
      </c>
      <c r="I21">
        <v>6</v>
      </c>
      <c r="J21">
        <v>3</v>
      </c>
      <c r="K21">
        <v>3</v>
      </c>
      <c r="L21">
        <v>2</v>
      </c>
      <c r="M21">
        <v>1</v>
      </c>
      <c r="N21">
        <v>2</v>
      </c>
      <c r="O21" s="1" t="s">
        <v>19</v>
      </c>
      <c r="P21" s="1" t="s">
        <v>135</v>
      </c>
      <c r="Q21">
        <v>371</v>
      </c>
      <c r="R21" s="1" t="s">
        <v>63</v>
      </c>
      <c r="S21">
        <v>2</v>
      </c>
      <c r="T21">
        <v>1</v>
      </c>
      <c r="U21">
        <v>4</v>
      </c>
      <c r="V21">
        <v>45</v>
      </c>
      <c r="W21">
        <v>3</v>
      </c>
      <c r="X21">
        <v>1</v>
      </c>
      <c r="Y21" s="1" t="s">
        <v>5</v>
      </c>
      <c r="Z21">
        <v>4</v>
      </c>
      <c r="AA21">
        <v>3944</v>
      </c>
      <c r="AB21">
        <v>4306</v>
      </c>
      <c r="AC21" s="1" t="s">
        <v>18</v>
      </c>
      <c r="AD21">
        <v>11</v>
      </c>
      <c r="AE21">
        <v>3</v>
      </c>
      <c r="AF21">
        <v>3</v>
      </c>
      <c r="AG21">
        <v>80</v>
      </c>
      <c r="AH21">
        <v>0</v>
      </c>
      <c r="AI21">
        <v>3</v>
      </c>
      <c r="AJ21">
        <v>0</v>
      </c>
      <c r="AK21" s="1" t="s">
        <v>136</v>
      </c>
    </row>
    <row r="22" spans="1:37" x14ac:dyDescent="0.25">
      <c r="A22">
        <v>26</v>
      </c>
      <c r="B22">
        <v>24</v>
      </c>
      <c r="C22" s="1" t="s">
        <v>24</v>
      </c>
      <c r="D22" s="1" t="s">
        <v>69</v>
      </c>
      <c r="E22">
        <v>2</v>
      </c>
      <c r="F22" s="1" t="s">
        <v>138</v>
      </c>
      <c r="G22">
        <v>0</v>
      </c>
      <c r="H22" s="1" t="s">
        <v>18</v>
      </c>
      <c r="I22">
        <v>5</v>
      </c>
      <c r="J22">
        <v>5</v>
      </c>
      <c r="K22">
        <v>4</v>
      </c>
      <c r="L22">
        <v>2</v>
      </c>
      <c r="M22">
        <v>1</v>
      </c>
      <c r="N22">
        <v>3</v>
      </c>
      <c r="O22" s="1" t="s">
        <v>19</v>
      </c>
      <c r="P22" s="1" t="s">
        <v>141</v>
      </c>
      <c r="Q22">
        <v>673</v>
      </c>
      <c r="R22" s="1" t="s">
        <v>63</v>
      </c>
      <c r="S22">
        <v>11</v>
      </c>
      <c r="T22">
        <v>1</v>
      </c>
      <c r="U22">
        <v>1</v>
      </c>
      <c r="V22">
        <v>96</v>
      </c>
      <c r="W22">
        <v>4</v>
      </c>
      <c r="X22">
        <v>2</v>
      </c>
      <c r="Y22" s="1" t="s">
        <v>7</v>
      </c>
      <c r="Z22">
        <v>3</v>
      </c>
      <c r="AA22">
        <v>4011</v>
      </c>
      <c r="AB22">
        <v>8232</v>
      </c>
      <c r="AC22" s="1" t="s">
        <v>19</v>
      </c>
      <c r="AD22">
        <v>18</v>
      </c>
      <c r="AE22">
        <v>3</v>
      </c>
      <c r="AF22">
        <v>4</v>
      </c>
      <c r="AG22">
        <v>80</v>
      </c>
      <c r="AH22">
        <v>1</v>
      </c>
      <c r="AI22">
        <v>2</v>
      </c>
      <c r="AJ22">
        <v>0</v>
      </c>
      <c r="AK22" s="1" t="s">
        <v>136</v>
      </c>
    </row>
    <row r="23" spans="1:37" x14ac:dyDescent="0.25">
      <c r="A23">
        <v>27</v>
      </c>
      <c r="B23">
        <v>36</v>
      </c>
      <c r="C23" s="1" t="s">
        <v>25</v>
      </c>
      <c r="D23" s="1" t="s">
        <v>71</v>
      </c>
      <c r="E23">
        <v>4</v>
      </c>
      <c r="F23" s="1" t="s">
        <v>134</v>
      </c>
      <c r="G23">
        <v>7</v>
      </c>
      <c r="H23" s="1" t="s">
        <v>18</v>
      </c>
      <c r="I23">
        <v>10</v>
      </c>
      <c r="J23">
        <v>4</v>
      </c>
      <c r="K23">
        <v>5</v>
      </c>
      <c r="L23">
        <v>3</v>
      </c>
      <c r="M23">
        <v>0</v>
      </c>
      <c r="N23">
        <v>3</v>
      </c>
      <c r="O23" s="1" t="s">
        <v>18</v>
      </c>
      <c r="P23" s="1" t="s">
        <v>135</v>
      </c>
      <c r="Q23">
        <v>1218</v>
      </c>
      <c r="R23" s="1" t="s">
        <v>64</v>
      </c>
      <c r="S23">
        <v>9</v>
      </c>
      <c r="T23">
        <v>1</v>
      </c>
      <c r="U23">
        <v>3</v>
      </c>
      <c r="V23">
        <v>82</v>
      </c>
      <c r="W23">
        <v>2</v>
      </c>
      <c r="X23">
        <v>1</v>
      </c>
      <c r="Y23" s="1" t="s">
        <v>10</v>
      </c>
      <c r="Z23">
        <v>1</v>
      </c>
      <c r="AA23">
        <v>3407</v>
      </c>
      <c r="AB23">
        <v>6986</v>
      </c>
      <c r="AC23" s="1" t="s">
        <v>19</v>
      </c>
      <c r="AD23">
        <v>23</v>
      </c>
      <c r="AE23">
        <v>4</v>
      </c>
      <c r="AF23">
        <v>2</v>
      </c>
      <c r="AG23">
        <v>80</v>
      </c>
      <c r="AH23">
        <v>0</v>
      </c>
      <c r="AI23">
        <v>3</v>
      </c>
      <c r="AJ23">
        <v>1</v>
      </c>
      <c r="AK23" s="1" t="s">
        <v>136</v>
      </c>
    </row>
    <row r="24" spans="1:37" x14ac:dyDescent="0.25">
      <c r="A24">
        <v>28</v>
      </c>
      <c r="B24">
        <v>34</v>
      </c>
      <c r="C24" s="1" t="s">
        <v>24</v>
      </c>
      <c r="D24" s="1" t="s">
        <v>71</v>
      </c>
      <c r="E24">
        <v>4</v>
      </c>
      <c r="F24" s="1" t="s">
        <v>134</v>
      </c>
      <c r="G24">
        <v>0</v>
      </c>
      <c r="H24" s="1" t="s">
        <v>18</v>
      </c>
      <c r="I24">
        <v>13</v>
      </c>
      <c r="J24">
        <v>4</v>
      </c>
      <c r="K24">
        <v>12</v>
      </c>
      <c r="L24">
        <v>6</v>
      </c>
      <c r="M24">
        <v>2</v>
      </c>
      <c r="N24">
        <v>11</v>
      </c>
      <c r="O24" s="1" t="s">
        <v>19</v>
      </c>
      <c r="P24" s="1" t="s">
        <v>135</v>
      </c>
      <c r="Q24">
        <v>419</v>
      </c>
      <c r="R24" s="1" t="s">
        <v>63</v>
      </c>
      <c r="S24">
        <v>7</v>
      </c>
      <c r="T24">
        <v>1</v>
      </c>
      <c r="U24">
        <v>1</v>
      </c>
      <c r="V24">
        <v>53</v>
      </c>
      <c r="W24">
        <v>3</v>
      </c>
      <c r="X24">
        <v>3</v>
      </c>
      <c r="Y24" s="1" t="s">
        <v>11</v>
      </c>
      <c r="Z24">
        <v>2</v>
      </c>
      <c r="AA24">
        <v>11994</v>
      </c>
      <c r="AB24">
        <v>21293</v>
      </c>
      <c r="AC24" s="1" t="s">
        <v>19</v>
      </c>
      <c r="AD24">
        <v>11</v>
      </c>
      <c r="AE24">
        <v>3</v>
      </c>
      <c r="AF24">
        <v>3</v>
      </c>
      <c r="AG24">
        <v>80</v>
      </c>
      <c r="AH24">
        <v>0</v>
      </c>
      <c r="AI24">
        <v>3</v>
      </c>
      <c r="AJ24">
        <v>0</v>
      </c>
      <c r="AK24" s="1" t="s">
        <v>136</v>
      </c>
    </row>
    <row r="25" spans="1:37" x14ac:dyDescent="0.25">
      <c r="A25">
        <v>30</v>
      </c>
      <c r="B25">
        <v>21</v>
      </c>
      <c r="C25" s="1" t="s">
        <v>25</v>
      </c>
      <c r="D25" s="1" t="s">
        <v>71</v>
      </c>
      <c r="E25">
        <v>2</v>
      </c>
      <c r="F25" s="1" t="s">
        <v>134</v>
      </c>
      <c r="G25">
        <v>1</v>
      </c>
      <c r="H25" s="1" t="s">
        <v>18</v>
      </c>
      <c r="I25">
        <v>0</v>
      </c>
      <c r="J25">
        <v>6</v>
      </c>
      <c r="K25">
        <v>0</v>
      </c>
      <c r="L25">
        <v>0</v>
      </c>
      <c r="M25">
        <v>0</v>
      </c>
      <c r="N25">
        <v>0</v>
      </c>
      <c r="O25" s="1" t="s">
        <v>19</v>
      </c>
      <c r="P25" s="1" t="s">
        <v>135</v>
      </c>
      <c r="Q25">
        <v>391</v>
      </c>
      <c r="R25" s="1" t="s">
        <v>63</v>
      </c>
      <c r="S25">
        <v>15</v>
      </c>
      <c r="T25">
        <v>1</v>
      </c>
      <c r="U25">
        <v>3</v>
      </c>
      <c r="V25">
        <v>96</v>
      </c>
      <c r="W25">
        <v>3</v>
      </c>
      <c r="X25">
        <v>1</v>
      </c>
      <c r="Y25" s="1" t="s">
        <v>5</v>
      </c>
      <c r="Z25">
        <v>4</v>
      </c>
      <c r="AA25">
        <v>1232</v>
      </c>
      <c r="AB25">
        <v>19281</v>
      </c>
      <c r="AC25" s="1" t="s">
        <v>19</v>
      </c>
      <c r="AD25">
        <v>14</v>
      </c>
      <c r="AE25">
        <v>3</v>
      </c>
      <c r="AF25">
        <v>4</v>
      </c>
      <c r="AG25">
        <v>80</v>
      </c>
      <c r="AH25">
        <v>0</v>
      </c>
      <c r="AI25">
        <v>3</v>
      </c>
      <c r="AJ25">
        <v>0</v>
      </c>
      <c r="AK25" s="1" t="s">
        <v>136</v>
      </c>
    </row>
    <row r="26" spans="1:37" x14ac:dyDescent="0.25">
      <c r="A26">
        <v>31</v>
      </c>
      <c r="B26">
        <v>34</v>
      </c>
      <c r="C26" s="1" t="s">
        <v>25</v>
      </c>
      <c r="D26" s="1" t="s">
        <v>71</v>
      </c>
      <c r="E26">
        <v>1</v>
      </c>
      <c r="F26" s="1" t="s">
        <v>139</v>
      </c>
      <c r="G26">
        <v>2</v>
      </c>
      <c r="H26" s="1" t="s">
        <v>18</v>
      </c>
      <c r="I26">
        <v>8</v>
      </c>
      <c r="J26">
        <v>2</v>
      </c>
      <c r="K26">
        <v>4</v>
      </c>
      <c r="L26">
        <v>2</v>
      </c>
      <c r="M26">
        <v>1</v>
      </c>
      <c r="N26">
        <v>3</v>
      </c>
      <c r="O26" s="1" t="s">
        <v>18</v>
      </c>
      <c r="P26" s="1" t="s">
        <v>135</v>
      </c>
      <c r="Q26">
        <v>699</v>
      </c>
      <c r="R26" s="1" t="s">
        <v>63</v>
      </c>
      <c r="S26">
        <v>6</v>
      </c>
      <c r="T26">
        <v>1</v>
      </c>
      <c r="U26">
        <v>2</v>
      </c>
      <c r="V26">
        <v>83</v>
      </c>
      <c r="W26">
        <v>3</v>
      </c>
      <c r="X26">
        <v>1</v>
      </c>
      <c r="Y26" s="1" t="s">
        <v>5</v>
      </c>
      <c r="Z26">
        <v>1</v>
      </c>
      <c r="AA26">
        <v>2960</v>
      </c>
      <c r="AB26">
        <v>17102</v>
      </c>
      <c r="AC26" s="1" t="s">
        <v>19</v>
      </c>
      <c r="AD26">
        <v>11</v>
      </c>
      <c r="AE26">
        <v>3</v>
      </c>
      <c r="AF26">
        <v>3</v>
      </c>
      <c r="AG26">
        <v>80</v>
      </c>
      <c r="AH26">
        <v>0</v>
      </c>
      <c r="AI26">
        <v>3</v>
      </c>
      <c r="AJ26">
        <v>1</v>
      </c>
      <c r="AK26" s="1" t="s">
        <v>136</v>
      </c>
    </row>
    <row r="27" spans="1:37" x14ac:dyDescent="0.25">
      <c r="A27">
        <v>32</v>
      </c>
      <c r="B27">
        <v>53</v>
      </c>
      <c r="C27" s="1" t="s">
        <v>24</v>
      </c>
      <c r="D27" s="1" t="s">
        <v>69</v>
      </c>
      <c r="E27">
        <v>3</v>
      </c>
      <c r="F27" s="1" t="s">
        <v>138</v>
      </c>
      <c r="G27">
        <v>4</v>
      </c>
      <c r="H27" s="1" t="s">
        <v>18</v>
      </c>
      <c r="I27">
        <v>26</v>
      </c>
      <c r="J27">
        <v>3</v>
      </c>
      <c r="K27">
        <v>14</v>
      </c>
      <c r="L27">
        <v>13</v>
      </c>
      <c r="M27">
        <v>4</v>
      </c>
      <c r="N27">
        <v>8</v>
      </c>
      <c r="O27" s="1" t="s">
        <v>19</v>
      </c>
      <c r="P27" s="1" t="s">
        <v>135</v>
      </c>
      <c r="Q27">
        <v>1282</v>
      </c>
      <c r="R27" s="1" t="s">
        <v>63</v>
      </c>
      <c r="S27">
        <v>5</v>
      </c>
      <c r="T27">
        <v>1</v>
      </c>
      <c r="U27">
        <v>3</v>
      </c>
      <c r="V27">
        <v>58</v>
      </c>
      <c r="W27">
        <v>3</v>
      </c>
      <c r="X27">
        <v>5</v>
      </c>
      <c r="Y27" s="1" t="s">
        <v>9</v>
      </c>
      <c r="Z27">
        <v>3</v>
      </c>
      <c r="AA27">
        <v>19094</v>
      </c>
      <c r="AB27">
        <v>10735</v>
      </c>
      <c r="AC27" s="1" t="s">
        <v>19</v>
      </c>
      <c r="AD27">
        <v>11</v>
      </c>
      <c r="AE27">
        <v>3</v>
      </c>
      <c r="AF27">
        <v>4</v>
      </c>
      <c r="AG27">
        <v>80</v>
      </c>
      <c r="AH27">
        <v>1</v>
      </c>
      <c r="AI27">
        <v>2</v>
      </c>
      <c r="AJ27">
        <v>0</v>
      </c>
      <c r="AK27" s="1" t="s">
        <v>140</v>
      </c>
    </row>
    <row r="28" spans="1:37" x14ac:dyDescent="0.25">
      <c r="A28">
        <v>33</v>
      </c>
      <c r="B28">
        <v>32</v>
      </c>
      <c r="C28" s="1" t="s">
        <v>24</v>
      </c>
      <c r="D28" s="1" t="s">
        <v>71</v>
      </c>
      <c r="E28">
        <v>1</v>
      </c>
      <c r="F28" s="1" t="s">
        <v>134</v>
      </c>
      <c r="G28">
        <v>1</v>
      </c>
      <c r="H28" s="1" t="s">
        <v>18</v>
      </c>
      <c r="I28">
        <v>10</v>
      </c>
      <c r="J28">
        <v>5</v>
      </c>
      <c r="K28">
        <v>10</v>
      </c>
      <c r="L28">
        <v>2</v>
      </c>
      <c r="M28">
        <v>6</v>
      </c>
      <c r="N28">
        <v>7</v>
      </c>
      <c r="O28" s="1" t="s">
        <v>18</v>
      </c>
      <c r="P28" s="1" t="s">
        <v>137</v>
      </c>
      <c r="Q28">
        <v>1125</v>
      </c>
      <c r="R28" s="1" t="s">
        <v>63</v>
      </c>
      <c r="S28">
        <v>16</v>
      </c>
      <c r="T28">
        <v>1</v>
      </c>
      <c r="U28">
        <v>2</v>
      </c>
      <c r="V28">
        <v>72</v>
      </c>
      <c r="W28">
        <v>1</v>
      </c>
      <c r="X28">
        <v>1</v>
      </c>
      <c r="Y28" s="1" t="s">
        <v>5</v>
      </c>
      <c r="Z28">
        <v>1</v>
      </c>
      <c r="AA28">
        <v>3919</v>
      </c>
      <c r="AB28">
        <v>4681</v>
      </c>
      <c r="AC28" s="1" t="s">
        <v>18</v>
      </c>
      <c r="AD28">
        <v>22</v>
      </c>
      <c r="AE28">
        <v>4</v>
      </c>
      <c r="AF28">
        <v>2</v>
      </c>
      <c r="AG28">
        <v>80</v>
      </c>
      <c r="AH28">
        <v>0</v>
      </c>
      <c r="AI28">
        <v>3</v>
      </c>
      <c r="AJ28">
        <v>1</v>
      </c>
      <c r="AK28" s="1" t="s">
        <v>136</v>
      </c>
    </row>
    <row r="29" spans="1:37" x14ac:dyDescent="0.25">
      <c r="A29">
        <v>35</v>
      </c>
      <c r="B29">
        <v>42</v>
      </c>
      <c r="C29" s="1" t="s">
        <v>25</v>
      </c>
      <c r="D29" s="1" t="s">
        <v>70</v>
      </c>
      <c r="E29">
        <v>4</v>
      </c>
      <c r="F29" s="1" t="s">
        <v>142</v>
      </c>
      <c r="G29">
        <v>0</v>
      </c>
      <c r="H29" s="1" t="s">
        <v>18</v>
      </c>
      <c r="I29">
        <v>10</v>
      </c>
      <c r="J29">
        <v>2</v>
      </c>
      <c r="K29">
        <v>9</v>
      </c>
      <c r="L29">
        <v>7</v>
      </c>
      <c r="M29">
        <v>4</v>
      </c>
      <c r="N29">
        <v>2</v>
      </c>
      <c r="O29" s="1" t="s">
        <v>19</v>
      </c>
      <c r="P29" s="1" t="s">
        <v>135</v>
      </c>
      <c r="Q29">
        <v>691</v>
      </c>
      <c r="R29" s="1" t="s">
        <v>64</v>
      </c>
      <c r="S29">
        <v>8</v>
      </c>
      <c r="T29">
        <v>1</v>
      </c>
      <c r="U29">
        <v>3</v>
      </c>
      <c r="V29">
        <v>48</v>
      </c>
      <c r="W29">
        <v>3</v>
      </c>
      <c r="X29">
        <v>2</v>
      </c>
      <c r="Y29" s="1" t="s">
        <v>4</v>
      </c>
      <c r="Z29">
        <v>2</v>
      </c>
      <c r="AA29">
        <v>6825</v>
      </c>
      <c r="AB29">
        <v>21173</v>
      </c>
      <c r="AC29" s="1" t="s">
        <v>19</v>
      </c>
      <c r="AD29">
        <v>11</v>
      </c>
      <c r="AE29">
        <v>3</v>
      </c>
      <c r="AF29">
        <v>4</v>
      </c>
      <c r="AG29">
        <v>80</v>
      </c>
      <c r="AH29">
        <v>1</v>
      </c>
      <c r="AI29">
        <v>3</v>
      </c>
      <c r="AJ29">
        <v>0</v>
      </c>
      <c r="AK29" s="1" t="s">
        <v>136</v>
      </c>
    </row>
    <row r="30" spans="1:37" x14ac:dyDescent="0.25">
      <c r="A30">
        <v>36</v>
      </c>
      <c r="B30">
        <v>44</v>
      </c>
      <c r="C30" s="1" t="s">
        <v>24</v>
      </c>
      <c r="D30" s="1" t="s">
        <v>70</v>
      </c>
      <c r="E30">
        <v>4</v>
      </c>
      <c r="F30" s="1" t="s">
        <v>139</v>
      </c>
      <c r="G30">
        <v>3</v>
      </c>
      <c r="H30" s="1" t="s">
        <v>18</v>
      </c>
      <c r="I30">
        <v>24</v>
      </c>
      <c r="J30">
        <v>4</v>
      </c>
      <c r="K30">
        <v>22</v>
      </c>
      <c r="L30">
        <v>6</v>
      </c>
      <c r="M30">
        <v>5</v>
      </c>
      <c r="N30">
        <v>17</v>
      </c>
      <c r="O30" s="1" t="s">
        <v>19</v>
      </c>
      <c r="P30" s="1" t="s">
        <v>135</v>
      </c>
      <c r="Q30">
        <v>477</v>
      </c>
      <c r="R30" s="1" t="s">
        <v>63</v>
      </c>
      <c r="S30">
        <v>7</v>
      </c>
      <c r="T30">
        <v>1</v>
      </c>
      <c r="U30">
        <v>1</v>
      </c>
      <c r="V30">
        <v>42</v>
      </c>
      <c r="W30">
        <v>2</v>
      </c>
      <c r="X30">
        <v>3</v>
      </c>
      <c r="Y30" s="1" t="s">
        <v>8</v>
      </c>
      <c r="Z30">
        <v>4</v>
      </c>
      <c r="AA30">
        <v>10248</v>
      </c>
      <c r="AB30">
        <v>2094</v>
      </c>
      <c r="AC30" s="1" t="s">
        <v>19</v>
      </c>
      <c r="AD30">
        <v>14</v>
      </c>
      <c r="AE30">
        <v>3</v>
      </c>
      <c r="AF30">
        <v>4</v>
      </c>
      <c r="AG30">
        <v>80</v>
      </c>
      <c r="AH30">
        <v>1</v>
      </c>
      <c r="AI30">
        <v>3</v>
      </c>
      <c r="AJ30">
        <v>0</v>
      </c>
      <c r="AK30" s="1" t="s">
        <v>136</v>
      </c>
    </row>
    <row r="31" spans="1:37" x14ac:dyDescent="0.25">
      <c r="A31">
        <v>38</v>
      </c>
      <c r="B31">
        <v>46</v>
      </c>
      <c r="C31" s="1" t="s">
        <v>24</v>
      </c>
      <c r="D31" s="1" t="s">
        <v>71</v>
      </c>
      <c r="E31">
        <v>4</v>
      </c>
      <c r="F31" s="1" t="s">
        <v>142</v>
      </c>
      <c r="G31">
        <v>3</v>
      </c>
      <c r="H31" s="1" t="s">
        <v>18</v>
      </c>
      <c r="I31">
        <v>22</v>
      </c>
      <c r="J31">
        <v>2</v>
      </c>
      <c r="K31">
        <v>2</v>
      </c>
      <c r="L31">
        <v>2</v>
      </c>
      <c r="M31">
        <v>2</v>
      </c>
      <c r="N31">
        <v>1</v>
      </c>
      <c r="O31" s="1" t="s">
        <v>19</v>
      </c>
      <c r="P31" s="1" t="s">
        <v>135</v>
      </c>
      <c r="Q31">
        <v>705</v>
      </c>
      <c r="R31" s="1" t="s">
        <v>64</v>
      </c>
      <c r="S31">
        <v>2</v>
      </c>
      <c r="T31">
        <v>1</v>
      </c>
      <c r="U31">
        <v>2</v>
      </c>
      <c r="V31">
        <v>83</v>
      </c>
      <c r="W31">
        <v>3</v>
      </c>
      <c r="X31">
        <v>5</v>
      </c>
      <c r="Y31" s="1" t="s">
        <v>9</v>
      </c>
      <c r="Z31">
        <v>1</v>
      </c>
      <c r="AA31">
        <v>18947</v>
      </c>
      <c r="AB31">
        <v>22822</v>
      </c>
      <c r="AC31" s="1" t="s">
        <v>19</v>
      </c>
      <c r="AD31">
        <v>12</v>
      </c>
      <c r="AE31">
        <v>3</v>
      </c>
      <c r="AF31">
        <v>4</v>
      </c>
      <c r="AG31">
        <v>80</v>
      </c>
      <c r="AH31">
        <v>0</v>
      </c>
      <c r="AI31">
        <v>2</v>
      </c>
      <c r="AJ31">
        <v>0</v>
      </c>
      <c r="AK31" s="1" t="s">
        <v>136</v>
      </c>
    </row>
    <row r="32" spans="1:37" x14ac:dyDescent="0.25">
      <c r="A32">
        <v>39</v>
      </c>
      <c r="B32">
        <v>33</v>
      </c>
      <c r="C32" s="1" t="s">
        <v>25</v>
      </c>
      <c r="D32" s="1" t="s">
        <v>71</v>
      </c>
      <c r="E32">
        <v>3</v>
      </c>
      <c r="F32" s="1" t="s">
        <v>139</v>
      </c>
      <c r="G32">
        <v>4</v>
      </c>
      <c r="H32" s="1" t="s">
        <v>18</v>
      </c>
      <c r="I32">
        <v>7</v>
      </c>
      <c r="J32">
        <v>3</v>
      </c>
      <c r="K32">
        <v>1</v>
      </c>
      <c r="L32">
        <v>1</v>
      </c>
      <c r="M32">
        <v>0</v>
      </c>
      <c r="N32">
        <v>0</v>
      </c>
      <c r="O32" s="1" t="s">
        <v>19</v>
      </c>
      <c r="P32" s="1" t="s">
        <v>135</v>
      </c>
      <c r="Q32">
        <v>924</v>
      </c>
      <c r="R32" s="1" t="s">
        <v>63</v>
      </c>
      <c r="S32">
        <v>2</v>
      </c>
      <c r="T32">
        <v>1</v>
      </c>
      <c r="U32">
        <v>3</v>
      </c>
      <c r="V32">
        <v>78</v>
      </c>
      <c r="W32">
        <v>3</v>
      </c>
      <c r="X32">
        <v>1</v>
      </c>
      <c r="Y32" s="1" t="s">
        <v>6</v>
      </c>
      <c r="Z32">
        <v>4</v>
      </c>
      <c r="AA32">
        <v>2496</v>
      </c>
      <c r="AB32">
        <v>6670</v>
      </c>
      <c r="AC32" s="1" t="s">
        <v>19</v>
      </c>
      <c r="AD32">
        <v>11</v>
      </c>
      <c r="AE32">
        <v>3</v>
      </c>
      <c r="AF32">
        <v>4</v>
      </c>
      <c r="AG32">
        <v>80</v>
      </c>
      <c r="AH32">
        <v>0</v>
      </c>
      <c r="AI32">
        <v>3</v>
      </c>
      <c r="AJ32">
        <v>0</v>
      </c>
      <c r="AK32" s="1" t="s">
        <v>136</v>
      </c>
    </row>
    <row r="33" spans="1:37" x14ac:dyDescent="0.25">
      <c r="A33">
        <v>40</v>
      </c>
      <c r="B33">
        <v>44</v>
      </c>
      <c r="C33" s="1" t="s">
        <v>25</v>
      </c>
      <c r="D33" s="1" t="s">
        <v>70</v>
      </c>
      <c r="E33">
        <v>4</v>
      </c>
      <c r="F33" s="1" t="s">
        <v>138</v>
      </c>
      <c r="G33">
        <v>2</v>
      </c>
      <c r="H33" s="1" t="s">
        <v>18</v>
      </c>
      <c r="I33">
        <v>9</v>
      </c>
      <c r="J33">
        <v>5</v>
      </c>
      <c r="K33">
        <v>4</v>
      </c>
      <c r="L33">
        <v>2</v>
      </c>
      <c r="M33">
        <v>1</v>
      </c>
      <c r="N33">
        <v>3</v>
      </c>
      <c r="O33" s="1" t="s">
        <v>19</v>
      </c>
      <c r="P33" s="1" t="s">
        <v>135</v>
      </c>
      <c r="Q33">
        <v>1459</v>
      </c>
      <c r="R33" s="1" t="s">
        <v>63</v>
      </c>
      <c r="S33">
        <v>10</v>
      </c>
      <c r="T33">
        <v>1</v>
      </c>
      <c r="U33">
        <v>4</v>
      </c>
      <c r="V33">
        <v>41</v>
      </c>
      <c r="W33">
        <v>3</v>
      </c>
      <c r="X33">
        <v>2</v>
      </c>
      <c r="Y33" s="1" t="s">
        <v>8</v>
      </c>
      <c r="Z33">
        <v>4</v>
      </c>
      <c r="AA33">
        <v>6465</v>
      </c>
      <c r="AB33">
        <v>19121</v>
      </c>
      <c r="AC33" s="1" t="s">
        <v>18</v>
      </c>
      <c r="AD33">
        <v>13</v>
      </c>
      <c r="AE33">
        <v>3</v>
      </c>
      <c r="AF33">
        <v>4</v>
      </c>
      <c r="AG33">
        <v>80</v>
      </c>
      <c r="AH33">
        <v>0</v>
      </c>
      <c r="AI33">
        <v>4</v>
      </c>
      <c r="AJ33">
        <v>0</v>
      </c>
      <c r="AK33" s="1" t="s">
        <v>136</v>
      </c>
    </row>
    <row r="34" spans="1:37" x14ac:dyDescent="0.25">
      <c r="A34">
        <v>41</v>
      </c>
      <c r="B34">
        <v>30</v>
      </c>
      <c r="C34" s="1" t="s">
        <v>25</v>
      </c>
      <c r="D34" s="1" t="s">
        <v>71</v>
      </c>
      <c r="E34">
        <v>2</v>
      </c>
      <c r="F34" s="1" t="s">
        <v>139</v>
      </c>
      <c r="G34">
        <v>1</v>
      </c>
      <c r="H34" s="1" t="s">
        <v>18</v>
      </c>
      <c r="I34">
        <v>10</v>
      </c>
      <c r="J34">
        <v>5</v>
      </c>
      <c r="K34">
        <v>10</v>
      </c>
      <c r="L34">
        <v>0</v>
      </c>
      <c r="M34">
        <v>1</v>
      </c>
      <c r="N34">
        <v>8</v>
      </c>
      <c r="O34" s="1" t="s">
        <v>19</v>
      </c>
      <c r="P34" s="1" t="s">
        <v>135</v>
      </c>
      <c r="Q34">
        <v>125</v>
      </c>
      <c r="R34" s="1" t="s">
        <v>63</v>
      </c>
      <c r="S34">
        <v>9</v>
      </c>
      <c r="T34">
        <v>1</v>
      </c>
      <c r="U34">
        <v>4</v>
      </c>
      <c r="V34">
        <v>83</v>
      </c>
      <c r="W34">
        <v>2</v>
      </c>
      <c r="X34">
        <v>1</v>
      </c>
      <c r="Y34" s="1" t="s">
        <v>6</v>
      </c>
      <c r="Z34">
        <v>3</v>
      </c>
      <c r="AA34">
        <v>2206</v>
      </c>
      <c r="AB34">
        <v>16117</v>
      </c>
      <c r="AC34" s="1" t="s">
        <v>19</v>
      </c>
      <c r="AD34">
        <v>13</v>
      </c>
      <c r="AE34">
        <v>3</v>
      </c>
      <c r="AF34">
        <v>1</v>
      </c>
      <c r="AG34">
        <v>80</v>
      </c>
      <c r="AH34">
        <v>0</v>
      </c>
      <c r="AI34">
        <v>3</v>
      </c>
      <c r="AJ34">
        <v>0</v>
      </c>
      <c r="AK34" s="1" t="s">
        <v>136</v>
      </c>
    </row>
    <row r="35" spans="1:37" x14ac:dyDescent="0.25">
      <c r="A35">
        <v>42</v>
      </c>
      <c r="B35">
        <v>39</v>
      </c>
      <c r="C35" s="1" t="s">
        <v>25</v>
      </c>
      <c r="D35" s="1" t="s">
        <v>70</v>
      </c>
      <c r="E35">
        <v>3</v>
      </c>
      <c r="F35" s="1" t="s">
        <v>143</v>
      </c>
      <c r="G35">
        <v>3</v>
      </c>
      <c r="H35" s="1" t="s">
        <v>18</v>
      </c>
      <c r="I35">
        <v>19</v>
      </c>
      <c r="J35">
        <v>6</v>
      </c>
      <c r="K35">
        <v>1</v>
      </c>
      <c r="L35">
        <v>0</v>
      </c>
      <c r="M35">
        <v>0</v>
      </c>
      <c r="N35">
        <v>0</v>
      </c>
      <c r="O35" s="1" t="s">
        <v>18</v>
      </c>
      <c r="P35" s="1" t="s">
        <v>135</v>
      </c>
      <c r="Q35">
        <v>895</v>
      </c>
      <c r="R35" s="1" t="s">
        <v>64</v>
      </c>
      <c r="S35">
        <v>5</v>
      </c>
      <c r="T35">
        <v>1</v>
      </c>
      <c r="U35">
        <v>4</v>
      </c>
      <c r="V35">
        <v>56</v>
      </c>
      <c r="W35">
        <v>3</v>
      </c>
      <c r="X35">
        <v>2</v>
      </c>
      <c r="Y35" s="1" t="s">
        <v>10</v>
      </c>
      <c r="Z35">
        <v>4</v>
      </c>
      <c r="AA35">
        <v>2086</v>
      </c>
      <c r="AB35">
        <v>3335</v>
      </c>
      <c r="AC35" s="1" t="s">
        <v>19</v>
      </c>
      <c r="AD35">
        <v>14</v>
      </c>
      <c r="AE35">
        <v>3</v>
      </c>
      <c r="AF35">
        <v>3</v>
      </c>
      <c r="AG35">
        <v>80</v>
      </c>
      <c r="AH35">
        <v>1</v>
      </c>
      <c r="AI35">
        <v>4</v>
      </c>
      <c r="AJ35">
        <v>1</v>
      </c>
      <c r="AK35" s="1" t="s">
        <v>136</v>
      </c>
    </row>
    <row r="36" spans="1:37" x14ac:dyDescent="0.25">
      <c r="A36">
        <v>45</v>
      </c>
      <c r="B36">
        <v>24</v>
      </c>
      <c r="C36" s="1" t="s">
        <v>25</v>
      </c>
      <c r="D36" s="1" t="s">
        <v>70</v>
      </c>
      <c r="E36">
        <v>3</v>
      </c>
      <c r="F36" s="1" t="s">
        <v>139</v>
      </c>
      <c r="G36">
        <v>2</v>
      </c>
      <c r="H36" s="1" t="s">
        <v>18</v>
      </c>
      <c r="I36">
        <v>6</v>
      </c>
      <c r="J36">
        <v>2</v>
      </c>
      <c r="K36">
        <v>2</v>
      </c>
      <c r="L36">
        <v>0</v>
      </c>
      <c r="M36">
        <v>2</v>
      </c>
      <c r="N36">
        <v>0</v>
      </c>
      <c r="O36" s="1" t="s">
        <v>18</v>
      </c>
      <c r="P36" s="1" t="s">
        <v>135</v>
      </c>
      <c r="Q36">
        <v>813</v>
      </c>
      <c r="R36" s="1" t="s">
        <v>63</v>
      </c>
      <c r="S36">
        <v>1</v>
      </c>
      <c r="T36">
        <v>1</v>
      </c>
      <c r="U36">
        <v>2</v>
      </c>
      <c r="V36">
        <v>61</v>
      </c>
      <c r="W36">
        <v>3</v>
      </c>
      <c r="X36">
        <v>1</v>
      </c>
      <c r="Y36" s="1" t="s">
        <v>5</v>
      </c>
      <c r="Z36">
        <v>4</v>
      </c>
      <c r="AA36">
        <v>2293</v>
      </c>
      <c r="AB36">
        <v>3020</v>
      </c>
      <c r="AC36" s="1" t="s">
        <v>18</v>
      </c>
      <c r="AD36">
        <v>16</v>
      </c>
      <c r="AE36">
        <v>3</v>
      </c>
      <c r="AF36">
        <v>1</v>
      </c>
      <c r="AG36">
        <v>80</v>
      </c>
      <c r="AH36">
        <v>1</v>
      </c>
      <c r="AI36">
        <v>2</v>
      </c>
      <c r="AJ36">
        <v>1</v>
      </c>
      <c r="AK36" s="1" t="s">
        <v>136</v>
      </c>
    </row>
    <row r="37" spans="1:37" x14ac:dyDescent="0.25">
      <c r="A37">
        <v>46</v>
      </c>
      <c r="B37">
        <v>43</v>
      </c>
      <c r="C37" s="1" t="s">
        <v>24</v>
      </c>
      <c r="D37" s="1" t="s">
        <v>69</v>
      </c>
      <c r="E37">
        <v>2</v>
      </c>
      <c r="F37" s="1" t="s">
        <v>139</v>
      </c>
      <c r="G37">
        <v>1</v>
      </c>
      <c r="H37" s="1" t="s">
        <v>18</v>
      </c>
      <c r="I37">
        <v>6</v>
      </c>
      <c r="J37">
        <v>3</v>
      </c>
      <c r="K37">
        <v>5</v>
      </c>
      <c r="L37">
        <v>3</v>
      </c>
      <c r="M37">
        <v>1</v>
      </c>
      <c r="N37">
        <v>4</v>
      </c>
      <c r="O37" s="1" t="s">
        <v>19</v>
      </c>
      <c r="P37" s="1" t="s">
        <v>135</v>
      </c>
      <c r="Q37">
        <v>1273</v>
      </c>
      <c r="R37" s="1" t="s">
        <v>63</v>
      </c>
      <c r="S37">
        <v>2</v>
      </c>
      <c r="T37">
        <v>1</v>
      </c>
      <c r="U37">
        <v>4</v>
      </c>
      <c r="V37">
        <v>72</v>
      </c>
      <c r="W37">
        <v>4</v>
      </c>
      <c r="X37">
        <v>1</v>
      </c>
      <c r="Y37" s="1" t="s">
        <v>5</v>
      </c>
      <c r="Z37">
        <v>3</v>
      </c>
      <c r="AA37">
        <v>2645</v>
      </c>
      <c r="AB37">
        <v>21923</v>
      </c>
      <c r="AC37" s="1" t="s">
        <v>19</v>
      </c>
      <c r="AD37">
        <v>12</v>
      </c>
      <c r="AE37">
        <v>3</v>
      </c>
      <c r="AF37">
        <v>4</v>
      </c>
      <c r="AG37">
        <v>80</v>
      </c>
      <c r="AH37">
        <v>2</v>
      </c>
      <c r="AI37">
        <v>2</v>
      </c>
      <c r="AJ37">
        <v>0</v>
      </c>
      <c r="AK37" s="1" t="s">
        <v>136</v>
      </c>
    </row>
    <row r="38" spans="1:37" x14ac:dyDescent="0.25">
      <c r="A38">
        <v>47</v>
      </c>
      <c r="B38">
        <v>50</v>
      </c>
      <c r="C38" s="1" t="s">
        <v>25</v>
      </c>
      <c r="D38" s="1" t="s">
        <v>70</v>
      </c>
      <c r="E38">
        <v>2</v>
      </c>
      <c r="F38" s="1" t="s">
        <v>142</v>
      </c>
      <c r="G38">
        <v>1</v>
      </c>
      <c r="H38" s="1" t="s">
        <v>18</v>
      </c>
      <c r="I38">
        <v>3</v>
      </c>
      <c r="J38">
        <v>2</v>
      </c>
      <c r="K38">
        <v>3</v>
      </c>
      <c r="L38">
        <v>2</v>
      </c>
      <c r="M38">
        <v>0</v>
      </c>
      <c r="N38">
        <v>2</v>
      </c>
      <c r="O38" s="1" t="s">
        <v>18</v>
      </c>
      <c r="P38" s="1" t="s">
        <v>135</v>
      </c>
      <c r="Q38">
        <v>869</v>
      </c>
      <c r="R38" s="1" t="s">
        <v>64</v>
      </c>
      <c r="S38">
        <v>3</v>
      </c>
      <c r="T38">
        <v>1</v>
      </c>
      <c r="U38">
        <v>1</v>
      </c>
      <c r="V38">
        <v>86</v>
      </c>
      <c r="W38">
        <v>2</v>
      </c>
      <c r="X38">
        <v>1</v>
      </c>
      <c r="Y38" s="1" t="s">
        <v>10</v>
      </c>
      <c r="Z38">
        <v>3</v>
      </c>
      <c r="AA38">
        <v>2683</v>
      </c>
      <c r="AB38">
        <v>3810</v>
      </c>
      <c r="AC38" s="1" t="s">
        <v>18</v>
      </c>
      <c r="AD38">
        <v>14</v>
      </c>
      <c r="AE38">
        <v>3</v>
      </c>
      <c r="AF38">
        <v>3</v>
      </c>
      <c r="AG38">
        <v>80</v>
      </c>
      <c r="AH38">
        <v>0</v>
      </c>
      <c r="AI38">
        <v>3</v>
      </c>
      <c r="AJ38">
        <v>1</v>
      </c>
      <c r="AK38" s="1" t="s">
        <v>140</v>
      </c>
    </row>
    <row r="39" spans="1:37" x14ac:dyDescent="0.25">
      <c r="A39">
        <v>49</v>
      </c>
      <c r="B39">
        <v>35</v>
      </c>
      <c r="C39" s="1" t="s">
        <v>24</v>
      </c>
      <c r="D39" s="1" t="s">
        <v>70</v>
      </c>
      <c r="E39">
        <v>3</v>
      </c>
      <c r="F39" s="1" t="s">
        <v>142</v>
      </c>
      <c r="G39">
        <v>1</v>
      </c>
      <c r="H39" s="1" t="s">
        <v>18</v>
      </c>
      <c r="I39">
        <v>2</v>
      </c>
      <c r="J39">
        <v>3</v>
      </c>
      <c r="K39">
        <v>2</v>
      </c>
      <c r="L39">
        <v>2</v>
      </c>
      <c r="M39">
        <v>2</v>
      </c>
      <c r="N39">
        <v>2</v>
      </c>
      <c r="O39" s="1" t="s">
        <v>19</v>
      </c>
      <c r="P39" s="1" t="s">
        <v>135</v>
      </c>
      <c r="Q39">
        <v>890</v>
      </c>
      <c r="R39" s="1" t="s">
        <v>64</v>
      </c>
      <c r="S39">
        <v>2</v>
      </c>
      <c r="T39">
        <v>1</v>
      </c>
      <c r="U39">
        <v>4</v>
      </c>
      <c r="V39">
        <v>97</v>
      </c>
      <c r="W39">
        <v>3</v>
      </c>
      <c r="X39">
        <v>1</v>
      </c>
      <c r="Y39" s="1" t="s">
        <v>10</v>
      </c>
      <c r="Z39">
        <v>4</v>
      </c>
      <c r="AA39">
        <v>2014</v>
      </c>
      <c r="AB39">
        <v>9687</v>
      </c>
      <c r="AC39" s="1" t="s">
        <v>19</v>
      </c>
      <c r="AD39">
        <v>13</v>
      </c>
      <c r="AE39">
        <v>3</v>
      </c>
      <c r="AF39">
        <v>1</v>
      </c>
      <c r="AG39">
        <v>80</v>
      </c>
      <c r="AH39">
        <v>0</v>
      </c>
      <c r="AI39">
        <v>3</v>
      </c>
      <c r="AJ39">
        <v>0</v>
      </c>
      <c r="AK39" s="1" t="s">
        <v>136</v>
      </c>
    </row>
    <row r="40" spans="1:37" x14ac:dyDescent="0.25">
      <c r="A40">
        <v>51</v>
      </c>
      <c r="B40">
        <v>36</v>
      </c>
      <c r="C40" s="1" t="s">
        <v>24</v>
      </c>
      <c r="D40" s="1" t="s">
        <v>70</v>
      </c>
      <c r="E40">
        <v>4</v>
      </c>
      <c r="F40" s="1" t="s">
        <v>134</v>
      </c>
      <c r="G40">
        <v>9</v>
      </c>
      <c r="H40" s="1" t="s">
        <v>18</v>
      </c>
      <c r="I40">
        <v>6</v>
      </c>
      <c r="J40">
        <v>3</v>
      </c>
      <c r="K40">
        <v>1</v>
      </c>
      <c r="L40">
        <v>1</v>
      </c>
      <c r="M40">
        <v>0</v>
      </c>
      <c r="N40">
        <v>0</v>
      </c>
      <c r="O40" s="1" t="s">
        <v>19</v>
      </c>
      <c r="P40" s="1" t="s">
        <v>135</v>
      </c>
      <c r="Q40">
        <v>852</v>
      </c>
      <c r="R40" s="1" t="s">
        <v>63</v>
      </c>
      <c r="S40">
        <v>5</v>
      </c>
      <c r="T40">
        <v>1</v>
      </c>
      <c r="U40">
        <v>2</v>
      </c>
      <c r="V40">
        <v>82</v>
      </c>
      <c r="W40">
        <v>2</v>
      </c>
      <c r="X40">
        <v>1</v>
      </c>
      <c r="Y40" s="1" t="s">
        <v>5</v>
      </c>
      <c r="Z40">
        <v>1</v>
      </c>
      <c r="AA40">
        <v>3419</v>
      </c>
      <c r="AB40">
        <v>13072</v>
      </c>
      <c r="AC40" s="1" t="s">
        <v>18</v>
      </c>
      <c r="AD40">
        <v>14</v>
      </c>
      <c r="AE40">
        <v>3</v>
      </c>
      <c r="AF40">
        <v>4</v>
      </c>
      <c r="AG40">
        <v>80</v>
      </c>
      <c r="AH40">
        <v>1</v>
      </c>
      <c r="AI40">
        <v>4</v>
      </c>
      <c r="AJ40">
        <v>0</v>
      </c>
      <c r="AK40" s="1" t="s">
        <v>136</v>
      </c>
    </row>
    <row r="41" spans="1:37" x14ac:dyDescent="0.25">
      <c r="A41">
        <v>52</v>
      </c>
      <c r="B41">
        <v>33</v>
      </c>
      <c r="C41" s="1" t="s">
        <v>24</v>
      </c>
      <c r="D41" s="1" t="s">
        <v>70</v>
      </c>
      <c r="E41">
        <v>3</v>
      </c>
      <c r="F41" s="1" t="s">
        <v>134</v>
      </c>
      <c r="G41">
        <v>2</v>
      </c>
      <c r="H41" s="1" t="s">
        <v>18</v>
      </c>
      <c r="I41">
        <v>10</v>
      </c>
      <c r="J41">
        <v>3</v>
      </c>
      <c r="K41">
        <v>5</v>
      </c>
      <c r="L41">
        <v>3</v>
      </c>
      <c r="M41">
        <v>1</v>
      </c>
      <c r="N41">
        <v>3</v>
      </c>
      <c r="O41" s="1" t="s">
        <v>19</v>
      </c>
      <c r="P41" s="1" t="s">
        <v>137</v>
      </c>
      <c r="Q41">
        <v>1141</v>
      </c>
      <c r="R41" s="1" t="s">
        <v>64</v>
      </c>
      <c r="S41">
        <v>1</v>
      </c>
      <c r="T41">
        <v>1</v>
      </c>
      <c r="U41">
        <v>3</v>
      </c>
      <c r="V41">
        <v>42</v>
      </c>
      <c r="W41">
        <v>4</v>
      </c>
      <c r="X41">
        <v>2</v>
      </c>
      <c r="Y41" s="1" t="s">
        <v>4</v>
      </c>
      <c r="Z41">
        <v>1</v>
      </c>
      <c r="AA41">
        <v>5376</v>
      </c>
      <c r="AB41">
        <v>3193</v>
      </c>
      <c r="AC41" s="1" t="s">
        <v>19</v>
      </c>
      <c r="AD41">
        <v>19</v>
      </c>
      <c r="AE41">
        <v>3</v>
      </c>
      <c r="AF41">
        <v>1</v>
      </c>
      <c r="AG41">
        <v>80</v>
      </c>
      <c r="AH41">
        <v>2</v>
      </c>
      <c r="AI41">
        <v>3</v>
      </c>
      <c r="AJ41">
        <v>0</v>
      </c>
      <c r="AK41" s="1" t="s">
        <v>136</v>
      </c>
    </row>
    <row r="42" spans="1:37" x14ac:dyDescent="0.25">
      <c r="A42">
        <v>53</v>
      </c>
      <c r="B42">
        <v>35</v>
      </c>
      <c r="C42" s="1" t="s">
        <v>25</v>
      </c>
      <c r="D42" s="1" t="s">
        <v>69</v>
      </c>
      <c r="E42">
        <v>2</v>
      </c>
      <c r="F42" s="1" t="s">
        <v>138</v>
      </c>
      <c r="G42">
        <v>1</v>
      </c>
      <c r="H42" s="1" t="s">
        <v>18</v>
      </c>
      <c r="I42">
        <v>1</v>
      </c>
      <c r="J42">
        <v>3</v>
      </c>
      <c r="K42">
        <v>1</v>
      </c>
      <c r="L42">
        <v>0</v>
      </c>
      <c r="M42">
        <v>0</v>
      </c>
      <c r="N42">
        <v>0</v>
      </c>
      <c r="O42" s="1" t="s">
        <v>19</v>
      </c>
      <c r="P42" s="1" t="s">
        <v>135</v>
      </c>
      <c r="Q42">
        <v>464</v>
      </c>
      <c r="R42" s="1" t="s">
        <v>63</v>
      </c>
      <c r="S42">
        <v>4</v>
      </c>
      <c r="T42">
        <v>1</v>
      </c>
      <c r="U42">
        <v>3</v>
      </c>
      <c r="V42">
        <v>75</v>
      </c>
      <c r="W42">
        <v>3</v>
      </c>
      <c r="X42">
        <v>1</v>
      </c>
      <c r="Y42" s="1" t="s">
        <v>6</v>
      </c>
      <c r="Z42">
        <v>4</v>
      </c>
      <c r="AA42">
        <v>1951</v>
      </c>
      <c r="AB42">
        <v>10910</v>
      </c>
      <c r="AC42" s="1" t="s">
        <v>19</v>
      </c>
      <c r="AD42">
        <v>12</v>
      </c>
      <c r="AE42">
        <v>3</v>
      </c>
      <c r="AF42">
        <v>3</v>
      </c>
      <c r="AG42">
        <v>80</v>
      </c>
      <c r="AH42">
        <v>1</v>
      </c>
      <c r="AI42">
        <v>3</v>
      </c>
      <c r="AJ42">
        <v>0</v>
      </c>
      <c r="AK42" s="1" t="s">
        <v>136</v>
      </c>
    </row>
    <row r="43" spans="1:37" x14ac:dyDescent="0.25">
      <c r="A43">
        <v>54</v>
      </c>
      <c r="B43">
        <v>27</v>
      </c>
      <c r="C43" s="1" t="s">
        <v>24</v>
      </c>
      <c r="D43" s="1" t="s">
        <v>69</v>
      </c>
      <c r="E43">
        <v>4</v>
      </c>
      <c r="F43" s="1" t="s">
        <v>134</v>
      </c>
      <c r="G43">
        <v>1</v>
      </c>
      <c r="H43" s="1" t="s">
        <v>18</v>
      </c>
      <c r="I43">
        <v>1</v>
      </c>
      <c r="J43">
        <v>6</v>
      </c>
      <c r="K43">
        <v>1</v>
      </c>
      <c r="L43">
        <v>0</v>
      </c>
      <c r="M43">
        <v>0</v>
      </c>
      <c r="N43">
        <v>0</v>
      </c>
      <c r="O43" s="1" t="s">
        <v>19</v>
      </c>
      <c r="P43" s="1" t="s">
        <v>135</v>
      </c>
      <c r="Q43">
        <v>1240</v>
      </c>
      <c r="R43" s="1" t="s">
        <v>63</v>
      </c>
      <c r="S43">
        <v>2</v>
      </c>
      <c r="T43">
        <v>1</v>
      </c>
      <c r="U43">
        <v>4</v>
      </c>
      <c r="V43">
        <v>33</v>
      </c>
      <c r="W43">
        <v>3</v>
      </c>
      <c r="X43">
        <v>1</v>
      </c>
      <c r="Y43" s="1" t="s">
        <v>6</v>
      </c>
      <c r="Z43">
        <v>1</v>
      </c>
      <c r="AA43">
        <v>2341</v>
      </c>
      <c r="AB43">
        <v>19715</v>
      </c>
      <c r="AC43" s="1" t="s">
        <v>19</v>
      </c>
      <c r="AD43">
        <v>13</v>
      </c>
      <c r="AE43">
        <v>3</v>
      </c>
      <c r="AF43">
        <v>4</v>
      </c>
      <c r="AG43">
        <v>80</v>
      </c>
      <c r="AH43">
        <v>1</v>
      </c>
      <c r="AI43">
        <v>3</v>
      </c>
      <c r="AJ43">
        <v>0</v>
      </c>
      <c r="AK43" s="1" t="s">
        <v>136</v>
      </c>
    </row>
    <row r="44" spans="1:37" x14ac:dyDescent="0.25">
      <c r="A44">
        <v>55</v>
      </c>
      <c r="B44">
        <v>26</v>
      </c>
      <c r="C44" s="1" t="s">
        <v>25</v>
      </c>
      <c r="D44" s="1" t="s">
        <v>71</v>
      </c>
      <c r="E44">
        <v>3</v>
      </c>
      <c r="F44" s="1" t="s">
        <v>134</v>
      </c>
      <c r="G44">
        <v>1</v>
      </c>
      <c r="H44" s="1" t="s">
        <v>18</v>
      </c>
      <c r="I44">
        <v>1</v>
      </c>
      <c r="J44">
        <v>2</v>
      </c>
      <c r="K44">
        <v>1</v>
      </c>
      <c r="L44">
        <v>0</v>
      </c>
      <c r="M44">
        <v>0</v>
      </c>
      <c r="N44">
        <v>1</v>
      </c>
      <c r="O44" s="1" t="s">
        <v>18</v>
      </c>
      <c r="P44" s="1" t="s">
        <v>135</v>
      </c>
      <c r="Q44">
        <v>1357</v>
      </c>
      <c r="R44" s="1" t="s">
        <v>63</v>
      </c>
      <c r="S44">
        <v>25</v>
      </c>
      <c r="T44">
        <v>1</v>
      </c>
      <c r="U44">
        <v>1</v>
      </c>
      <c r="V44">
        <v>48</v>
      </c>
      <c r="W44">
        <v>1</v>
      </c>
      <c r="X44">
        <v>1</v>
      </c>
      <c r="Y44" s="1" t="s">
        <v>6</v>
      </c>
      <c r="Z44">
        <v>3</v>
      </c>
      <c r="AA44">
        <v>2293</v>
      </c>
      <c r="AB44">
        <v>10558</v>
      </c>
      <c r="AC44" s="1" t="s">
        <v>19</v>
      </c>
      <c r="AD44">
        <v>12</v>
      </c>
      <c r="AE44">
        <v>3</v>
      </c>
      <c r="AF44">
        <v>3</v>
      </c>
      <c r="AG44">
        <v>80</v>
      </c>
      <c r="AH44">
        <v>0</v>
      </c>
      <c r="AI44">
        <v>2</v>
      </c>
      <c r="AJ44">
        <v>1</v>
      </c>
      <c r="AK44" s="1" t="s">
        <v>136</v>
      </c>
    </row>
    <row r="45" spans="1:37" x14ac:dyDescent="0.25">
      <c r="A45">
        <v>56</v>
      </c>
      <c r="B45">
        <v>27</v>
      </c>
      <c r="C45" s="1" t="s">
        <v>25</v>
      </c>
      <c r="D45" s="1" t="s">
        <v>71</v>
      </c>
      <c r="E45">
        <v>3</v>
      </c>
      <c r="F45" s="1" t="s">
        <v>134</v>
      </c>
      <c r="G45">
        <v>1</v>
      </c>
      <c r="H45" s="1" t="s">
        <v>18</v>
      </c>
      <c r="I45">
        <v>9</v>
      </c>
      <c r="J45">
        <v>0</v>
      </c>
      <c r="K45">
        <v>9</v>
      </c>
      <c r="L45">
        <v>8</v>
      </c>
      <c r="M45">
        <v>1</v>
      </c>
      <c r="N45">
        <v>7</v>
      </c>
      <c r="O45" s="1" t="s">
        <v>19</v>
      </c>
      <c r="P45" s="1" t="s">
        <v>137</v>
      </c>
      <c r="Q45">
        <v>994</v>
      </c>
      <c r="R45" s="1" t="s">
        <v>64</v>
      </c>
      <c r="S45">
        <v>8</v>
      </c>
      <c r="T45">
        <v>1</v>
      </c>
      <c r="U45">
        <v>4</v>
      </c>
      <c r="V45">
        <v>37</v>
      </c>
      <c r="W45">
        <v>3</v>
      </c>
      <c r="X45">
        <v>3</v>
      </c>
      <c r="Y45" s="1" t="s">
        <v>4</v>
      </c>
      <c r="Z45">
        <v>3</v>
      </c>
      <c r="AA45">
        <v>8726</v>
      </c>
      <c r="AB45">
        <v>2975</v>
      </c>
      <c r="AC45" s="1" t="s">
        <v>19</v>
      </c>
      <c r="AD45">
        <v>15</v>
      </c>
      <c r="AE45">
        <v>3</v>
      </c>
      <c r="AF45">
        <v>4</v>
      </c>
      <c r="AG45">
        <v>80</v>
      </c>
      <c r="AH45">
        <v>0</v>
      </c>
      <c r="AI45">
        <v>3</v>
      </c>
      <c r="AJ45">
        <v>0</v>
      </c>
      <c r="AK45" s="1" t="s">
        <v>136</v>
      </c>
    </row>
    <row r="46" spans="1:37" x14ac:dyDescent="0.25">
      <c r="A46">
        <v>57</v>
      </c>
      <c r="B46">
        <v>30</v>
      </c>
      <c r="C46" s="1" t="s">
        <v>24</v>
      </c>
      <c r="D46" s="1" t="s">
        <v>71</v>
      </c>
      <c r="E46">
        <v>2</v>
      </c>
      <c r="F46" s="1" t="s">
        <v>139</v>
      </c>
      <c r="G46">
        <v>1</v>
      </c>
      <c r="H46" s="1" t="s">
        <v>18</v>
      </c>
      <c r="I46">
        <v>12</v>
      </c>
      <c r="J46">
        <v>2</v>
      </c>
      <c r="K46">
        <v>12</v>
      </c>
      <c r="L46">
        <v>8</v>
      </c>
      <c r="M46">
        <v>3</v>
      </c>
      <c r="N46">
        <v>7</v>
      </c>
      <c r="O46" s="1" t="s">
        <v>19</v>
      </c>
      <c r="P46" s="1" t="s">
        <v>137</v>
      </c>
      <c r="Q46">
        <v>721</v>
      </c>
      <c r="R46" s="1" t="s">
        <v>63</v>
      </c>
      <c r="S46">
        <v>1</v>
      </c>
      <c r="T46">
        <v>1</v>
      </c>
      <c r="U46">
        <v>3</v>
      </c>
      <c r="V46">
        <v>58</v>
      </c>
      <c r="W46">
        <v>3</v>
      </c>
      <c r="X46">
        <v>2</v>
      </c>
      <c r="Y46" s="1" t="s">
        <v>6</v>
      </c>
      <c r="Z46">
        <v>4</v>
      </c>
      <c r="AA46">
        <v>4011</v>
      </c>
      <c r="AB46">
        <v>10781</v>
      </c>
      <c r="AC46" s="1" t="s">
        <v>19</v>
      </c>
      <c r="AD46">
        <v>23</v>
      </c>
      <c r="AE46">
        <v>4</v>
      </c>
      <c r="AF46">
        <v>4</v>
      </c>
      <c r="AG46">
        <v>80</v>
      </c>
      <c r="AH46">
        <v>0</v>
      </c>
      <c r="AI46">
        <v>3</v>
      </c>
      <c r="AJ46">
        <v>0</v>
      </c>
      <c r="AK46" s="1" t="s">
        <v>136</v>
      </c>
    </row>
    <row r="47" spans="1:37" x14ac:dyDescent="0.25">
      <c r="A47">
        <v>58</v>
      </c>
      <c r="B47">
        <v>41</v>
      </c>
      <c r="C47" s="1" t="s">
        <v>24</v>
      </c>
      <c r="D47" s="1" t="s">
        <v>70</v>
      </c>
      <c r="E47">
        <v>3</v>
      </c>
      <c r="F47" s="1" t="s">
        <v>143</v>
      </c>
      <c r="G47">
        <v>1</v>
      </c>
      <c r="H47" s="1" t="s">
        <v>18</v>
      </c>
      <c r="I47">
        <v>23</v>
      </c>
      <c r="J47">
        <v>0</v>
      </c>
      <c r="K47">
        <v>22</v>
      </c>
      <c r="L47">
        <v>15</v>
      </c>
      <c r="M47">
        <v>15</v>
      </c>
      <c r="N47">
        <v>8</v>
      </c>
      <c r="O47" s="1" t="s">
        <v>18</v>
      </c>
      <c r="P47" s="1" t="s">
        <v>135</v>
      </c>
      <c r="Q47">
        <v>1360</v>
      </c>
      <c r="R47" s="1" t="s">
        <v>63</v>
      </c>
      <c r="S47">
        <v>12</v>
      </c>
      <c r="T47">
        <v>1</v>
      </c>
      <c r="U47">
        <v>2</v>
      </c>
      <c r="V47">
        <v>49</v>
      </c>
      <c r="W47">
        <v>3</v>
      </c>
      <c r="X47">
        <v>5</v>
      </c>
      <c r="Y47" s="1" t="s">
        <v>11</v>
      </c>
      <c r="Z47">
        <v>3</v>
      </c>
      <c r="AA47">
        <v>19545</v>
      </c>
      <c r="AB47">
        <v>16280</v>
      </c>
      <c r="AC47" s="1" t="s">
        <v>19</v>
      </c>
      <c r="AD47">
        <v>12</v>
      </c>
      <c r="AE47">
        <v>3</v>
      </c>
      <c r="AF47">
        <v>4</v>
      </c>
      <c r="AG47">
        <v>80</v>
      </c>
      <c r="AH47">
        <v>0</v>
      </c>
      <c r="AI47">
        <v>3</v>
      </c>
      <c r="AJ47">
        <v>1</v>
      </c>
      <c r="AK47" s="1" t="s">
        <v>136</v>
      </c>
    </row>
    <row r="48" spans="1:37" x14ac:dyDescent="0.25">
      <c r="A48">
        <v>60</v>
      </c>
      <c r="B48">
        <v>34</v>
      </c>
      <c r="C48" s="1" t="s">
        <v>25</v>
      </c>
      <c r="D48" s="1" t="s">
        <v>71</v>
      </c>
      <c r="E48">
        <v>4</v>
      </c>
      <c r="F48" s="1" t="s">
        <v>142</v>
      </c>
      <c r="G48">
        <v>0</v>
      </c>
      <c r="H48" s="1" t="s">
        <v>18</v>
      </c>
      <c r="I48">
        <v>10</v>
      </c>
      <c r="J48">
        <v>2</v>
      </c>
      <c r="K48">
        <v>9</v>
      </c>
      <c r="L48">
        <v>5</v>
      </c>
      <c r="M48">
        <v>8</v>
      </c>
      <c r="N48">
        <v>7</v>
      </c>
      <c r="O48" s="1" t="s">
        <v>19</v>
      </c>
      <c r="P48" s="1" t="s">
        <v>141</v>
      </c>
      <c r="Q48">
        <v>1065</v>
      </c>
      <c r="R48" s="1" t="s">
        <v>64</v>
      </c>
      <c r="S48">
        <v>23</v>
      </c>
      <c r="T48">
        <v>1</v>
      </c>
      <c r="U48">
        <v>2</v>
      </c>
      <c r="V48">
        <v>72</v>
      </c>
      <c r="W48">
        <v>3</v>
      </c>
      <c r="X48">
        <v>2</v>
      </c>
      <c r="Y48" s="1" t="s">
        <v>4</v>
      </c>
      <c r="Z48">
        <v>3</v>
      </c>
      <c r="AA48">
        <v>4568</v>
      </c>
      <c r="AB48">
        <v>10034</v>
      </c>
      <c r="AC48" s="1" t="s">
        <v>19</v>
      </c>
      <c r="AD48">
        <v>20</v>
      </c>
      <c r="AE48">
        <v>4</v>
      </c>
      <c r="AF48">
        <v>3</v>
      </c>
      <c r="AG48">
        <v>80</v>
      </c>
      <c r="AH48">
        <v>0</v>
      </c>
      <c r="AI48">
        <v>3</v>
      </c>
      <c r="AJ48">
        <v>0</v>
      </c>
      <c r="AK48" s="1" t="s">
        <v>136</v>
      </c>
    </row>
    <row r="49" spans="1:37" x14ac:dyDescent="0.25">
      <c r="A49">
        <v>61</v>
      </c>
      <c r="B49">
        <v>37</v>
      </c>
      <c r="C49" s="1" t="s">
        <v>25</v>
      </c>
      <c r="D49" s="1" t="s">
        <v>70</v>
      </c>
      <c r="E49">
        <v>2</v>
      </c>
      <c r="F49" s="1" t="s">
        <v>134</v>
      </c>
      <c r="G49">
        <v>4</v>
      </c>
      <c r="H49" s="1" t="s">
        <v>18</v>
      </c>
      <c r="I49">
        <v>8</v>
      </c>
      <c r="J49">
        <v>1</v>
      </c>
      <c r="K49">
        <v>1</v>
      </c>
      <c r="L49">
        <v>0</v>
      </c>
      <c r="M49">
        <v>0</v>
      </c>
      <c r="N49">
        <v>0</v>
      </c>
      <c r="O49" s="1" t="s">
        <v>19</v>
      </c>
      <c r="P49" s="1" t="s">
        <v>135</v>
      </c>
      <c r="Q49">
        <v>408</v>
      </c>
      <c r="R49" s="1" t="s">
        <v>63</v>
      </c>
      <c r="S49">
        <v>19</v>
      </c>
      <c r="T49">
        <v>1</v>
      </c>
      <c r="U49">
        <v>2</v>
      </c>
      <c r="V49">
        <v>73</v>
      </c>
      <c r="W49">
        <v>3</v>
      </c>
      <c r="X49">
        <v>1</v>
      </c>
      <c r="Y49" s="1" t="s">
        <v>5</v>
      </c>
      <c r="Z49">
        <v>2</v>
      </c>
      <c r="AA49">
        <v>3022</v>
      </c>
      <c r="AB49">
        <v>10227</v>
      </c>
      <c r="AC49" s="1" t="s">
        <v>19</v>
      </c>
      <c r="AD49">
        <v>21</v>
      </c>
      <c r="AE49">
        <v>4</v>
      </c>
      <c r="AF49">
        <v>1</v>
      </c>
      <c r="AG49">
        <v>80</v>
      </c>
      <c r="AH49">
        <v>0</v>
      </c>
      <c r="AI49">
        <v>3</v>
      </c>
      <c r="AJ49">
        <v>0</v>
      </c>
      <c r="AK49" s="1" t="s">
        <v>136</v>
      </c>
    </row>
    <row r="50" spans="1:37" x14ac:dyDescent="0.25">
      <c r="A50">
        <v>62</v>
      </c>
      <c r="B50">
        <v>46</v>
      </c>
      <c r="C50" s="1" t="s">
        <v>25</v>
      </c>
      <c r="D50" s="1" t="s">
        <v>71</v>
      </c>
      <c r="E50">
        <v>4</v>
      </c>
      <c r="F50" s="1" t="s">
        <v>142</v>
      </c>
      <c r="G50">
        <v>4</v>
      </c>
      <c r="H50" s="1" t="s">
        <v>18</v>
      </c>
      <c r="I50">
        <v>14</v>
      </c>
      <c r="J50">
        <v>4</v>
      </c>
      <c r="K50">
        <v>9</v>
      </c>
      <c r="L50">
        <v>6</v>
      </c>
      <c r="M50">
        <v>0</v>
      </c>
      <c r="N50">
        <v>8</v>
      </c>
      <c r="O50" s="1" t="s">
        <v>19</v>
      </c>
      <c r="P50" s="1" t="s">
        <v>137</v>
      </c>
      <c r="Q50">
        <v>1211</v>
      </c>
      <c r="R50" s="1" t="s">
        <v>64</v>
      </c>
      <c r="S50">
        <v>5</v>
      </c>
      <c r="T50">
        <v>1</v>
      </c>
      <c r="U50">
        <v>1</v>
      </c>
      <c r="V50">
        <v>98</v>
      </c>
      <c r="W50">
        <v>3</v>
      </c>
      <c r="X50">
        <v>2</v>
      </c>
      <c r="Y50" s="1" t="s">
        <v>4</v>
      </c>
      <c r="Z50">
        <v>4</v>
      </c>
      <c r="AA50">
        <v>5772</v>
      </c>
      <c r="AB50">
        <v>20445</v>
      </c>
      <c r="AC50" s="1" t="s">
        <v>18</v>
      </c>
      <c r="AD50">
        <v>21</v>
      </c>
      <c r="AE50">
        <v>4</v>
      </c>
      <c r="AF50">
        <v>3</v>
      </c>
      <c r="AG50">
        <v>80</v>
      </c>
      <c r="AH50">
        <v>0</v>
      </c>
      <c r="AI50">
        <v>3</v>
      </c>
      <c r="AJ50">
        <v>0</v>
      </c>
      <c r="AK50" s="1" t="s">
        <v>136</v>
      </c>
    </row>
    <row r="51" spans="1:37" x14ac:dyDescent="0.25">
      <c r="A51">
        <v>63</v>
      </c>
      <c r="B51">
        <v>35</v>
      </c>
      <c r="C51" s="1" t="s">
        <v>25</v>
      </c>
      <c r="D51" s="1" t="s">
        <v>70</v>
      </c>
      <c r="E51">
        <v>1</v>
      </c>
      <c r="F51" s="1" t="s">
        <v>134</v>
      </c>
      <c r="G51">
        <v>1</v>
      </c>
      <c r="H51" s="1" t="s">
        <v>18</v>
      </c>
      <c r="I51">
        <v>1</v>
      </c>
      <c r="J51">
        <v>2</v>
      </c>
      <c r="K51">
        <v>1</v>
      </c>
      <c r="L51">
        <v>0</v>
      </c>
      <c r="M51">
        <v>0</v>
      </c>
      <c r="N51">
        <v>1</v>
      </c>
      <c r="O51" s="1" t="s">
        <v>19</v>
      </c>
      <c r="P51" s="1" t="s">
        <v>135</v>
      </c>
      <c r="Q51">
        <v>1229</v>
      </c>
      <c r="R51" s="1" t="s">
        <v>63</v>
      </c>
      <c r="S51">
        <v>8</v>
      </c>
      <c r="T51">
        <v>1</v>
      </c>
      <c r="U51">
        <v>4</v>
      </c>
      <c r="V51">
        <v>36</v>
      </c>
      <c r="W51">
        <v>4</v>
      </c>
      <c r="X51">
        <v>1</v>
      </c>
      <c r="Y51" s="1" t="s">
        <v>6</v>
      </c>
      <c r="Z51">
        <v>4</v>
      </c>
      <c r="AA51">
        <v>2269</v>
      </c>
      <c r="AB51">
        <v>4892</v>
      </c>
      <c r="AC51" s="1" t="s">
        <v>19</v>
      </c>
      <c r="AD51">
        <v>19</v>
      </c>
      <c r="AE51">
        <v>3</v>
      </c>
      <c r="AF51">
        <v>4</v>
      </c>
      <c r="AG51">
        <v>80</v>
      </c>
      <c r="AH51">
        <v>0</v>
      </c>
      <c r="AI51">
        <v>3</v>
      </c>
      <c r="AJ51">
        <v>0</v>
      </c>
      <c r="AK51" s="1" t="s">
        <v>136</v>
      </c>
    </row>
    <row r="52" spans="1:37" x14ac:dyDescent="0.25">
      <c r="A52">
        <v>64</v>
      </c>
      <c r="B52">
        <v>48</v>
      </c>
      <c r="C52" s="1" t="s">
        <v>25</v>
      </c>
      <c r="D52" s="1" t="s">
        <v>71</v>
      </c>
      <c r="E52">
        <v>2</v>
      </c>
      <c r="F52" s="1" t="s">
        <v>134</v>
      </c>
      <c r="G52">
        <v>9</v>
      </c>
      <c r="H52" s="1" t="s">
        <v>18</v>
      </c>
      <c r="I52">
        <v>23</v>
      </c>
      <c r="J52">
        <v>2</v>
      </c>
      <c r="K52">
        <v>1</v>
      </c>
      <c r="L52">
        <v>0</v>
      </c>
      <c r="M52">
        <v>0</v>
      </c>
      <c r="N52">
        <v>0</v>
      </c>
      <c r="O52" s="1" t="s">
        <v>18</v>
      </c>
      <c r="P52" s="1" t="s">
        <v>135</v>
      </c>
      <c r="Q52">
        <v>626</v>
      </c>
      <c r="R52" s="1" t="s">
        <v>63</v>
      </c>
      <c r="S52">
        <v>1</v>
      </c>
      <c r="T52">
        <v>1</v>
      </c>
      <c r="U52">
        <v>1</v>
      </c>
      <c r="V52">
        <v>98</v>
      </c>
      <c r="W52">
        <v>2</v>
      </c>
      <c r="X52">
        <v>3</v>
      </c>
      <c r="Y52" s="1" t="s">
        <v>6</v>
      </c>
      <c r="Z52">
        <v>3</v>
      </c>
      <c r="AA52">
        <v>5381</v>
      </c>
      <c r="AB52">
        <v>19294</v>
      </c>
      <c r="AC52" s="1" t="s">
        <v>18</v>
      </c>
      <c r="AD52">
        <v>13</v>
      </c>
      <c r="AE52">
        <v>3</v>
      </c>
      <c r="AF52">
        <v>4</v>
      </c>
      <c r="AG52">
        <v>80</v>
      </c>
      <c r="AH52">
        <v>0</v>
      </c>
      <c r="AI52">
        <v>3</v>
      </c>
      <c r="AJ52">
        <v>1</v>
      </c>
      <c r="AK52" s="1" t="s">
        <v>136</v>
      </c>
    </row>
    <row r="53" spans="1:37" x14ac:dyDescent="0.25">
      <c r="A53">
        <v>65</v>
      </c>
      <c r="B53">
        <v>28</v>
      </c>
      <c r="C53" s="1" t="s">
        <v>25</v>
      </c>
      <c r="D53" s="1" t="s">
        <v>71</v>
      </c>
      <c r="E53">
        <v>4</v>
      </c>
      <c r="F53" s="1" t="s">
        <v>143</v>
      </c>
      <c r="G53">
        <v>1</v>
      </c>
      <c r="H53" s="1" t="s">
        <v>18</v>
      </c>
      <c r="I53">
        <v>2</v>
      </c>
      <c r="J53">
        <v>3</v>
      </c>
      <c r="K53">
        <v>2</v>
      </c>
      <c r="L53">
        <v>2</v>
      </c>
      <c r="M53">
        <v>2</v>
      </c>
      <c r="N53">
        <v>2</v>
      </c>
      <c r="O53" s="1" t="s">
        <v>18</v>
      </c>
      <c r="P53" s="1" t="s">
        <v>135</v>
      </c>
      <c r="Q53">
        <v>1434</v>
      </c>
      <c r="R53" s="1" t="s">
        <v>63</v>
      </c>
      <c r="S53">
        <v>5</v>
      </c>
      <c r="T53">
        <v>1</v>
      </c>
      <c r="U53">
        <v>3</v>
      </c>
      <c r="V53">
        <v>50</v>
      </c>
      <c r="W53">
        <v>3</v>
      </c>
      <c r="X53">
        <v>1</v>
      </c>
      <c r="Y53" s="1" t="s">
        <v>6</v>
      </c>
      <c r="Z53">
        <v>3</v>
      </c>
      <c r="AA53">
        <v>3441</v>
      </c>
      <c r="AB53">
        <v>11179</v>
      </c>
      <c r="AC53" s="1" t="s">
        <v>18</v>
      </c>
      <c r="AD53">
        <v>13</v>
      </c>
      <c r="AE53">
        <v>3</v>
      </c>
      <c r="AF53">
        <v>3</v>
      </c>
      <c r="AG53">
        <v>80</v>
      </c>
      <c r="AH53">
        <v>0</v>
      </c>
      <c r="AI53">
        <v>2</v>
      </c>
      <c r="AJ53">
        <v>1</v>
      </c>
      <c r="AK53" s="1" t="s">
        <v>136</v>
      </c>
    </row>
    <row r="54" spans="1:37" x14ac:dyDescent="0.25">
      <c r="A54">
        <v>68</v>
      </c>
      <c r="B54">
        <v>44</v>
      </c>
      <c r="C54" s="1" t="s">
        <v>24</v>
      </c>
      <c r="D54" s="1" t="s">
        <v>69</v>
      </c>
      <c r="E54">
        <v>5</v>
      </c>
      <c r="F54" s="1" t="s">
        <v>142</v>
      </c>
      <c r="G54">
        <v>5</v>
      </c>
      <c r="H54" s="1" t="s">
        <v>18</v>
      </c>
      <c r="I54">
        <v>9</v>
      </c>
      <c r="J54">
        <v>2</v>
      </c>
      <c r="K54">
        <v>4</v>
      </c>
      <c r="L54">
        <v>3</v>
      </c>
      <c r="M54">
        <v>1</v>
      </c>
      <c r="N54">
        <v>3</v>
      </c>
      <c r="O54" s="1" t="s">
        <v>19</v>
      </c>
      <c r="P54" s="1" t="s">
        <v>135</v>
      </c>
      <c r="Q54">
        <v>1488</v>
      </c>
      <c r="R54" s="1" t="s">
        <v>64</v>
      </c>
      <c r="S54">
        <v>1</v>
      </c>
      <c r="T54">
        <v>1</v>
      </c>
      <c r="U54">
        <v>2</v>
      </c>
      <c r="V54">
        <v>75</v>
      </c>
      <c r="W54">
        <v>3</v>
      </c>
      <c r="X54">
        <v>2</v>
      </c>
      <c r="Y54" s="1" t="s">
        <v>4</v>
      </c>
      <c r="Z54">
        <v>1</v>
      </c>
      <c r="AA54">
        <v>5454</v>
      </c>
      <c r="AB54">
        <v>4009</v>
      </c>
      <c r="AC54" s="1" t="s">
        <v>18</v>
      </c>
      <c r="AD54">
        <v>21</v>
      </c>
      <c r="AE54">
        <v>4</v>
      </c>
      <c r="AF54">
        <v>3</v>
      </c>
      <c r="AG54">
        <v>80</v>
      </c>
      <c r="AH54">
        <v>1</v>
      </c>
      <c r="AI54">
        <v>2</v>
      </c>
      <c r="AJ54">
        <v>0</v>
      </c>
      <c r="AK54" s="1" t="s">
        <v>136</v>
      </c>
    </row>
    <row r="55" spans="1:37" x14ac:dyDescent="0.25">
      <c r="A55">
        <v>70</v>
      </c>
      <c r="B55">
        <v>35</v>
      </c>
      <c r="C55" s="1" t="s">
        <v>25</v>
      </c>
      <c r="D55" s="1" t="s">
        <v>70</v>
      </c>
      <c r="E55">
        <v>2</v>
      </c>
      <c r="F55" s="1" t="s">
        <v>139</v>
      </c>
      <c r="G55">
        <v>2</v>
      </c>
      <c r="H55" s="1" t="s">
        <v>18</v>
      </c>
      <c r="I55">
        <v>10</v>
      </c>
      <c r="J55">
        <v>3</v>
      </c>
      <c r="K55">
        <v>4</v>
      </c>
      <c r="L55">
        <v>0</v>
      </c>
      <c r="M55">
        <v>2</v>
      </c>
      <c r="N55">
        <v>3</v>
      </c>
      <c r="O55" s="1" t="s">
        <v>19</v>
      </c>
      <c r="P55" s="1" t="s">
        <v>141</v>
      </c>
      <c r="Q55">
        <v>1097</v>
      </c>
      <c r="R55" s="1" t="s">
        <v>63</v>
      </c>
      <c r="S55">
        <v>11</v>
      </c>
      <c r="T55">
        <v>1</v>
      </c>
      <c r="U55">
        <v>3</v>
      </c>
      <c r="V55">
        <v>79</v>
      </c>
      <c r="W55">
        <v>2</v>
      </c>
      <c r="X55">
        <v>3</v>
      </c>
      <c r="Y55" s="1" t="s">
        <v>8</v>
      </c>
      <c r="Z55">
        <v>1</v>
      </c>
      <c r="AA55">
        <v>9884</v>
      </c>
      <c r="AB55">
        <v>8302</v>
      </c>
      <c r="AC55" s="1" t="s">
        <v>18</v>
      </c>
      <c r="AD55">
        <v>13</v>
      </c>
      <c r="AE55">
        <v>3</v>
      </c>
      <c r="AF55">
        <v>3</v>
      </c>
      <c r="AG55">
        <v>80</v>
      </c>
      <c r="AH55">
        <v>1</v>
      </c>
      <c r="AI55">
        <v>3</v>
      </c>
      <c r="AJ55">
        <v>0</v>
      </c>
      <c r="AK55" s="1" t="s">
        <v>136</v>
      </c>
    </row>
    <row r="56" spans="1:37" x14ac:dyDescent="0.25">
      <c r="A56">
        <v>72</v>
      </c>
      <c r="B56">
        <v>26</v>
      </c>
      <c r="C56" s="1" t="s">
        <v>24</v>
      </c>
      <c r="D56" s="1" t="s">
        <v>70</v>
      </c>
      <c r="E56">
        <v>3</v>
      </c>
      <c r="F56" s="1" t="s">
        <v>142</v>
      </c>
      <c r="G56">
        <v>7</v>
      </c>
      <c r="H56" s="1" t="s">
        <v>18</v>
      </c>
      <c r="I56">
        <v>5</v>
      </c>
      <c r="J56">
        <v>2</v>
      </c>
      <c r="K56">
        <v>2</v>
      </c>
      <c r="L56">
        <v>2</v>
      </c>
      <c r="M56">
        <v>0</v>
      </c>
      <c r="N56">
        <v>0</v>
      </c>
      <c r="O56" s="1" t="s">
        <v>19</v>
      </c>
      <c r="P56" s="1" t="s">
        <v>135</v>
      </c>
      <c r="Q56">
        <v>1443</v>
      </c>
      <c r="R56" s="1" t="s">
        <v>64</v>
      </c>
      <c r="S56">
        <v>23</v>
      </c>
      <c r="T56">
        <v>1</v>
      </c>
      <c r="U56">
        <v>3</v>
      </c>
      <c r="V56">
        <v>47</v>
      </c>
      <c r="W56">
        <v>2</v>
      </c>
      <c r="X56">
        <v>2</v>
      </c>
      <c r="Y56" s="1" t="s">
        <v>4</v>
      </c>
      <c r="Z56">
        <v>4</v>
      </c>
      <c r="AA56">
        <v>4157</v>
      </c>
      <c r="AB56">
        <v>21436</v>
      </c>
      <c r="AC56" s="1" t="s">
        <v>18</v>
      </c>
      <c r="AD56">
        <v>19</v>
      </c>
      <c r="AE56">
        <v>3</v>
      </c>
      <c r="AF56">
        <v>3</v>
      </c>
      <c r="AG56">
        <v>80</v>
      </c>
      <c r="AH56">
        <v>1</v>
      </c>
      <c r="AI56">
        <v>2</v>
      </c>
      <c r="AJ56">
        <v>0</v>
      </c>
      <c r="AK56" s="1" t="s">
        <v>136</v>
      </c>
    </row>
    <row r="57" spans="1:37" x14ac:dyDescent="0.25">
      <c r="A57">
        <v>73</v>
      </c>
      <c r="B57">
        <v>33</v>
      </c>
      <c r="C57" s="1" t="s">
        <v>24</v>
      </c>
      <c r="D57" s="1" t="s">
        <v>71</v>
      </c>
      <c r="E57">
        <v>2</v>
      </c>
      <c r="F57" s="1" t="s">
        <v>134</v>
      </c>
      <c r="G57">
        <v>1</v>
      </c>
      <c r="H57" s="1" t="s">
        <v>18</v>
      </c>
      <c r="I57">
        <v>15</v>
      </c>
      <c r="J57">
        <v>1</v>
      </c>
      <c r="K57">
        <v>15</v>
      </c>
      <c r="L57">
        <v>14</v>
      </c>
      <c r="M57">
        <v>8</v>
      </c>
      <c r="N57">
        <v>12</v>
      </c>
      <c r="O57" s="1" t="s">
        <v>19</v>
      </c>
      <c r="P57" s="1" t="s">
        <v>137</v>
      </c>
      <c r="Q57">
        <v>515</v>
      </c>
      <c r="R57" s="1" t="s">
        <v>63</v>
      </c>
      <c r="S57">
        <v>1</v>
      </c>
      <c r="T57">
        <v>1</v>
      </c>
      <c r="U57">
        <v>1</v>
      </c>
      <c r="V57">
        <v>98</v>
      </c>
      <c r="W57">
        <v>3</v>
      </c>
      <c r="X57">
        <v>3</v>
      </c>
      <c r="Y57" s="1" t="s">
        <v>11</v>
      </c>
      <c r="Z57">
        <v>4</v>
      </c>
      <c r="AA57">
        <v>13458</v>
      </c>
      <c r="AB57">
        <v>15146</v>
      </c>
      <c r="AC57" s="1" t="s">
        <v>18</v>
      </c>
      <c r="AD57">
        <v>12</v>
      </c>
      <c r="AE57">
        <v>3</v>
      </c>
      <c r="AF57">
        <v>3</v>
      </c>
      <c r="AG57">
        <v>80</v>
      </c>
      <c r="AH57">
        <v>0</v>
      </c>
      <c r="AI57">
        <v>3</v>
      </c>
      <c r="AJ57">
        <v>0</v>
      </c>
      <c r="AK57" s="1" t="s">
        <v>136</v>
      </c>
    </row>
    <row r="58" spans="1:37" x14ac:dyDescent="0.25">
      <c r="A58">
        <v>74</v>
      </c>
      <c r="B58">
        <v>35</v>
      </c>
      <c r="C58" s="1" t="s">
        <v>25</v>
      </c>
      <c r="D58" s="1" t="s">
        <v>70</v>
      </c>
      <c r="E58">
        <v>5</v>
      </c>
      <c r="F58" s="1" t="s">
        <v>134</v>
      </c>
      <c r="G58">
        <v>1</v>
      </c>
      <c r="H58" s="1" t="s">
        <v>18</v>
      </c>
      <c r="I58">
        <v>9</v>
      </c>
      <c r="J58">
        <v>3</v>
      </c>
      <c r="K58">
        <v>9</v>
      </c>
      <c r="L58">
        <v>8</v>
      </c>
      <c r="M58">
        <v>1</v>
      </c>
      <c r="N58">
        <v>8</v>
      </c>
      <c r="O58" s="1" t="s">
        <v>19</v>
      </c>
      <c r="P58" s="1" t="s">
        <v>137</v>
      </c>
      <c r="Q58">
        <v>853</v>
      </c>
      <c r="R58" s="1" t="s">
        <v>64</v>
      </c>
      <c r="S58">
        <v>18</v>
      </c>
      <c r="T58">
        <v>1</v>
      </c>
      <c r="U58">
        <v>2</v>
      </c>
      <c r="V58">
        <v>71</v>
      </c>
      <c r="W58">
        <v>3</v>
      </c>
      <c r="X58">
        <v>3</v>
      </c>
      <c r="Y58" s="1" t="s">
        <v>4</v>
      </c>
      <c r="Z58">
        <v>1</v>
      </c>
      <c r="AA58">
        <v>9069</v>
      </c>
      <c r="AB58">
        <v>11031</v>
      </c>
      <c r="AC58" s="1" t="s">
        <v>19</v>
      </c>
      <c r="AD58">
        <v>22</v>
      </c>
      <c r="AE58">
        <v>4</v>
      </c>
      <c r="AF58">
        <v>4</v>
      </c>
      <c r="AG58">
        <v>80</v>
      </c>
      <c r="AH58">
        <v>1</v>
      </c>
      <c r="AI58">
        <v>2</v>
      </c>
      <c r="AJ58">
        <v>0</v>
      </c>
      <c r="AK58" s="1" t="s">
        <v>136</v>
      </c>
    </row>
    <row r="59" spans="1:37" x14ac:dyDescent="0.25">
      <c r="A59">
        <v>75</v>
      </c>
      <c r="B59">
        <v>35</v>
      </c>
      <c r="C59" s="1" t="s">
        <v>24</v>
      </c>
      <c r="D59" s="1" t="s">
        <v>70</v>
      </c>
      <c r="E59">
        <v>4</v>
      </c>
      <c r="F59" s="1" t="s">
        <v>139</v>
      </c>
      <c r="G59">
        <v>3</v>
      </c>
      <c r="H59" s="1" t="s">
        <v>18</v>
      </c>
      <c r="I59">
        <v>4</v>
      </c>
      <c r="J59">
        <v>3</v>
      </c>
      <c r="K59">
        <v>2</v>
      </c>
      <c r="L59">
        <v>2</v>
      </c>
      <c r="M59">
        <v>2</v>
      </c>
      <c r="N59">
        <v>2</v>
      </c>
      <c r="O59" s="1" t="s">
        <v>19</v>
      </c>
      <c r="P59" s="1" t="s">
        <v>135</v>
      </c>
      <c r="Q59">
        <v>1142</v>
      </c>
      <c r="R59" s="1" t="s">
        <v>63</v>
      </c>
      <c r="S59">
        <v>23</v>
      </c>
      <c r="T59">
        <v>1</v>
      </c>
      <c r="U59">
        <v>3</v>
      </c>
      <c r="V59">
        <v>30</v>
      </c>
      <c r="W59">
        <v>3</v>
      </c>
      <c r="X59">
        <v>1</v>
      </c>
      <c r="Y59" s="1" t="s">
        <v>6</v>
      </c>
      <c r="Z59">
        <v>1</v>
      </c>
      <c r="AA59">
        <v>4014</v>
      </c>
      <c r="AB59">
        <v>16002</v>
      </c>
      <c r="AC59" s="1" t="s">
        <v>18</v>
      </c>
      <c r="AD59">
        <v>15</v>
      </c>
      <c r="AE59">
        <v>3</v>
      </c>
      <c r="AF59">
        <v>3</v>
      </c>
      <c r="AG59">
        <v>80</v>
      </c>
      <c r="AH59">
        <v>1</v>
      </c>
      <c r="AI59">
        <v>3</v>
      </c>
      <c r="AJ59">
        <v>0</v>
      </c>
      <c r="AK59" s="1" t="s">
        <v>136</v>
      </c>
    </row>
    <row r="60" spans="1:37" x14ac:dyDescent="0.25">
      <c r="A60">
        <v>76</v>
      </c>
      <c r="B60">
        <v>31</v>
      </c>
      <c r="C60" s="1" t="s">
        <v>25</v>
      </c>
      <c r="D60" s="1" t="s">
        <v>69</v>
      </c>
      <c r="E60">
        <v>4</v>
      </c>
      <c r="F60" s="1" t="s">
        <v>134</v>
      </c>
      <c r="G60">
        <v>3</v>
      </c>
      <c r="H60" s="1" t="s">
        <v>18</v>
      </c>
      <c r="I60">
        <v>10</v>
      </c>
      <c r="J60">
        <v>3</v>
      </c>
      <c r="K60">
        <v>7</v>
      </c>
      <c r="L60">
        <v>7</v>
      </c>
      <c r="M60">
        <v>1</v>
      </c>
      <c r="N60">
        <v>7</v>
      </c>
      <c r="O60" s="1" t="s">
        <v>19</v>
      </c>
      <c r="P60" s="1" t="s">
        <v>135</v>
      </c>
      <c r="Q60">
        <v>655</v>
      </c>
      <c r="R60" s="1" t="s">
        <v>63</v>
      </c>
      <c r="S60">
        <v>7</v>
      </c>
      <c r="T60">
        <v>1</v>
      </c>
      <c r="U60">
        <v>4</v>
      </c>
      <c r="V60">
        <v>48</v>
      </c>
      <c r="W60">
        <v>3</v>
      </c>
      <c r="X60">
        <v>2</v>
      </c>
      <c r="Y60" s="1" t="s">
        <v>6</v>
      </c>
      <c r="Z60">
        <v>4</v>
      </c>
      <c r="AA60">
        <v>5915</v>
      </c>
      <c r="AB60">
        <v>9528</v>
      </c>
      <c r="AC60" s="1" t="s">
        <v>19</v>
      </c>
      <c r="AD60">
        <v>22</v>
      </c>
      <c r="AE60">
        <v>4</v>
      </c>
      <c r="AF60">
        <v>4</v>
      </c>
      <c r="AG60">
        <v>80</v>
      </c>
      <c r="AH60">
        <v>1</v>
      </c>
      <c r="AI60">
        <v>2</v>
      </c>
      <c r="AJ60">
        <v>0</v>
      </c>
      <c r="AK60" s="1" t="s">
        <v>136</v>
      </c>
    </row>
    <row r="61" spans="1:37" x14ac:dyDescent="0.25">
      <c r="A61">
        <v>77</v>
      </c>
      <c r="B61">
        <v>37</v>
      </c>
      <c r="C61" s="1" t="s">
        <v>25</v>
      </c>
      <c r="D61" s="1" t="s">
        <v>69</v>
      </c>
      <c r="E61">
        <v>4</v>
      </c>
      <c r="F61" s="1" t="s">
        <v>134</v>
      </c>
      <c r="G61">
        <v>1</v>
      </c>
      <c r="H61" s="1" t="s">
        <v>18</v>
      </c>
      <c r="I61">
        <v>7</v>
      </c>
      <c r="J61">
        <v>2</v>
      </c>
      <c r="K61">
        <v>7</v>
      </c>
      <c r="L61">
        <v>5</v>
      </c>
      <c r="M61">
        <v>0</v>
      </c>
      <c r="N61">
        <v>7</v>
      </c>
      <c r="O61" s="1" t="s">
        <v>19</v>
      </c>
      <c r="P61" s="1" t="s">
        <v>135</v>
      </c>
      <c r="Q61">
        <v>1115</v>
      </c>
      <c r="R61" s="1" t="s">
        <v>63</v>
      </c>
      <c r="S61">
        <v>1</v>
      </c>
      <c r="T61">
        <v>1</v>
      </c>
      <c r="U61">
        <v>1</v>
      </c>
      <c r="V61">
        <v>51</v>
      </c>
      <c r="W61">
        <v>2</v>
      </c>
      <c r="X61">
        <v>2</v>
      </c>
      <c r="Y61" s="1" t="s">
        <v>7</v>
      </c>
      <c r="Z61">
        <v>3</v>
      </c>
      <c r="AA61">
        <v>5993</v>
      </c>
      <c r="AB61">
        <v>2689</v>
      </c>
      <c r="AC61" s="1" t="s">
        <v>19</v>
      </c>
      <c r="AD61">
        <v>18</v>
      </c>
      <c r="AE61">
        <v>3</v>
      </c>
      <c r="AF61">
        <v>3</v>
      </c>
      <c r="AG61">
        <v>80</v>
      </c>
      <c r="AH61">
        <v>1</v>
      </c>
      <c r="AI61">
        <v>4</v>
      </c>
      <c r="AJ61">
        <v>0</v>
      </c>
      <c r="AK61" s="1" t="s">
        <v>136</v>
      </c>
    </row>
    <row r="62" spans="1:37" x14ac:dyDescent="0.25">
      <c r="A62">
        <v>78</v>
      </c>
      <c r="B62">
        <v>32</v>
      </c>
      <c r="C62" s="1" t="s">
        <v>25</v>
      </c>
      <c r="D62" s="1" t="s">
        <v>70</v>
      </c>
      <c r="E62">
        <v>3</v>
      </c>
      <c r="F62" s="1" t="s">
        <v>139</v>
      </c>
      <c r="G62">
        <v>1</v>
      </c>
      <c r="H62" s="1" t="s">
        <v>18</v>
      </c>
      <c r="I62">
        <v>9</v>
      </c>
      <c r="J62">
        <v>3</v>
      </c>
      <c r="K62">
        <v>9</v>
      </c>
      <c r="L62">
        <v>8</v>
      </c>
      <c r="M62">
        <v>7</v>
      </c>
      <c r="N62">
        <v>8</v>
      </c>
      <c r="O62" s="1" t="s">
        <v>19</v>
      </c>
      <c r="P62" s="1" t="s">
        <v>135</v>
      </c>
      <c r="Q62">
        <v>427</v>
      </c>
      <c r="R62" s="1" t="s">
        <v>63</v>
      </c>
      <c r="S62">
        <v>1</v>
      </c>
      <c r="T62">
        <v>1</v>
      </c>
      <c r="U62">
        <v>1</v>
      </c>
      <c r="V62">
        <v>33</v>
      </c>
      <c r="W62">
        <v>3</v>
      </c>
      <c r="X62">
        <v>2</v>
      </c>
      <c r="Y62" s="1" t="s">
        <v>7</v>
      </c>
      <c r="Z62">
        <v>4</v>
      </c>
      <c r="AA62">
        <v>6162</v>
      </c>
      <c r="AB62">
        <v>10877</v>
      </c>
      <c r="AC62" s="1" t="s">
        <v>18</v>
      </c>
      <c r="AD62">
        <v>22</v>
      </c>
      <c r="AE62">
        <v>4</v>
      </c>
      <c r="AF62">
        <v>2</v>
      </c>
      <c r="AG62">
        <v>80</v>
      </c>
      <c r="AH62">
        <v>1</v>
      </c>
      <c r="AI62">
        <v>3</v>
      </c>
      <c r="AJ62">
        <v>0</v>
      </c>
      <c r="AK62" s="1" t="s">
        <v>136</v>
      </c>
    </row>
    <row r="63" spans="1:37" x14ac:dyDescent="0.25">
      <c r="A63">
        <v>79</v>
      </c>
      <c r="B63">
        <v>38</v>
      </c>
      <c r="C63" s="1" t="s">
        <v>24</v>
      </c>
      <c r="D63" s="1" t="s">
        <v>71</v>
      </c>
      <c r="E63">
        <v>5</v>
      </c>
      <c r="F63" s="1" t="s">
        <v>134</v>
      </c>
      <c r="G63">
        <v>1</v>
      </c>
      <c r="H63" s="1" t="s">
        <v>18</v>
      </c>
      <c r="I63">
        <v>10</v>
      </c>
      <c r="J63">
        <v>2</v>
      </c>
      <c r="K63">
        <v>10</v>
      </c>
      <c r="L63">
        <v>3</v>
      </c>
      <c r="M63">
        <v>9</v>
      </c>
      <c r="N63">
        <v>9</v>
      </c>
      <c r="O63" s="1" t="s">
        <v>19</v>
      </c>
      <c r="P63" s="1" t="s">
        <v>137</v>
      </c>
      <c r="Q63">
        <v>653</v>
      </c>
      <c r="R63" s="1" t="s">
        <v>63</v>
      </c>
      <c r="S63">
        <v>29</v>
      </c>
      <c r="T63">
        <v>1</v>
      </c>
      <c r="U63">
        <v>4</v>
      </c>
      <c r="V63">
        <v>50</v>
      </c>
      <c r="W63">
        <v>3</v>
      </c>
      <c r="X63">
        <v>2</v>
      </c>
      <c r="Y63" s="1" t="s">
        <v>6</v>
      </c>
      <c r="Z63">
        <v>4</v>
      </c>
      <c r="AA63">
        <v>2406</v>
      </c>
      <c r="AB63">
        <v>5456</v>
      </c>
      <c r="AC63" s="1" t="s">
        <v>19</v>
      </c>
      <c r="AD63">
        <v>11</v>
      </c>
      <c r="AE63">
        <v>3</v>
      </c>
      <c r="AF63">
        <v>4</v>
      </c>
      <c r="AG63">
        <v>80</v>
      </c>
      <c r="AH63">
        <v>0</v>
      </c>
      <c r="AI63">
        <v>3</v>
      </c>
      <c r="AJ63">
        <v>0</v>
      </c>
      <c r="AK63" s="1" t="s">
        <v>136</v>
      </c>
    </row>
    <row r="64" spans="1:37" x14ac:dyDescent="0.25">
      <c r="A64">
        <v>80</v>
      </c>
      <c r="B64">
        <v>50</v>
      </c>
      <c r="C64" s="1" t="s">
        <v>24</v>
      </c>
      <c r="D64" s="1" t="s">
        <v>69</v>
      </c>
      <c r="E64">
        <v>2</v>
      </c>
      <c r="F64" s="1" t="s">
        <v>139</v>
      </c>
      <c r="G64">
        <v>5</v>
      </c>
      <c r="H64" s="1" t="s">
        <v>18</v>
      </c>
      <c r="I64">
        <v>29</v>
      </c>
      <c r="J64">
        <v>2</v>
      </c>
      <c r="K64">
        <v>27</v>
      </c>
      <c r="L64">
        <v>3</v>
      </c>
      <c r="M64">
        <v>13</v>
      </c>
      <c r="N64">
        <v>8</v>
      </c>
      <c r="O64" s="1" t="s">
        <v>19</v>
      </c>
      <c r="P64" s="1" t="s">
        <v>135</v>
      </c>
      <c r="Q64">
        <v>989</v>
      </c>
      <c r="R64" s="1" t="s">
        <v>63</v>
      </c>
      <c r="S64">
        <v>7</v>
      </c>
      <c r="T64">
        <v>1</v>
      </c>
      <c r="U64">
        <v>2</v>
      </c>
      <c r="V64">
        <v>43</v>
      </c>
      <c r="W64">
        <v>2</v>
      </c>
      <c r="X64">
        <v>5</v>
      </c>
      <c r="Y64" s="1" t="s">
        <v>11</v>
      </c>
      <c r="Z64">
        <v>3</v>
      </c>
      <c r="AA64">
        <v>18740</v>
      </c>
      <c r="AB64">
        <v>16701</v>
      </c>
      <c r="AC64" s="1" t="s">
        <v>18</v>
      </c>
      <c r="AD64">
        <v>12</v>
      </c>
      <c r="AE64">
        <v>3</v>
      </c>
      <c r="AF64">
        <v>4</v>
      </c>
      <c r="AG64">
        <v>80</v>
      </c>
      <c r="AH64">
        <v>1</v>
      </c>
      <c r="AI64">
        <v>2</v>
      </c>
      <c r="AJ64">
        <v>0</v>
      </c>
      <c r="AK64" s="1" t="s">
        <v>140</v>
      </c>
    </row>
    <row r="65" spans="1:37" x14ac:dyDescent="0.25">
      <c r="A65">
        <v>81</v>
      </c>
      <c r="B65">
        <v>59</v>
      </c>
      <c r="C65" s="1" t="s">
        <v>24</v>
      </c>
      <c r="D65" s="1" t="s">
        <v>71</v>
      </c>
      <c r="E65">
        <v>3</v>
      </c>
      <c r="F65" s="1" t="s">
        <v>134</v>
      </c>
      <c r="G65">
        <v>7</v>
      </c>
      <c r="H65" s="1" t="s">
        <v>18</v>
      </c>
      <c r="I65">
        <v>28</v>
      </c>
      <c r="J65">
        <v>3</v>
      </c>
      <c r="K65">
        <v>21</v>
      </c>
      <c r="L65">
        <v>16</v>
      </c>
      <c r="M65">
        <v>7</v>
      </c>
      <c r="N65">
        <v>9</v>
      </c>
      <c r="O65" s="1" t="s">
        <v>19</v>
      </c>
      <c r="P65" s="1" t="s">
        <v>135</v>
      </c>
      <c r="Q65">
        <v>1435</v>
      </c>
      <c r="R65" s="1" t="s">
        <v>64</v>
      </c>
      <c r="S65">
        <v>25</v>
      </c>
      <c r="T65">
        <v>1</v>
      </c>
      <c r="U65">
        <v>1</v>
      </c>
      <c r="V65">
        <v>99</v>
      </c>
      <c r="W65">
        <v>3</v>
      </c>
      <c r="X65">
        <v>3</v>
      </c>
      <c r="Y65" s="1" t="s">
        <v>4</v>
      </c>
      <c r="Z65">
        <v>1</v>
      </c>
      <c r="AA65">
        <v>7637</v>
      </c>
      <c r="AB65">
        <v>2354</v>
      </c>
      <c r="AC65" s="1" t="s">
        <v>19</v>
      </c>
      <c r="AD65">
        <v>11</v>
      </c>
      <c r="AE65">
        <v>3</v>
      </c>
      <c r="AF65">
        <v>4</v>
      </c>
      <c r="AG65">
        <v>80</v>
      </c>
      <c r="AH65">
        <v>0</v>
      </c>
      <c r="AI65">
        <v>2</v>
      </c>
      <c r="AJ65">
        <v>0</v>
      </c>
      <c r="AK65" s="1" t="s">
        <v>140</v>
      </c>
    </row>
    <row r="66" spans="1:37" x14ac:dyDescent="0.25">
      <c r="A66">
        <v>83</v>
      </c>
      <c r="B66">
        <v>36</v>
      </c>
      <c r="C66" s="1" t="s">
        <v>24</v>
      </c>
      <c r="D66" s="1" t="s">
        <v>69</v>
      </c>
      <c r="E66">
        <v>3</v>
      </c>
      <c r="F66" s="1" t="s">
        <v>143</v>
      </c>
      <c r="G66">
        <v>1</v>
      </c>
      <c r="H66" s="1" t="s">
        <v>18</v>
      </c>
      <c r="I66">
        <v>17</v>
      </c>
      <c r="J66">
        <v>2</v>
      </c>
      <c r="K66">
        <v>17</v>
      </c>
      <c r="L66">
        <v>14</v>
      </c>
      <c r="M66">
        <v>12</v>
      </c>
      <c r="N66">
        <v>8</v>
      </c>
      <c r="O66" s="1" t="s">
        <v>19</v>
      </c>
      <c r="P66" s="1" t="s">
        <v>135</v>
      </c>
      <c r="Q66">
        <v>1223</v>
      </c>
      <c r="R66" s="1" t="s">
        <v>63</v>
      </c>
      <c r="S66">
        <v>8</v>
      </c>
      <c r="T66">
        <v>1</v>
      </c>
      <c r="U66">
        <v>3</v>
      </c>
      <c r="V66">
        <v>59</v>
      </c>
      <c r="W66">
        <v>3</v>
      </c>
      <c r="X66">
        <v>3</v>
      </c>
      <c r="Y66" s="1" t="s">
        <v>8</v>
      </c>
      <c r="Z66">
        <v>3</v>
      </c>
      <c r="AA66">
        <v>10096</v>
      </c>
      <c r="AB66">
        <v>8202</v>
      </c>
      <c r="AC66" s="1" t="s">
        <v>19</v>
      </c>
      <c r="AD66">
        <v>13</v>
      </c>
      <c r="AE66">
        <v>3</v>
      </c>
      <c r="AF66">
        <v>2</v>
      </c>
      <c r="AG66">
        <v>80</v>
      </c>
      <c r="AH66">
        <v>3</v>
      </c>
      <c r="AI66">
        <v>3</v>
      </c>
      <c r="AJ66">
        <v>0</v>
      </c>
      <c r="AK66" s="1" t="s">
        <v>136</v>
      </c>
    </row>
    <row r="67" spans="1:37" x14ac:dyDescent="0.25">
      <c r="A67">
        <v>84</v>
      </c>
      <c r="B67">
        <v>55</v>
      </c>
      <c r="C67" s="1" t="s">
        <v>24</v>
      </c>
      <c r="D67" s="1" t="s">
        <v>69</v>
      </c>
      <c r="E67">
        <v>3</v>
      </c>
      <c r="F67" s="1" t="s">
        <v>139</v>
      </c>
      <c r="G67">
        <v>2</v>
      </c>
      <c r="H67" s="1" t="s">
        <v>18</v>
      </c>
      <c r="I67">
        <v>21</v>
      </c>
      <c r="J67">
        <v>2</v>
      </c>
      <c r="K67">
        <v>5</v>
      </c>
      <c r="L67">
        <v>0</v>
      </c>
      <c r="M67">
        <v>0</v>
      </c>
      <c r="N67">
        <v>2</v>
      </c>
      <c r="O67" s="1" t="s">
        <v>19</v>
      </c>
      <c r="P67" s="1" t="s">
        <v>135</v>
      </c>
      <c r="Q67">
        <v>836</v>
      </c>
      <c r="R67" s="1" t="s">
        <v>63</v>
      </c>
      <c r="S67">
        <v>8</v>
      </c>
      <c r="T67">
        <v>1</v>
      </c>
      <c r="U67">
        <v>4</v>
      </c>
      <c r="V67">
        <v>33</v>
      </c>
      <c r="W67">
        <v>3</v>
      </c>
      <c r="X67">
        <v>4</v>
      </c>
      <c r="Y67" s="1" t="s">
        <v>9</v>
      </c>
      <c r="Z67">
        <v>3</v>
      </c>
      <c r="AA67">
        <v>14756</v>
      </c>
      <c r="AB67">
        <v>19730</v>
      </c>
      <c r="AC67" s="1" t="s">
        <v>18</v>
      </c>
      <c r="AD67">
        <v>14</v>
      </c>
      <c r="AE67">
        <v>3</v>
      </c>
      <c r="AF67">
        <v>3</v>
      </c>
      <c r="AG67">
        <v>80</v>
      </c>
      <c r="AH67">
        <v>3</v>
      </c>
      <c r="AI67">
        <v>3</v>
      </c>
      <c r="AJ67">
        <v>0</v>
      </c>
      <c r="AK67" s="1" t="s">
        <v>140</v>
      </c>
    </row>
    <row r="68" spans="1:37" x14ac:dyDescent="0.25">
      <c r="A68">
        <v>85</v>
      </c>
      <c r="B68">
        <v>36</v>
      </c>
      <c r="C68" s="1" t="s">
        <v>25</v>
      </c>
      <c r="D68" s="1" t="s">
        <v>71</v>
      </c>
      <c r="E68">
        <v>3</v>
      </c>
      <c r="F68" s="1" t="s">
        <v>134</v>
      </c>
      <c r="G68">
        <v>1</v>
      </c>
      <c r="H68" s="1" t="s">
        <v>18</v>
      </c>
      <c r="I68">
        <v>6</v>
      </c>
      <c r="J68">
        <v>3</v>
      </c>
      <c r="K68">
        <v>6</v>
      </c>
      <c r="L68">
        <v>5</v>
      </c>
      <c r="M68">
        <v>0</v>
      </c>
      <c r="N68">
        <v>3</v>
      </c>
      <c r="O68" s="1" t="s">
        <v>19</v>
      </c>
      <c r="P68" s="1" t="s">
        <v>137</v>
      </c>
      <c r="Q68">
        <v>1195</v>
      </c>
      <c r="R68" s="1" t="s">
        <v>63</v>
      </c>
      <c r="S68">
        <v>11</v>
      </c>
      <c r="T68">
        <v>1</v>
      </c>
      <c r="U68">
        <v>2</v>
      </c>
      <c r="V68">
        <v>95</v>
      </c>
      <c r="W68">
        <v>2</v>
      </c>
      <c r="X68">
        <v>2</v>
      </c>
      <c r="Y68" s="1" t="s">
        <v>7</v>
      </c>
      <c r="Z68">
        <v>2</v>
      </c>
      <c r="AA68">
        <v>6499</v>
      </c>
      <c r="AB68">
        <v>22656</v>
      </c>
      <c r="AC68" s="1" t="s">
        <v>19</v>
      </c>
      <c r="AD68">
        <v>13</v>
      </c>
      <c r="AE68">
        <v>3</v>
      </c>
      <c r="AF68">
        <v>3</v>
      </c>
      <c r="AG68">
        <v>80</v>
      </c>
      <c r="AH68">
        <v>0</v>
      </c>
      <c r="AI68">
        <v>3</v>
      </c>
      <c r="AJ68">
        <v>0</v>
      </c>
      <c r="AK68" s="1" t="s">
        <v>136</v>
      </c>
    </row>
    <row r="69" spans="1:37" x14ac:dyDescent="0.25">
      <c r="A69">
        <v>86</v>
      </c>
      <c r="B69">
        <v>45</v>
      </c>
      <c r="C69" s="1" t="s">
        <v>25</v>
      </c>
      <c r="D69" s="1" t="s">
        <v>69</v>
      </c>
      <c r="E69">
        <v>3</v>
      </c>
      <c r="F69" s="1" t="s">
        <v>134</v>
      </c>
      <c r="G69">
        <v>2</v>
      </c>
      <c r="H69" s="1" t="s">
        <v>18</v>
      </c>
      <c r="I69">
        <v>25</v>
      </c>
      <c r="J69">
        <v>2</v>
      </c>
      <c r="K69">
        <v>1</v>
      </c>
      <c r="L69">
        <v>0</v>
      </c>
      <c r="M69">
        <v>0</v>
      </c>
      <c r="N69">
        <v>0</v>
      </c>
      <c r="O69" s="1" t="s">
        <v>19</v>
      </c>
      <c r="P69" s="1" t="s">
        <v>135</v>
      </c>
      <c r="Q69">
        <v>1339</v>
      </c>
      <c r="R69" s="1" t="s">
        <v>63</v>
      </c>
      <c r="S69">
        <v>7</v>
      </c>
      <c r="T69">
        <v>1</v>
      </c>
      <c r="U69">
        <v>2</v>
      </c>
      <c r="V69">
        <v>59</v>
      </c>
      <c r="W69">
        <v>3</v>
      </c>
      <c r="X69">
        <v>3</v>
      </c>
      <c r="Y69" s="1" t="s">
        <v>5</v>
      </c>
      <c r="Z69">
        <v>1</v>
      </c>
      <c r="AA69">
        <v>9724</v>
      </c>
      <c r="AB69">
        <v>18787</v>
      </c>
      <c r="AC69" s="1" t="s">
        <v>19</v>
      </c>
      <c r="AD69">
        <v>17</v>
      </c>
      <c r="AE69">
        <v>3</v>
      </c>
      <c r="AF69">
        <v>3</v>
      </c>
      <c r="AG69">
        <v>80</v>
      </c>
      <c r="AH69">
        <v>1</v>
      </c>
      <c r="AI69">
        <v>3</v>
      </c>
      <c r="AJ69">
        <v>0</v>
      </c>
      <c r="AK69" s="1" t="s">
        <v>136</v>
      </c>
    </row>
    <row r="70" spans="1:37" x14ac:dyDescent="0.25">
      <c r="A70">
        <v>88</v>
      </c>
      <c r="B70">
        <v>35</v>
      </c>
      <c r="C70" s="1" t="s">
        <v>25</v>
      </c>
      <c r="D70" s="1" t="s">
        <v>70</v>
      </c>
      <c r="E70">
        <v>3</v>
      </c>
      <c r="F70" s="1" t="s">
        <v>139</v>
      </c>
      <c r="G70">
        <v>4</v>
      </c>
      <c r="H70" s="1" t="s">
        <v>18</v>
      </c>
      <c r="I70">
        <v>5</v>
      </c>
      <c r="J70">
        <v>2</v>
      </c>
      <c r="K70">
        <v>3</v>
      </c>
      <c r="L70">
        <v>2</v>
      </c>
      <c r="M70">
        <v>1</v>
      </c>
      <c r="N70">
        <v>2</v>
      </c>
      <c r="O70" s="1" t="s">
        <v>19</v>
      </c>
      <c r="P70" s="1" t="s">
        <v>137</v>
      </c>
      <c r="Q70">
        <v>664</v>
      </c>
      <c r="R70" s="1" t="s">
        <v>63</v>
      </c>
      <c r="S70">
        <v>1</v>
      </c>
      <c r="T70">
        <v>1</v>
      </c>
      <c r="U70">
        <v>2</v>
      </c>
      <c r="V70">
        <v>79</v>
      </c>
      <c r="W70">
        <v>3</v>
      </c>
      <c r="X70">
        <v>1</v>
      </c>
      <c r="Y70" s="1" t="s">
        <v>5</v>
      </c>
      <c r="Z70">
        <v>1</v>
      </c>
      <c r="AA70">
        <v>2194</v>
      </c>
      <c r="AB70">
        <v>5868</v>
      </c>
      <c r="AC70" s="1" t="s">
        <v>19</v>
      </c>
      <c r="AD70">
        <v>13</v>
      </c>
      <c r="AE70">
        <v>3</v>
      </c>
      <c r="AF70">
        <v>4</v>
      </c>
      <c r="AG70">
        <v>80</v>
      </c>
      <c r="AH70">
        <v>1</v>
      </c>
      <c r="AI70">
        <v>2</v>
      </c>
      <c r="AJ70">
        <v>0</v>
      </c>
      <c r="AK70" s="1" t="s">
        <v>136</v>
      </c>
    </row>
    <row r="71" spans="1:37" x14ac:dyDescent="0.25">
      <c r="A71">
        <v>90</v>
      </c>
      <c r="B71">
        <v>36</v>
      </c>
      <c r="C71" s="1" t="s">
        <v>25</v>
      </c>
      <c r="D71" s="1" t="s">
        <v>70</v>
      </c>
      <c r="E71">
        <v>3</v>
      </c>
      <c r="F71" s="1" t="s">
        <v>139</v>
      </c>
      <c r="G71">
        <v>0</v>
      </c>
      <c r="H71" s="1" t="s">
        <v>18</v>
      </c>
      <c r="I71">
        <v>2</v>
      </c>
      <c r="J71">
        <v>0</v>
      </c>
      <c r="K71">
        <v>1</v>
      </c>
      <c r="L71">
        <v>0</v>
      </c>
      <c r="M71">
        <v>0</v>
      </c>
      <c r="N71">
        <v>0</v>
      </c>
      <c r="O71" s="1" t="s">
        <v>18</v>
      </c>
      <c r="P71" s="1" t="s">
        <v>135</v>
      </c>
      <c r="Q71">
        <v>318</v>
      </c>
      <c r="R71" s="1" t="s">
        <v>63</v>
      </c>
      <c r="S71">
        <v>9</v>
      </c>
      <c r="T71">
        <v>1</v>
      </c>
      <c r="U71">
        <v>4</v>
      </c>
      <c r="V71">
        <v>79</v>
      </c>
      <c r="W71">
        <v>2</v>
      </c>
      <c r="X71">
        <v>1</v>
      </c>
      <c r="Y71" s="1" t="s">
        <v>5</v>
      </c>
      <c r="Z71">
        <v>3</v>
      </c>
      <c r="AA71">
        <v>3388</v>
      </c>
      <c r="AB71">
        <v>21777</v>
      </c>
      <c r="AC71" s="1" t="s">
        <v>18</v>
      </c>
      <c r="AD71">
        <v>17</v>
      </c>
      <c r="AE71">
        <v>3</v>
      </c>
      <c r="AF71">
        <v>1</v>
      </c>
      <c r="AG71">
        <v>80</v>
      </c>
      <c r="AH71">
        <v>1</v>
      </c>
      <c r="AI71">
        <v>2</v>
      </c>
      <c r="AJ71">
        <v>1</v>
      </c>
      <c r="AK71" s="1" t="s">
        <v>136</v>
      </c>
    </row>
    <row r="72" spans="1:37" x14ac:dyDescent="0.25">
      <c r="A72">
        <v>91</v>
      </c>
      <c r="B72">
        <v>59</v>
      </c>
      <c r="C72" s="1" t="s">
        <v>24</v>
      </c>
      <c r="D72" s="1" t="s">
        <v>71</v>
      </c>
      <c r="E72">
        <v>1</v>
      </c>
      <c r="F72" s="1" t="s">
        <v>134</v>
      </c>
      <c r="G72">
        <v>7</v>
      </c>
      <c r="H72" s="1" t="s">
        <v>18</v>
      </c>
      <c r="I72">
        <v>20</v>
      </c>
      <c r="J72">
        <v>2</v>
      </c>
      <c r="K72">
        <v>4</v>
      </c>
      <c r="L72">
        <v>3</v>
      </c>
      <c r="M72">
        <v>1</v>
      </c>
      <c r="N72">
        <v>3</v>
      </c>
      <c r="O72" s="1" t="s">
        <v>19</v>
      </c>
      <c r="P72" s="1" t="s">
        <v>137</v>
      </c>
      <c r="Q72">
        <v>1225</v>
      </c>
      <c r="R72" s="1" t="s">
        <v>64</v>
      </c>
      <c r="S72">
        <v>1</v>
      </c>
      <c r="T72">
        <v>1</v>
      </c>
      <c r="U72">
        <v>1</v>
      </c>
      <c r="V72">
        <v>57</v>
      </c>
      <c r="W72">
        <v>2</v>
      </c>
      <c r="X72">
        <v>2</v>
      </c>
      <c r="Y72" s="1" t="s">
        <v>4</v>
      </c>
      <c r="Z72">
        <v>3</v>
      </c>
      <c r="AA72">
        <v>5473</v>
      </c>
      <c r="AB72">
        <v>24668</v>
      </c>
      <c r="AC72" s="1" t="s">
        <v>19</v>
      </c>
      <c r="AD72">
        <v>11</v>
      </c>
      <c r="AE72">
        <v>3</v>
      </c>
      <c r="AF72">
        <v>4</v>
      </c>
      <c r="AG72">
        <v>80</v>
      </c>
      <c r="AH72">
        <v>0</v>
      </c>
      <c r="AI72">
        <v>2</v>
      </c>
      <c r="AJ72">
        <v>0</v>
      </c>
      <c r="AK72" s="1" t="s">
        <v>140</v>
      </c>
    </row>
    <row r="73" spans="1:37" x14ac:dyDescent="0.25">
      <c r="A73">
        <v>94</v>
      </c>
      <c r="B73">
        <v>29</v>
      </c>
      <c r="C73" s="1" t="s">
        <v>25</v>
      </c>
      <c r="D73" s="1" t="s">
        <v>70</v>
      </c>
      <c r="E73">
        <v>3</v>
      </c>
      <c r="F73" s="1" t="s">
        <v>134</v>
      </c>
      <c r="G73">
        <v>0</v>
      </c>
      <c r="H73" s="1" t="s">
        <v>18</v>
      </c>
      <c r="I73">
        <v>6</v>
      </c>
      <c r="J73">
        <v>3</v>
      </c>
      <c r="K73">
        <v>5</v>
      </c>
      <c r="L73">
        <v>4</v>
      </c>
      <c r="M73">
        <v>0</v>
      </c>
      <c r="N73">
        <v>4</v>
      </c>
      <c r="O73" s="1" t="s">
        <v>19</v>
      </c>
      <c r="P73" s="1" t="s">
        <v>135</v>
      </c>
      <c r="Q73">
        <v>1328</v>
      </c>
      <c r="R73" s="1" t="s">
        <v>63</v>
      </c>
      <c r="S73">
        <v>2</v>
      </c>
      <c r="T73">
        <v>1</v>
      </c>
      <c r="U73">
        <v>3</v>
      </c>
      <c r="V73">
        <v>76</v>
      </c>
      <c r="W73">
        <v>3</v>
      </c>
      <c r="X73">
        <v>1</v>
      </c>
      <c r="Y73" s="1" t="s">
        <v>5</v>
      </c>
      <c r="Z73">
        <v>2</v>
      </c>
      <c r="AA73">
        <v>2703</v>
      </c>
      <c r="AB73">
        <v>4956</v>
      </c>
      <c r="AC73" s="1" t="s">
        <v>19</v>
      </c>
      <c r="AD73">
        <v>23</v>
      </c>
      <c r="AE73">
        <v>4</v>
      </c>
      <c r="AF73">
        <v>4</v>
      </c>
      <c r="AG73">
        <v>80</v>
      </c>
      <c r="AH73">
        <v>1</v>
      </c>
      <c r="AI73">
        <v>3</v>
      </c>
      <c r="AJ73">
        <v>0</v>
      </c>
      <c r="AK73" s="1" t="s">
        <v>136</v>
      </c>
    </row>
    <row r="74" spans="1:37" x14ac:dyDescent="0.25">
      <c r="A74">
        <v>95</v>
      </c>
      <c r="B74">
        <v>31</v>
      </c>
      <c r="C74" s="1" t="s">
        <v>25</v>
      </c>
      <c r="D74" s="1" t="s">
        <v>71</v>
      </c>
      <c r="E74">
        <v>4</v>
      </c>
      <c r="F74" s="1" t="s">
        <v>139</v>
      </c>
      <c r="G74">
        <v>1</v>
      </c>
      <c r="H74" s="1" t="s">
        <v>18</v>
      </c>
      <c r="I74">
        <v>1</v>
      </c>
      <c r="J74">
        <v>4</v>
      </c>
      <c r="K74">
        <v>1</v>
      </c>
      <c r="L74">
        <v>1</v>
      </c>
      <c r="M74">
        <v>1</v>
      </c>
      <c r="N74">
        <v>0</v>
      </c>
      <c r="O74" s="1" t="s">
        <v>19</v>
      </c>
      <c r="P74" s="1" t="s">
        <v>135</v>
      </c>
      <c r="Q74">
        <v>1082</v>
      </c>
      <c r="R74" s="1" t="s">
        <v>63</v>
      </c>
      <c r="S74">
        <v>1</v>
      </c>
      <c r="T74">
        <v>1</v>
      </c>
      <c r="U74">
        <v>3</v>
      </c>
      <c r="V74">
        <v>87</v>
      </c>
      <c r="W74">
        <v>3</v>
      </c>
      <c r="X74">
        <v>1</v>
      </c>
      <c r="Y74" s="1" t="s">
        <v>5</v>
      </c>
      <c r="Z74">
        <v>2</v>
      </c>
      <c r="AA74">
        <v>2501</v>
      </c>
      <c r="AB74">
        <v>18775</v>
      </c>
      <c r="AC74" s="1" t="s">
        <v>19</v>
      </c>
      <c r="AD74">
        <v>17</v>
      </c>
      <c r="AE74">
        <v>3</v>
      </c>
      <c r="AF74">
        <v>2</v>
      </c>
      <c r="AG74">
        <v>80</v>
      </c>
      <c r="AH74">
        <v>0</v>
      </c>
      <c r="AI74">
        <v>3</v>
      </c>
      <c r="AJ74">
        <v>0</v>
      </c>
      <c r="AK74" s="1" t="s">
        <v>136</v>
      </c>
    </row>
    <row r="75" spans="1:37" x14ac:dyDescent="0.25">
      <c r="A75">
        <v>96</v>
      </c>
      <c r="B75">
        <v>32</v>
      </c>
      <c r="C75" s="1" t="s">
        <v>25</v>
      </c>
      <c r="D75" s="1" t="s">
        <v>70</v>
      </c>
      <c r="E75">
        <v>3</v>
      </c>
      <c r="F75" s="1" t="s">
        <v>134</v>
      </c>
      <c r="G75">
        <v>1</v>
      </c>
      <c r="H75" s="1" t="s">
        <v>18</v>
      </c>
      <c r="I75">
        <v>10</v>
      </c>
      <c r="J75">
        <v>3</v>
      </c>
      <c r="K75">
        <v>10</v>
      </c>
      <c r="L75">
        <v>4</v>
      </c>
      <c r="M75">
        <v>0</v>
      </c>
      <c r="N75">
        <v>9</v>
      </c>
      <c r="O75" s="1" t="s">
        <v>19</v>
      </c>
      <c r="P75" s="1" t="s">
        <v>135</v>
      </c>
      <c r="Q75">
        <v>548</v>
      </c>
      <c r="R75" s="1" t="s">
        <v>63</v>
      </c>
      <c r="S75">
        <v>1</v>
      </c>
      <c r="T75">
        <v>1</v>
      </c>
      <c r="U75">
        <v>2</v>
      </c>
      <c r="V75">
        <v>66</v>
      </c>
      <c r="W75">
        <v>3</v>
      </c>
      <c r="X75">
        <v>2</v>
      </c>
      <c r="Y75" s="1" t="s">
        <v>5</v>
      </c>
      <c r="Z75">
        <v>2</v>
      </c>
      <c r="AA75">
        <v>6220</v>
      </c>
      <c r="AB75">
        <v>7346</v>
      </c>
      <c r="AC75" s="1" t="s">
        <v>19</v>
      </c>
      <c r="AD75">
        <v>17</v>
      </c>
      <c r="AE75">
        <v>3</v>
      </c>
      <c r="AF75">
        <v>2</v>
      </c>
      <c r="AG75">
        <v>80</v>
      </c>
      <c r="AH75">
        <v>2</v>
      </c>
      <c r="AI75">
        <v>3</v>
      </c>
      <c r="AJ75">
        <v>0</v>
      </c>
      <c r="AK75" s="1" t="s">
        <v>136</v>
      </c>
    </row>
    <row r="76" spans="1:37" x14ac:dyDescent="0.25">
      <c r="A76">
        <v>97</v>
      </c>
      <c r="B76">
        <v>36</v>
      </c>
      <c r="C76" s="1" t="s">
        <v>24</v>
      </c>
      <c r="D76" s="1" t="s">
        <v>70</v>
      </c>
      <c r="E76">
        <v>3</v>
      </c>
      <c r="F76" s="1" t="s">
        <v>134</v>
      </c>
      <c r="G76">
        <v>3</v>
      </c>
      <c r="H76" s="1" t="s">
        <v>18</v>
      </c>
      <c r="I76">
        <v>5</v>
      </c>
      <c r="J76">
        <v>3</v>
      </c>
      <c r="K76">
        <v>1</v>
      </c>
      <c r="L76">
        <v>0</v>
      </c>
      <c r="M76">
        <v>0</v>
      </c>
      <c r="N76">
        <v>0</v>
      </c>
      <c r="O76" s="1" t="s">
        <v>19</v>
      </c>
      <c r="P76" s="1" t="s">
        <v>135</v>
      </c>
      <c r="Q76">
        <v>132</v>
      </c>
      <c r="R76" s="1" t="s">
        <v>63</v>
      </c>
      <c r="S76">
        <v>6</v>
      </c>
      <c r="T76">
        <v>1</v>
      </c>
      <c r="U76">
        <v>2</v>
      </c>
      <c r="V76">
        <v>55</v>
      </c>
      <c r="W76">
        <v>4</v>
      </c>
      <c r="X76">
        <v>1</v>
      </c>
      <c r="Y76" s="1" t="s">
        <v>6</v>
      </c>
      <c r="Z76">
        <v>4</v>
      </c>
      <c r="AA76">
        <v>3038</v>
      </c>
      <c r="AB76">
        <v>22002</v>
      </c>
      <c r="AC76" s="1" t="s">
        <v>19</v>
      </c>
      <c r="AD76">
        <v>12</v>
      </c>
      <c r="AE76">
        <v>3</v>
      </c>
      <c r="AF76">
        <v>2</v>
      </c>
      <c r="AG76">
        <v>80</v>
      </c>
      <c r="AH76">
        <v>0</v>
      </c>
      <c r="AI76">
        <v>3</v>
      </c>
      <c r="AJ76">
        <v>0</v>
      </c>
      <c r="AK76" s="1" t="s">
        <v>136</v>
      </c>
    </row>
    <row r="77" spans="1:37" x14ac:dyDescent="0.25">
      <c r="A77">
        <v>98</v>
      </c>
      <c r="B77">
        <v>31</v>
      </c>
      <c r="C77" s="1" t="s">
        <v>24</v>
      </c>
      <c r="D77" s="1" t="s">
        <v>71</v>
      </c>
      <c r="E77">
        <v>4</v>
      </c>
      <c r="F77" s="1" t="s">
        <v>134</v>
      </c>
      <c r="G77">
        <v>1</v>
      </c>
      <c r="H77" s="1" t="s">
        <v>18</v>
      </c>
      <c r="I77">
        <v>11</v>
      </c>
      <c r="J77">
        <v>2</v>
      </c>
      <c r="K77">
        <v>11</v>
      </c>
      <c r="L77">
        <v>7</v>
      </c>
      <c r="M77">
        <v>1</v>
      </c>
      <c r="N77">
        <v>8</v>
      </c>
      <c r="O77" s="1" t="s">
        <v>19</v>
      </c>
      <c r="P77" s="1" t="s">
        <v>135</v>
      </c>
      <c r="Q77">
        <v>746</v>
      </c>
      <c r="R77" s="1" t="s">
        <v>63</v>
      </c>
      <c r="S77">
        <v>8</v>
      </c>
      <c r="T77">
        <v>1</v>
      </c>
      <c r="U77">
        <v>3</v>
      </c>
      <c r="V77">
        <v>61</v>
      </c>
      <c r="W77">
        <v>3</v>
      </c>
      <c r="X77">
        <v>2</v>
      </c>
      <c r="Y77" s="1" t="s">
        <v>7</v>
      </c>
      <c r="Z77">
        <v>4</v>
      </c>
      <c r="AA77">
        <v>4424</v>
      </c>
      <c r="AB77">
        <v>20682</v>
      </c>
      <c r="AC77" s="1" t="s">
        <v>19</v>
      </c>
      <c r="AD77">
        <v>23</v>
      </c>
      <c r="AE77">
        <v>4</v>
      </c>
      <c r="AF77">
        <v>4</v>
      </c>
      <c r="AG77">
        <v>80</v>
      </c>
      <c r="AH77">
        <v>0</v>
      </c>
      <c r="AI77">
        <v>3</v>
      </c>
      <c r="AJ77">
        <v>0</v>
      </c>
      <c r="AK77" s="1" t="s">
        <v>136</v>
      </c>
    </row>
    <row r="78" spans="1:37" x14ac:dyDescent="0.25">
      <c r="A78">
        <v>100</v>
      </c>
      <c r="B78">
        <v>35</v>
      </c>
      <c r="C78" s="1" t="s">
        <v>25</v>
      </c>
      <c r="D78" s="1" t="s">
        <v>71</v>
      </c>
      <c r="E78">
        <v>4</v>
      </c>
      <c r="F78" s="1" t="s">
        <v>142</v>
      </c>
      <c r="G78">
        <v>0</v>
      </c>
      <c r="H78" s="1" t="s">
        <v>18</v>
      </c>
      <c r="I78">
        <v>16</v>
      </c>
      <c r="J78">
        <v>2</v>
      </c>
      <c r="K78">
        <v>15</v>
      </c>
      <c r="L78">
        <v>13</v>
      </c>
      <c r="M78">
        <v>2</v>
      </c>
      <c r="N78">
        <v>8</v>
      </c>
      <c r="O78" s="1" t="s">
        <v>19</v>
      </c>
      <c r="P78" s="1" t="s">
        <v>135</v>
      </c>
      <c r="Q78">
        <v>776</v>
      </c>
      <c r="R78" s="1" t="s">
        <v>64</v>
      </c>
      <c r="S78">
        <v>1</v>
      </c>
      <c r="T78">
        <v>1</v>
      </c>
      <c r="U78">
        <v>3</v>
      </c>
      <c r="V78">
        <v>32</v>
      </c>
      <c r="W78">
        <v>2</v>
      </c>
      <c r="X78">
        <v>2</v>
      </c>
      <c r="Y78" s="1" t="s">
        <v>4</v>
      </c>
      <c r="Z78">
        <v>1</v>
      </c>
      <c r="AA78">
        <v>4312</v>
      </c>
      <c r="AB78">
        <v>23016</v>
      </c>
      <c r="AC78" s="1" t="s">
        <v>19</v>
      </c>
      <c r="AD78">
        <v>14</v>
      </c>
      <c r="AE78">
        <v>3</v>
      </c>
      <c r="AF78">
        <v>2</v>
      </c>
      <c r="AG78">
        <v>80</v>
      </c>
      <c r="AH78">
        <v>0</v>
      </c>
      <c r="AI78">
        <v>3</v>
      </c>
      <c r="AJ78">
        <v>0</v>
      </c>
      <c r="AK78" s="1" t="s">
        <v>136</v>
      </c>
    </row>
    <row r="79" spans="1:37" x14ac:dyDescent="0.25">
      <c r="A79">
        <v>101</v>
      </c>
      <c r="B79">
        <v>45</v>
      </c>
      <c r="C79" s="1" t="s">
        <v>25</v>
      </c>
      <c r="D79" s="1" t="s">
        <v>70</v>
      </c>
      <c r="E79">
        <v>4</v>
      </c>
      <c r="F79" s="1" t="s">
        <v>138</v>
      </c>
      <c r="G79">
        <v>4</v>
      </c>
      <c r="H79" s="1" t="s">
        <v>18</v>
      </c>
      <c r="I79">
        <v>17</v>
      </c>
      <c r="J79">
        <v>3</v>
      </c>
      <c r="K79">
        <v>0</v>
      </c>
      <c r="L79">
        <v>0</v>
      </c>
      <c r="M79">
        <v>0</v>
      </c>
      <c r="N79">
        <v>0</v>
      </c>
      <c r="O79" s="1" t="s">
        <v>19</v>
      </c>
      <c r="P79" s="1" t="s">
        <v>135</v>
      </c>
      <c r="Q79">
        <v>193</v>
      </c>
      <c r="R79" s="1" t="s">
        <v>63</v>
      </c>
      <c r="S79">
        <v>6</v>
      </c>
      <c r="T79">
        <v>1</v>
      </c>
      <c r="U79">
        <v>4</v>
      </c>
      <c r="V79">
        <v>52</v>
      </c>
      <c r="W79">
        <v>3</v>
      </c>
      <c r="X79">
        <v>3</v>
      </c>
      <c r="Y79" s="1" t="s">
        <v>11</v>
      </c>
      <c r="Z79">
        <v>1</v>
      </c>
      <c r="AA79">
        <v>13245</v>
      </c>
      <c r="AB79">
        <v>15067</v>
      </c>
      <c r="AC79" s="1" t="s">
        <v>18</v>
      </c>
      <c r="AD79">
        <v>14</v>
      </c>
      <c r="AE79">
        <v>3</v>
      </c>
      <c r="AF79">
        <v>2</v>
      </c>
      <c r="AG79">
        <v>80</v>
      </c>
      <c r="AH79">
        <v>0</v>
      </c>
      <c r="AI79">
        <v>4</v>
      </c>
      <c r="AJ79">
        <v>0</v>
      </c>
      <c r="AK79" s="1" t="s">
        <v>136</v>
      </c>
    </row>
    <row r="80" spans="1:37" x14ac:dyDescent="0.25">
      <c r="A80">
        <v>102</v>
      </c>
      <c r="B80">
        <v>37</v>
      </c>
      <c r="C80" s="1" t="s">
        <v>25</v>
      </c>
      <c r="D80" s="1" t="s">
        <v>71</v>
      </c>
      <c r="E80">
        <v>4</v>
      </c>
      <c r="F80" s="1" t="s">
        <v>139</v>
      </c>
      <c r="G80">
        <v>4</v>
      </c>
      <c r="H80" s="1" t="s">
        <v>18</v>
      </c>
      <c r="I80">
        <v>16</v>
      </c>
      <c r="J80">
        <v>3</v>
      </c>
      <c r="K80">
        <v>5</v>
      </c>
      <c r="L80">
        <v>2</v>
      </c>
      <c r="M80">
        <v>0</v>
      </c>
      <c r="N80">
        <v>2</v>
      </c>
      <c r="O80" s="1" t="s">
        <v>19</v>
      </c>
      <c r="P80" s="1" t="s">
        <v>135</v>
      </c>
      <c r="Q80">
        <v>397</v>
      </c>
      <c r="R80" s="1" t="s">
        <v>63</v>
      </c>
      <c r="S80">
        <v>7</v>
      </c>
      <c r="T80">
        <v>1</v>
      </c>
      <c r="U80">
        <v>1</v>
      </c>
      <c r="V80">
        <v>30</v>
      </c>
      <c r="W80">
        <v>3</v>
      </c>
      <c r="X80">
        <v>3</v>
      </c>
      <c r="Y80" s="1" t="s">
        <v>11</v>
      </c>
      <c r="Z80">
        <v>3</v>
      </c>
      <c r="AA80">
        <v>13664</v>
      </c>
      <c r="AB80">
        <v>25258</v>
      </c>
      <c r="AC80" s="1" t="s">
        <v>19</v>
      </c>
      <c r="AD80">
        <v>13</v>
      </c>
      <c r="AE80">
        <v>3</v>
      </c>
      <c r="AF80">
        <v>1</v>
      </c>
      <c r="AG80">
        <v>80</v>
      </c>
      <c r="AH80">
        <v>0</v>
      </c>
      <c r="AI80">
        <v>4</v>
      </c>
      <c r="AJ80">
        <v>0</v>
      </c>
      <c r="AK80" s="1" t="s">
        <v>136</v>
      </c>
    </row>
    <row r="81" spans="1:37" x14ac:dyDescent="0.25">
      <c r="A81">
        <v>103</v>
      </c>
      <c r="B81">
        <v>46</v>
      </c>
      <c r="C81" s="1" t="s">
        <v>25</v>
      </c>
      <c r="D81" s="1" t="s">
        <v>69</v>
      </c>
      <c r="E81">
        <v>2</v>
      </c>
      <c r="F81" s="1" t="s">
        <v>139</v>
      </c>
      <c r="G81">
        <v>8</v>
      </c>
      <c r="H81" s="1" t="s">
        <v>18</v>
      </c>
      <c r="I81">
        <v>16</v>
      </c>
      <c r="J81">
        <v>2</v>
      </c>
      <c r="K81">
        <v>4</v>
      </c>
      <c r="L81">
        <v>2</v>
      </c>
      <c r="M81">
        <v>0</v>
      </c>
      <c r="N81">
        <v>2</v>
      </c>
      <c r="O81" s="1" t="s">
        <v>19</v>
      </c>
      <c r="P81" s="1" t="s">
        <v>135</v>
      </c>
      <c r="Q81">
        <v>945</v>
      </c>
      <c r="R81" s="1" t="s">
        <v>12</v>
      </c>
      <c r="S81">
        <v>5</v>
      </c>
      <c r="T81">
        <v>1</v>
      </c>
      <c r="U81">
        <v>2</v>
      </c>
      <c r="V81">
        <v>80</v>
      </c>
      <c r="W81">
        <v>3</v>
      </c>
      <c r="X81">
        <v>2</v>
      </c>
      <c r="Y81" s="1" t="s">
        <v>12</v>
      </c>
      <c r="Z81">
        <v>2</v>
      </c>
      <c r="AA81">
        <v>5021</v>
      </c>
      <c r="AB81">
        <v>10425</v>
      </c>
      <c r="AC81" s="1" t="s">
        <v>18</v>
      </c>
      <c r="AD81">
        <v>22</v>
      </c>
      <c r="AE81">
        <v>4</v>
      </c>
      <c r="AF81">
        <v>4</v>
      </c>
      <c r="AG81">
        <v>80</v>
      </c>
      <c r="AH81">
        <v>1</v>
      </c>
      <c r="AI81">
        <v>3</v>
      </c>
      <c r="AJ81">
        <v>0</v>
      </c>
      <c r="AK81" s="1" t="s">
        <v>136</v>
      </c>
    </row>
    <row r="82" spans="1:37" x14ac:dyDescent="0.25">
      <c r="A82">
        <v>104</v>
      </c>
      <c r="B82">
        <v>30</v>
      </c>
      <c r="C82" s="1" t="s">
        <v>25</v>
      </c>
      <c r="D82" s="1" t="s">
        <v>70</v>
      </c>
      <c r="E82">
        <v>1</v>
      </c>
      <c r="F82" s="1" t="s">
        <v>134</v>
      </c>
      <c r="G82">
        <v>1</v>
      </c>
      <c r="H82" s="1" t="s">
        <v>18</v>
      </c>
      <c r="I82">
        <v>10</v>
      </c>
      <c r="J82">
        <v>1</v>
      </c>
      <c r="K82">
        <v>10</v>
      </c>
      <c r="L82">
        <v>8</v>
      </c>
      <c r="M82">
        <v>3</v>
      </c>
      <c r="N82">
        <v>0</v>
      </c>
      <c r="O82" s="1" t="s">
        <v>19</v>
      </c>
      <c r="P82" s="1" t="s">
        <v>135</v>
      </c>
      <c r="Q82">
        <v>852</v>
      </c>
      <c r="R82" s="1" t="s">
        <v>63</v>
      </c>
      <c r="S82">
        <v>1</v>
      </c>
      <c r="T82">
        <v>1</v>
      </c>
      <c r="U82">
        <v>4</v>
      </c>
      <c r="V82">
        <v>55</v>
      </c>
      <c r="W82">
        <v>2</v>
      </c>
      <c r="X82">
        <v>2</v>
      </c>
      <c r="Y82" s="1" t="s">
        <v>6</v>
      </c>
      <c r="Z82">
        <v>4</v>
      </c>
      <c r="AA82">
        <v>5126</v>
      </c>
      <c r="AB82">
        <v>15998</v>
      </c>
      <c r="AC82" s="1" t="s">
        <v>18</v>
      </c>
      <c r="AD82">
        <v>12</v>
      </c>
      <c r="AE82">
        <v>3</v>
      </c>
      <c r="AF82">
        <v>3</v>
      </c>
      <c r="AG82">
        <v>80</v>
      </c>
      <c r="AH82">
        <v>2</v>
      </c>
      <c r="AI82">
        <v>2</v>
      </c>
      <c r="AJ82">
        <v>0</v>
      </c>
      <c r="AK82" s="1" t="s">
        <v>136</v>
      </c>
    </row>
    <row r="83" spans="1:37" x14ac:dyDescent="0.25">
      <c r="A83">
        <v>105</v>
      </c>
      <c r="B83">
        <v>35</v>
      </c>
      <c r="C83" s="1" t="s">
        <v>25</v>
      </c>
      <c r="D83" s="1" t="s">
        <v>71</v>
      </c>
      <c r="E83">
        <v>3</v>
      </c>
      <c r="F83" s="1" t="s">
        <v>139</v>
      </c>
      <c r="G83">
        <v>1</v>
      </c>
      <c r="H83" s="1" t="s">
        <v>18</v>
      </c>
      <c r="I83">
        <v>6</v>
      </c>
      <c r="J83">
        <v>3</v>
      </c>
      <c r="K83">
        <v>6</v>
      </c>
      <c r="L83">
        <v>4</v>
      </c>
      <c r="M83">
        <v>0</v>
      </c>
      <c r="N83">
        <v>4</v>
      </c>
      <c r="O83" s="1" t="s">
        <v>19</v>
      </c>
      <c r="P83" s="1" t="s">
        <v>135</v>
      </c>
      <c r="Q83">
        <v>1214</v>
      </c>
      <c r="R83" s="1" t="s">
        <v>63</v>
      </c>
      <c r="S83">
        <v>1</v>
      </c>
      <c r="T83">
        <v>1</v>
      </c>
      <c r="U83">
        <v>2</v>
      </c>
      <c r="V83">
        <v>30</v>
      </c>
      <c r="W83">
        <v>2</v>
      </c>
      <c r="X83">
        <v>1</v>
      </c>
      <c r="Y83" s="1" t="s">
        <v>5</v>
      </c>
      <c r="Z83">
        <v>3</v>
      </c>
      <c r="AA83">
        <v>2859</v>
      </c>
      <c r="AB83">
        <v>26278</v>
      </c>
      <c r="AC83" s="1" t="s">
        <v>19</v>
      </c>
      <c r="AD83">
        <v>18</v>
      </c>
      <c r="AE83">
        <v>3</v>
      </c>
      <c r="AF83">
        <v>1</v>
      </c>
      <c r="AG83">
        <v>80</v>
      </c>
      <c r="AH83">
        <v>0</v>
      </c>
      <c r="AI83">
        <v>3</v>
      </c>
      <c r="AJ83">
        <v>0</v>
      </c>
      <c r="AK83" s="1" t="s">
        <v>136</v>
      </c>
    </row>
    <row r="84" spans="1:37" x14ac:dyDescent="0.25">
      <c r="A84">
        <v>106</v>
      </c>
      <c r="B84">
        <v>55</v>
      </c>
      <c r="C84" s="1" t="s">
        <v>25</v>
      </c>
      <c r="D84" s="1" t="s">
        <v>70</v>
      </c>
      <c r="E84">
        <v>2</v>
      </c>
      <c r="F84" s="1" t="s">
        <v>134</v>
      </c>
      <c r="G84">
        <v>3</v>
      </c>
      <c r="H84" s="1" t="s">
        <v>18</v>
      </c>
      <c r="I84">
        <v>24</v>
      </c>
      <c r="J84">
        <v>4</v>
      </c>
      <c r="K84">
        <v>1</v>
      </c>
      <c r="L84">
        <v>0</v>
      </c>
      <c r="M84">
        <v>1</v>
      </c>
      <c r="N84">
        <v>0</v>
      </c>
      <c r="O84" s="1" t="s">
        <v>19</v>
      </c>
      <c r="P84" s="1" t="s">
        <v>135</v>
      </c>
      <c r="Q84">
        <v>111</v>
      </c>
      <c r="R84" s="1" t="s">
        <v>64</v>
      </c>
      <c r="S84">
        <v>1</v>
      </c>
      <c r="T84">
        <v>1</v>
      </c>
      <c r="U84">
        <v>1</v>
      </c>
      <c r="V84">
        <v>70</v>
      </c>
      <c r="W84">
        <v>3</v>
      </c>
      <c r="X84">
        <v>3</v>
      </c>
      <c r="Y84" s="1" t="s">
        <v>4</v>
      </c>
      <c r="Z84">
        <v>4</v>
      </c>
      <c r="AA84">
        <v>10239</v>
      </c>
      <c r="AB84">
        <v>18092</v>
      </c>
      <c r="AC84" s="1" t="s">
        <v>19</v>
      </c>
      <c r="AD84">
        <v>14</v>
      </c>
      <c r="AE84">
        <v>3</v>
      </c>
      <c r="AF84">
        <v>4</v>
      </c>
      <c r="AG84">
        <v>80</v>
      </c>
      <c r="AH84">
        <v>1</v>
      </c>
      <c r="AI84">
        <v>3</v>
      </c>
      <c r="AJ84">
        <v>0</v>
      </c>
      <c r="AK84" s="1" t="s">
        <v>140</v>
      </c>
    </row>
    <row r="85" spans="1:37" x14ac:dyDescent="0.25">
      <c r="A85">
        <v>107</v>
      </c>
      <c r="B85">
        <v>38</v>
      </c>
      <c r="C85" s="1" t="s">
        <v>24</v>
      </c>
      <c r="D85" s="1" t="s">
        <v>69</v>
      </c>
      <c r="E85">
        <v>3</v>
      </c>
      <c r="F85" s="1" t="s">
        <v>139</v>
      </c>
      <c r="G85">
        <v>7</v>
      </c>
      <c r="H85" s="1" t="s">
        <v>18</v>
      </c>
      <c r="I85">
        <v>17</v>
      </c>
      <c r="J85">
        <v>3</v>
      </c>
      <c r="K85">
        <v>13</v>
      </c>
      <c r="L85">
        <v>11</v>
      </c>
      <c r="M85">
        <v>1</v>
      </c>
      <c r="N85">
        <v>9</v>
      </c>
      <c r="O85" s="1" t="s">
        <v>19</v>
      </c>
      <c r="P85" s="1" t="s">
        <v>141</v>
      </c>
      <c r="Q85">
        <v>573</v>
      </c>
      <c r="R85" s="1" t="s">
        <v>63</v>
      </c>
      <c r="S85">
        <v>6</v>
      </c>
      <c r="T85">
        <v>1</v>
      </c>
      <c r="U85">
        <v>2</v>
      </c>
      <c r="V85">
        <v>79</v>
      </c>
      <c r="W85">
        <v>1</v>
      </c>
      <c r="X85">
        <v>2</v>
      </c>
      <c r="Y85" s="1" t="s">
        <v>5</v>
      </c>
      <c r="Z85">
        <v>4</v>
      </c>
      <c r="AA85">
        <v>5329</v>
      </c>
      <c r="AB85">
        <v>15717</v>
      </c>
      <c r="AC85" s="1" t="s">
        <v>18</v>
      </c>
      <c r="AD85">
        <v>12</v>
      </c>
      <c r="AE85">
        <v>3</v>
      </c>
      <c r="AF85">
        <v>4</v>
      </c>
      <c r="AG85">
        <v>80</v>
      </c>
      <c r="AH85">
        <v>3</v>
      </c>
      <c r="AI85">
        <v>3</v>
      </c>
      <c r="AJ85">
        <v>0</v>
      </c>
      <c r="AK85" s="1" t="s">
        <v>136</v>
      </c>
    </row>
    <row r="86" spans="1:37" x14ac:dyDescent="0.25">
      <c r="A86">
        <v>110</v>
      </c>
      <c r="B86">
        <v>34</v>
      </c>
      <c r="C86" s="1" t="s">
        <v>25</v>
      </c>
      <c r="D86" s="1" t="s">
        <v>70</v>
      </c>
      <c r="E86">
        <v>2</v>
      </c>
      <c r="F86" s="1" t="s">
        <v>139</v>
      </c>
      <c r="G86">
        <v>1</v>
      </c>
      <c r="H86" s="1" t="s">
        <v>18</v>
      </c>
      <c r="I86">
        <v>5</v>
      </c>
      <c r="J86">
        <v>2</v>
      </c>
      <c r="K86">
        <v>5</v>
      </c>
      <c r="L86">
        <v>2</v>
      </c>
      <c r="M86">
        <v>1</v>
      </c>
      <c r="N86">
        <v>3</v>
      </c>
      <c r="O86" s="1" t="s">
        <v>19</v>
      </c>
      <c r="P86" s="1" t="s">
        <v>135</v>
      </c>
      <c r="Q86">
        <v>1153</v>
      </c>
      <c r="R86" s="1" t="s">
        <v>63</v>
      </c>
      <c r="S86">
        <v>1</v>
      </c>
      <c r="T86">
        <v>1</v>
      </c>
      <c r="U86">
        <v>1</v>
      </c>
      <c r="V86">
        <v>94</v>
      </c>
      <c r="W86">
        <v>3</v>
      </c>
      <c r="X86">
        <v>2</v>
      </c>
      <c r="Y86" s="1" t="s">
        <v>7</v>
      </c>
      <c r="Z86">
        <v>2</v>
      </c>
      <c r="AA86">
        <v>4325</v>
      </c>
      <c r="AB86">
        <v>17736</v>
      </c>
      <c r="AC86" s="1" t="s">
        <v>19</v>
      </c>
      <c r="AD86">
        <v>15</v>
      </c>
      <c r="AE86">
        <v>3</v>
      </c>
      <c r="AF86">
        <v>3</v>
      </c>
      <c r="AG86">
        <v>80</v>
      </c>
      <c r="AH86">
        <v>0</v>
      </c>
      <c r="AI86">
        <v>3</v>
      </c>
      <c r="AJ86">
        <v>0</v>
      </c>
      <c r="AK86" s="1" t="s">
        <v>136</v>
      </c>
    </row>
    <row r="87" spans="1:37" x14ac:dyDescent="0.25">
      <c r="A87">
        <v>112</v>
      </c>
      <c r="B87">
        <v>56</v>
      </c>
      <c r="C87" s="1" t="s">
        <v>25</v>
      </c>
      <c r="D87" s="1" t="s">
        <v>71</v>
      </c>
      <c r="E87">
        <v>3</v>
      </c>
      <c r="F87" s="1" t="s">
        <v>134</v>
      </c>
      <c r="G87">
        <v>4</v>
      </c>
      <c r="H87" s="1" t="s">
        <v>18</v>
      </c>
      <c r="I87">
        <v>37</v>
      </c>
      <c r="J87">
        <v>3</v>
      </c>
      <c r="K87">
        <v>6</v>
      </c>
      <c r="L87">
        <v>4</v>
      </c>
      <c r="M87">
        <v>0</v>
      </c>
      <c r="N87">
        <v>2</v>
      </c>
      <c r="O87" s="1" t="s">
        <v>19</v>
      </c>
      <c r="P87" s="1" t="s">
        <v>135</v>
      </c>
      <c r="Q87">
        <v>1400</v>
      </c>
      <c r="R87" s="1" t="s">
        <v>63</v>
      </c>
      <c r="S87">
        <v>7</v>
      </c>
      <c r="T87">
        <v>1</v>
      </c>
      <c r="U87">
        <v>4</v>
      </c>
      <c r="V87">
        <v>49</v>
      </c>
      <c r="W87">
        <v>1</v>
      </c>
      <c r="X87">
        <v>3</v>
      </c>
      <c r="Y87" s="1" t="s">
        <v>7</v>
      </c>
      <c r="Z87">
        <v>4</v>
      </c>
      <c r="AA87">
        <v>7260</v>
      </c>
      <c r="AB87">
        <v>21698</v>
      </c>
      <c r="AC87" s="1" t="s">
        <v>19</v>
      </c>
      <c r="AD87">
        <v>11</v>
      </c>
      <c r="AE87">
        <v>3</v>
      </c>
      <c r="AF87">
        <v>1</v>
      </c>
      <c r="AG87">
        <v>80</v>
      </c>
      <c r="AH87">
        <v>0</v>
      </c>
      <c r="AI87">
        <v>2</v>
      </c>
      <c r="AJ87">
        <v>0</v>
      </c>
      <c r="AK87" s="1" t="s">
        <v>140</v>
      </c>
    </row>
    <row r="88" spans="1:37" x14ac:dyDescent="0.25">
      <c r="A88">
        <v>113</v>
      </c>
      <c r="B88">
        <v>23</v>
      </c>
      <c r="C88" s="1" t="s">
        <v>25</v>
      </c>
      <c r="D88" s="1" t="s">
        <v>69</v>
      </c>
      <c r="E88">
        <v>1</v>
      </c>
      <c r="F88" s="1" t="s">
        <v>143</v>
      </c>
      <c r="G88">
        <v>3</v>
      </c>
      <c r="H88" s="1" t="s">
        <v>18</v>
      </c>
      <c r="I88">
        <v>3</v>
      </c>
      <c r="J88">
        <v>3</v>
      </c>
      <c r="K88">
        <v>0</v>
      </c>
      <c r="L88">
        <v>0</v>
      </c>
      <c r="M88">
        <v>0</v>
      </c>
      <c r="N88">
        <v>0</v>
      </c>
      <c r="O88" s="1" t="s">
        <v>19</v>
      </c>
      <c r="P88" s="1" t="s">
        <v>135</v>
      </c>
      <c r="Q88">
        <v>541</v>
      </c>
      <c r="R88" s="1" t="s">
        <v>64</v>
      </c>
      <c r="S88">
        <v>2</v>
      </c>
      <c r="T88">
        <v>1</v>
      </c>
      <c r="U88">
        <v>3</v>
      </c>
      <c r="V88">
        <v>62</v>
      </c>
      <c r="W88">
        <v>3</v>
      </c>
      <c r="X88">
        <v>1</v>
      </c>
      <c r="Y88" s="1" t="s">
        <v>10</v>
      </c>
      <c r="Z88">
        <v>1</v>
      </c>
      <c r="AA88">
        <v>2322</v>
      </c>
      <c r="AB88">
        <v>9518</v>
      </c>
      <c r="AC88" s="1" t="s">
        <v>19</v>
      </c>
      <c r="AD88">
        <v>13</v>
      </c>
      <c r="AE88">
        <v>3</v>
      </c>
      <c r="AF88">
        <v>3</v>
      </c>
      <c r="AG88">
        <v>80</v>
      </c>
      <c r="AH88">
        <v>1</v>
      </c>
      <c r="AI88">
        <v>3</v>
      </c>
      <c r="AJ88">
        <v>0</v>
      </c>
      <c r="AK88" s="1" t="s">
        <v>136</v>
      </c>
    </row>
    <row r="89" spans="1:37" x14ac:dyDescent="0.25">
      <c r="A89">
        <v>116</v>
      </c>
      <c r="B89">
        <v>51</v>
      </c>
      <c r="C89" s="1" t="s">
        <v>25</v>
      </c>
      <c r="D89" s="1" t="s">
        <v>70</v>
      </c>
      <c r="E89">
        <v>4</v>
      </c>
      <c r="F89" s="1" t="s">
        <v>134</v>
      </c>
      <c r="G89">
        <v>3</v>
      </c>
      <c r="H89" s="1" t="s">
        <v>18</v>
      </c>
      <c r="I89">
        <v>10</v>
      </c>
      <c r="J89">
        <v>4</v>
      </c>
      <c r="K89">
        <v>4</v>
      </c>
      <c r="L89">
        <v>2</v>
      </c>
      <c r="M89">
        <v>0</v>
      </c>
      <c r="N89">
        <v>3</v>
      </c>
      <c r="O89" s="1" t="s">
        <v>19</v>
      </c>
      <c r="P89" s="1" t="s">
        <v>135</v>
      </c>
      <c r="Q89">
        <v>432</v>
      </c>
      <c r="R89" s="1" t="s">
        <v>63</v>
      </c>
      <c r="S89">
        <v>9</v>
      </c>
      <c r="T89">
        <v>1</v>
      </c>
      <c r="U89">
        <v>4</v>
      </c>
      <c r="V89">
        <v>96</v>
      </c>
      <c r="W89">
        <v>3</v>
      </c>
      <c r="X89">
        <v>1</v>
      </c>
      <c r="Y89" s="1" t="s">
        <v>6</v>
      </c>
      <c r="Z89">
        <v>4</v>
      </c>
      <c r="AA89">
        <v>2075</v>
      </c>
      <c r="AB89">
        <v>18725</v>
      </c>
      <c r="AC89" s="1" t="s">
        <v>19</v>
      </c>
      <c r="AD89">
        <v>23</v>
      </c>
      <c r="AE89">
        <v>4</v>
      </c>
      <c r="AF89">
        <v>2</v>
      </c>
      <c r="AG89">
        <v>80</v>
      </c>
      <c r="AH89">
        <v>2</v>
      </c>
      <c r="AI89">
        <v>3</v>
      </c>
      <c r="AJ89">
        <v>0</v>
      </c>
      <c r="AK89" s="1" t="s">
        <v>140</v>
      </c>
    </row>
    <row r="90" spans="1:37" x14ac:dyDescent="0.25">
      <c r="A90">
        <v>117</v>
      </c>
      <c r="B90">
        <v>30</v>
      </c>
      <c r="C90" s="1" t="s">
        <v>25</v>
      </c>
      <c r="D90" s="1" t="s">
        <v>70</v>
      </c>
      <c r="E90">
        <v>3</v>
      </c>
      <c r="F90" s="1" t="s">
        <v>134</v>
      </c>
      <c r="G90">
        <v>1</v>
      </c>
      <c r="H90" s="1" t="s">
        <v>18</v>
      </c>
      <c r="I90">
        <v>11</v>
      </c>
      <c r="J90">
        <v>3</v>
      </c>
      <c r="K90">
        <v>11</v>
      </c>
      <c r="L90">
        <v>10</v>
      </c>
      <c r="M90">
        <v>10</v>
      </c>
      <c r="N90">
        <v>8</v>
      </c>
      <c r="O90" s="1" t="s">
        <v>19</v>
      </c>
      <c r="P90" s="1" t="s">
        <v>135</v>
      </c>
      <c r="Q90">
        <v>288</v>
      </c>
      <c r="R90" s="1" t="s">
        <v>63</v>
      </c>
      <c r="S90">
        <v>2</v>
      </c>
      <c r="T90">
        <v>1</v>
      </c>
      <c r="U90">
        <v>3</v>
      </c>
      <c r="V90">
        <v>99</v>
      </c>
      <c r="W90">
        <v>2</v>
      </c>
      <c r="X90">
        <v>2</v>
      </c>
      <c r="Y90" s="1" t="s">
        <v>8</v>
      </c>
      <c r="Z90">
        <v>4</v>
      </c>
      <c r="AA90">
        <v>4152</v>
      </c>
      <c r="AB90">
        <v>15830</v>
      </c>
      <c r="AC90" s="1" t="s">
        <v>19</v>
      </c>
      <c r="AD90">
        <v>19</v>
      </c>
      <c r="AE90">
        <v>3</v>
      </c>
      <c r="AF90">
        <v>1</v>
      </c>
      <c r="AG90">
        <v>80</v>
      </c>
      <c r="AH90">
        <v>3</v>
      </c>
      <c r="AI90">
        <v>3</v>
      </c>
      <c r="AJ90">
        <v>0</v>
      </c>
      <c r="AK90" s="1" t="s">
        <v>136</v>
      </c>
    </row>
    <row r="91" spans="1:37" x14ac:dyDescent="0.25">
      <c r="A91">
        <v>118</v>
      </c>
      <c r="B91">
        <v>46</v>
      </c>
      <c r="C91" s="1" t="s">
        <v>25</v>
      </c>
      <c r="D91" s="1" t="s">
        <v>71</v>
      </c>
      <c r="E91">
        <v>2</v>
      </c>
      <c r="F91" s="1" t="s">
        <v>139</v>
      </c>
      <c r="G91">
        <v>1</v>
      </c>
      <c r="H91" s="1" t="s">
        <v>18</v>
      </c>
      <c r="I91">
        <v>9</v>
      </c>
      <c r="J91">
        <v>3</v>
      </c>
      <c r="K91">
        <v>9</v>
      </c>
      <c r="L91">
        <v>8</v>
      </c>
      <c r="M91">
        <v>4</v>
      </c>
      <c r="N91">
        <v>7</v>
      </c>
      <c r="O91" s="1" t="s">
        <v>18</v>
      </c>
      <c r="P91" s="1" t="s">
        <v>135</v>
      </c>
      <c r="Q91">
        <v>669</v>
      </c>
      <c r="R91" s="1" t="s">
        <v>64</v>
      </c>
      <c r="S91">
        <v>9</v>
      </c>
      <c r="T91">
        <v>1</v>
      </c>
      <c r="U91">
        <v>3</v>
      </c>
      <c r="V91">
        <v>64</v>
      </c>
      <c r="W91">
        <v>2</v>
      </c>
      <c r="X91">
        <v>3</v>
      </c>
      <c r="Y91" s="1" t="s">
        <v>4</v>
      </c>
      <c r="Z91">
        <v>4</v>
      </c>
      <c r="AA91">
        <v>9619</v>
      </c>
      <c r="AB91">
        <v>13596</v>
      </c>
      <c r="AC91" s="1" t="s">
        <v>19</v>
      </c>
      <c r="AD91">
        <v>16</v>
      </c>
      <c r="AE91">
        <v>3</v>
      </c>
      <c r="AF91">
        <v>4</v>
      </c>
      <c r="AG91">
        <v>80</v>
      </c>
      <c r="AH91">
        <v>0</v>
      </c>
      <c r="AI91">
        <v>3</v>
      </c>
      <c r="AJ91">
        <v>1</v>
      </c>
      <c r="AK91" s="1" t="s">
        <v>136</v>
      </c>
    </row>
    <row r="92" spans="1:37" x14ac:dyDescent="0.25">
      <c r="A92">
        <v>119</v>
      </c>
      <c r="B92">
        <v>40</v>
      </c>
      <c r="C92" s="1" t="s">
        <v>25</v>
      </c>
      <c r="D92" s="1" t="s">
        <v>70</v>
      </c>
      <c r="E92">
        <v>4</v>
      </c>
      <c r="F92" s="1" t="s">
        <v>134</v>
      </c>
      <c r="G92">
        <v>1</v>
      </c>
      <c r="H92" s="1" t="s">
        <v>18</v>
      </c>
      <c r="I92">
        <v>22</v>
      </c>
      <c r="J92">
        <v>3</v>
      </c>
      <c r="K92">
        <v>22</v>
      </c>
      <c r="L92">
        <v>3</v>
      </c>
      <c r="M92">
        <v>11</v>
      </c>
      <c r="N92">
        <v>11</v>
      </c>
      <c r="O92" s="1" t="s">
        <v>19</v>
      </c>
      <c r="P92" s="1" t="s">
        <v>137</v>
      </c>
      <c r="Q92">
        <v>530</v>
      </c>
      <c r="R92" s="1" t="s">
        <v>63</v>
      </c>
      <c r="S92">
        <v>1</v>
      </c>
      <c r="T92">
        <v>1</v>
      </c>
      <c r="U92">
        <v>3</v>
      </c>
      <c r="V92">
        <v>78</v>
      </c>
      <c r="W92">
        <v>2</v>
      </c>
      <c r="X92">
        <v>4</v>
      </c>
      <c r="Y92" s="1" t="s">
        <v>8</v>
      </c>
      <c r="Z92">
        <v>2</v>
      </c>
      <c r="AA92">
        <v>13503</v>
      </c>
      <c r="AB92">
        <v>14115</v>
      </c>
      <c r="AC92" s="1" t="s">
        <v>19</v>
      </c>
      <c r="AD92">
        <v>22</v>
      </c>
      <c r="AE92">
        <v>4</v>
      </c>
      <c r="AF92">
        <v>4</v>
      </c>
      <c r="AG92">
        <v>80</v>
      </c>
      <c r="AH92">
        <v>1</v>
      </c>
      <c r="AI92">
        <v>2</v>
      </c>
      <c r="AJ92">
        <v>0</v>
      </c>
      <c r="AK92" s="1" t="s">
        <v>136</v>
      </c>
    </row>
    <row r="93" spans="1:37" x14ac:dyDescent="0.25">
      <c r="A93">
        <v>120</v>
      </c>
      <c r="B93">
        <v>51</v>
      </c>
      <c r="C93" s="1" t="s">
        <v>25</v>
      </c>
      <c r="D93" s="1" t="s">
        <v>71</v>
      </c>
      <c r="E93">
        <v>4</v>
      </c>
      <c r="F93" s="1" t="s">
        <v>142</v>
      </c>
      <c r="G93">
        <v>0</v>
      </c>
      <c r="H93" s="1" t="s">
        <v>18</v>
      </c>
      <c r="I93">
        <v>11</v>
      </c>
      <c r="J93">
        <v>2</v>
      </c>
      <c r="K93">
        <v>10</v>
      </c>
      <c r="L93">
        <v>7</v>
      </c>
      <c r="M93">
        <v>1</v>
      </c>
      <c r="N93">
        <v>0</v>
      </c>
      <c r="O93" s="1" t="s">
        <v>19</v>
      </c>
      <c r="P93" s="1" t="s">
        <v>135</v>
      </c>
      <c r="Q93">
        <v>632</v>
      </c>
      <c r="R93" s="1" t="s">
        <v>64</v>
      </c>
      <c r="S93">
        <v>21</v>
      </c>
      <c r="T93">
        <v>1</v>
      </c>
      <c r="U93">
        <v>3</v>
      </c>
      <c r="V93">
        <v>71</v>
      </c>
      <c r="W93">
        <v>3</v>
      </c>
      <c r="X93">
        <v>2</v>
      </c>
      <c r="Y93" s="1" t="s">
        <v>4</v>
      </c>
      <c r="Z93">
        <v>4</v>
      </c>
      <c r="AA93">
        <v>5441</v>
      </c>
      <c r="AB93">
        <v>8423</v>
      </c>
      <c r="AC93" s="1" t="s">
        <v>18</v>
      </c>
      <c r="AD93">
        <v>22</v>
      </c>
      <c r="AE93">
        <v>4</v>
      </c>
      <c r="AF93">
        <v>4</v>
      </c>
      <c r="AG93">
        <v>80</v>
      </c>
      <c r="AH93">
        <v>0</v>
      </c>
      <c r="AI93">
        <v>1</v>
      </c>
      <c r="AJ93">
        <v>0</v>
      </c>
      <c r="AK93" s="1" t="s">
        <v>140</v>
      </c>
    </row>
    <row r="94" spans="1:37" x14ac:dyDescent="0.25">
      <c r="A94">
        <v>121</v>
      </c>
      <c r="B94">
        <v>30</v>
      </c>
      <c r="C94" s="1" t="s">
        <v>24</v>
      </c>
      <c r="D94" s="1" t="s">
        <v>69</v>
      </c>
      <c r="E94">
        <v>2</v>
      </c>
      <c r="F94" s="1" t="s">
        <v>139</v>
      </c>
      <c r="G94">
        <v>1</v>
      </c>
      <c r="H94" s="1" t="s">
        <v>18</v>
      </c>
      <c r="I94">
        <v>11</v>
      </c>
      <c r="J94">
        <v>4</v>
      </c>
      <c r="K94">
        <v>11</v>
      </c>
      <c r="L94">
        <v>8</v>
      </c>
      <c r="M94">
        <v>2</v>
      </c>
      <c r="N94">
        <v>7</v>
      </c>
      <c r="O94" s="1" t="s">
        <v>19</v>
      </c>
      <c r="P94" s="1" t="s">
        <v>135</v>
      </c>
      <c r="Q94">
        <v>1334</v>
      </c>
      <c r="R94" s="1" t="s">
        <v>64</v>
      </c>
      <c r="S94">
        <v>4</v>
      </c>
      <c r="T94">
        <v>1</v>
      </c>
      <c r="U94">
        <v>3</v>
      </c>
      <c r="V94">
        <v>63</v>
      </c>
      <c r="W94">
        <v>2</v>
      </c>
      <c r="X94">
        <v>2</v>
      </c>
      <c r="Y94" s="1" t="s">
        <v>4</v>
      </c>
      <c r="Z94">
        <v>2</v>
      </c>
      <c r="AA94">
        <v>5209</v>
      </c>
      <c r="AB94">
        <v>19760</v>
      </c>
      <c r="AC94" s="1" t="s">
        <v>18</v>
      </c>
      <c r="AD94">
        <v>12</v>
      </c>
      <c r="AE94">
        <v>3</v>
      </c>
      <c r="AF94">
        <v>2</v>
      </c>
      <c r="AG94">
        <v>80</v>
      </c>
      <c r="AH94">
        <v>3</v>
      </c>
      <c r="AI94">
        <v>2</v>
      </c>
      <c r="AJ94">
        <v>0</v>
      </c>
      <c r="AK94" s="1" t="s">
        <v>136</v>
      </c>
    </row>
    <row r="95" spans="1:37" x14ac:dyDescent="0.25">
      <c r="A95">
        <v>124</v>
      </c>
      <c r="B95">
        <v>46</v>
      </c>
      <c r="C95" s="1" t="s">
        <v>25</v>
      </c>
      <c r="D95" s="1" t="s">
        <v>70</v>
      </c>
      <c r="E95">
        <v>3</v>
      </c>
      <c r="F95" s="1" t="s">
        <v>139</v>
      </c>
      <c r="G95">
        <v>2</v>
      </c>
      <c r="H95" s="1" t="s">
        <v>18</v>
      </c>
      <c r="I95">
        <v>21</v>
      </c>
      <c r="J95">
        <v>5</v>
      </c>
      <c r="K95">
        <v>10</v>
      </c>
      <c r="L95">
        <v>9</v>
      </c>
      <c r="M95">
        <v>9</v>
      </c>
      <c r="N95">
        <v>5</v>
      </c>
      <c r="O95" s="1" t="s">
        <v>19</v>
      </c>
      <c r="P95" s="1" t="s">
        <v>137</v>
      </c>
      <c r="Q95">
        <v>638</v>
      </c>
      <c r="R95" s="1" t="s">
        <v>63</v>
      </c>
      <c r="S95">
        <v>1</v>
      </c>
      <c r="T95">
        <v>1</v>
      </c>
      <c r="U95">
        <v>3</v>
      </c>
      <c r="V95">
        <v>40</v>
      </c>
      <c r="W95">
        <v>2</v>
      </c>
      <c r="X95">
        <v>3</v>
      </c>
      <c r="Y95" s="1" t="s">
        <v>8</v>
      </c>
      <c r="Z95">
        <v>1</v>
      </c>
      <c r="AA95">
        <v>10673</v>
      </c>
      <c r="AB95">
        <v>3142</v>
      </c>
      <c r="AC95" s="1" t="s">
        <v>18</v>
      </c>
      <c r="AD95">
        <v>13</v>
      </c>
      <c r="AE95">
        <v>3</v>
      </c>
      <c r="AF95">
        <v>3</v>
      </c>
      <c r="AG95">
        <v>80</v>
      </c>
      <c r="AH95">
        <v>1</v>
      </c>
      <c r="AI95">
        <v>2</v>
      </c>
      <c r="AJ95">
        <v>0</v>
      </c>
      <c r="AK95" s="1" t="s">
        <v>136</v>
      </c>
    </row>
    <row r="96" spans="1:37" x14ac:dyDescent="0.25">
      <c r="A96">
        <v>125</v>
      </c>
      <c r="B96">
        <v>32</v>
      </c>
      <c r="C96" s="1" t="s">
        <v>25</v>
      </c>
      <c r="D96" s="1" t="s">
        <v>71</v>
      </c>
      <c r="E96">
        <v>4</v>
      </c>
      <c r="F96" s="1" t="s">
        <v>139</v>
      </c>
      <c r="G96">
        <v>1</v>
      </c>
      <c r="H96" s="1" t="s">
        <v>18</v>
      </c>
      <c r="I96">
        <v>12</v>
      </c>
      <c r="J96">
        <v>0</v>
      </c>
      <c r="K96">
        <v>11</v>
      </c>
      <c r="L96">
        <v>8</v>
      </c>
      <c r="M96">
        <v>5</v>
      </c>
      <c r="N96">
        <v>7</v>
      </c>
      <c r="O96" s="1" t="s">
        <v>19</v>
      </c>
      <c r="P96" s="1" t="s">
        <v>135</v>
      </c>
      <c r="Q96">
        <v>1093</v>
      </c>
      <c r="R96" s="1" t="s">
        <v>64</v>
      </c>
      <c r="S96">
        <v>6</v>
      </c>
      <c r="T96">
        <v>1</v>
      </c>
      <c r="U96">
        <v>2</v>
      </c>
      <c r="V96">
        <v>87</v>
      </c>
      <c r="W96">
        <v>3</v>
      </c>
      <c r="X96">
        <v>2</v>
      </c>
      <c r="Y96" s="1" t="s">
        <v>4</v>
      </c>
      <c r="Z96">
        <v>3</v>
      </c>
      <c r="AA96">
        <v>5010</v>
      </c>
      <c r="AB96">
        <v>24301</v>
      </c>
      <c r="AC96" s="1" t="s">
        <v>19</v>
      </c>
      <c r="AD96">
        <v>16</v>
      </c>
      <c r="AE96">
        <v>3</v>
      </c>
      <c r="AF96">
        <v>1</v>
      </c>
      <c r="AG96">
        <v>80</v>
      </c>
      <c r="AH96">
        <v>0</v>
      </c>
      <c r="AI96">
        <v>3</v>
      </c>
      <c r="AJ96">
        <v>0</v>
      </c>
      <c r="AK96" s="1" t="s">
        <v>136</v>
      </c>
    </row>
    <row r="97" spans="1:37" x14ac:dyDescent="0.25">
      <c r="A97">
        <v>126</v>
      </c>
      <c r="B97">
        <v>54</v>
      </c>
      <c r="C97" s="1" t="s">
        <v>24</v>
      </c>
      <c r="D97" s="1" t="s">
        <v>70</v>
      </c>
      <c r="E97">
        <v>4</v>
      </c>
      <c r="F97" s="1" t="s">
        <v>143</v>
      </c>
      <c r="G97">
        <v>9</v>
      </c>
      <c r="H97" s="1" t="s">
        <v>18</v>
      </c>
      <c r="I97">
        <v>16</v>
      </c>
      <c r="J97">
        <v>5</v>
      </c>
      <c r="K97">
        <v>4</v>
      </c>
      <c r="L97">
        <v>3</v>
      </c>
      <c r="M97">
        <v>0</v>
      </c>
      <c r="N97">
        <v>3</v>
      </c>
      <c r="O97" s="1" t="s">
        <v>19</v>
      </c>
      <c r="P97" s="1" t="s">
        <v>135</v>
      </c>
      <c r="Q97">
        <v>1217</v>
      </c>
      <c r="R97" s="1" t="s">
        <v>63</v>
      </c>
      <c r="S97">
        <v>2</v>
      </c>
      <c r="T97">
        <v>1</v>
      </c>
      <c r="U97">
        <v>1</v>
      </c>
      <c r="V97">
        <v>60</v>
      </c>
      <c r="W97">
        <v>3</v>
      </c>
      <c r="X97">
        <v>3</v>
      </c>
      <c r="Y97" s="1" t="s">
        <v>11</v>
      </c>
      <c r="Z97">
        <v>3</v>
      </c>
      <c r="AA97">
        <v>13549</v>
      </c>
      <c r="AB97">
        <v>24001</v>
      </c>
      <c r="AC97" s="1" t="s">
        <v>19</v>
      </c>
      <c r="AD97">
        <v>12</v>
      </c>
      <c r="AE97">
        <v>3</v>
      </c>
      <c r="AF97">
        <v>1</v>
      </c>
      <c r="AG97">
        <v>80</v>
      </c>
      <c r="AH97">
        <v>1</v>
      </c>
      <c r="AI97">
        <v>1</v>
      </c>
      <c r="AJ97">
        <v>0</v>
      </c>
      <c r="AK97" s="1" t="s">
        <v>140</v>
      </c>
    </row>
    <row r="98" spans="1:37" x14ac:dyDescent="0.25">
      <c r="A98">
        <v>128</v>
      </c>
      <c r="B98">
        <v>24</v>
      </c>
      <c r="C98" s="1" t="s">
        <v>24</v>
      </c>
      <c r="D98" s="1" t="s">
        <v>70</v>
      </c>
      <c r="E98">
        <v>2</v>
      </c>
      <c r="F98" s="1" t="s">
        <v>138</v>
      </c>
      <c r="G98">
        <v>0</v>
      </c>
      <c r="H98" s="1" t="s">
        <v>18</v>
      </c>
      <c r="I98">
        <v>4</v>
      </c>
      <c r="J98">
        <v>2</v>
      </c>
      <c r="K98">
        <v>3</v>
      </c>
      <c r="L98">
        <v>2</v>
      </c>
      <c r="M98">
        <v>0</v>
      </c>
      <c r="N98">
        <v>2</v>
      </c>
      <c r="O98" s="1" t="s">
        <v>19</v>
      </c>
      <c r="P98" s="1" t="s">
        <v>135</v>
      </c>
      <c r="Q98">
        <v>1353</v>
      </c>
      <c r="R98" s="1" t="s">
        <v>64</v>
      </c>
      <c r="S98">
        <v>3</v>
      </c>
      <c r="T98">
        <v>1</v>
      </c>
      <c r="U98">
        <v>1</v>
      </c>
      <c r="V98">
        <v>33</v>
      </c>
      <c r="W98">
        <v>3</v>
      </c>
      <c r="X98">
        <v>2</v>
      </c>
      <c r="Y98" s="1" t="s">
        <v>4</v>
      </c>
      <c r="Z98">
        <v>3</v>
      </c>
      <c r="AA98">
        <v>4999</v>
      </c>
      <c r="AB98">
        <v>17519</v>
      </c>
      <c r="AC98" s="1" t="s">
        <v>19</v>
      </c>
      <c r="AD98">
        <v>21</v>
      </c>
      <c r="AE98">
        <v>4</v>
      </c>
      <c r="AF98">
        <v>1</v>
      </c>
      <c r="AG98">
        <v>80</v>
      </c>
      <c r="AH98">
        <v>1</v>
      </c>
      <c r="AI98">
        <v>2</v>
      </c>
      <c r="AJ98">
        <v>0</v>
      </c>
      <c r="AK98" s="1" t="s">
        <v>136</v>
      </c>
    </row>
    <row r="99" spans="1:37" x14ac:dyDescent="0.25">
      <c r="A99">
        <v>129</v>
      </c>
      <c r="B99">
        <v>28</v>
      </c>
      <c r="C99" s="1" t="s">
        <v>25</v>
      </c>
      <c r="D99" s="1" t="s">
        <v>70</v>
      </c>
      <c r="E99">
        <v>3</v>
      </c>
      <c r="F99" s="1" t="s">
        <v>139</v>
      </c>
      <c r="G99">
        <v>1</v>
      </c>
      <c r="H99" s="1" t="s">
        <v>18</v>
      </c>
      <c r="I99">
        <v>5</v>
      </c>
      <c r="J99">
        <v>3</v>
      </c>
      <c r="K99">
        <v>5</v>
      </c>
      <c r="L99">
        <v>4</v>
      </c>
      <c r="M99">
        <v>0</v>
      </c>
      <c r="N99">
        <v>4</v>
      </c>
      <c r="O99" s="1" t="s">
        <v>19</v>
      </c>
      <c r="P99" s="1" t="s">
        <v>141</v>
      </c>
      <c r="Q99">
        <v>120</v>
      </c>
      <c r="R99" s="1" t="s">
        <v>64</v>
      </c>
      <c r="S99">
        <v>4</v>
      </c>
      <c r="T99">
        <v>1</v>
      </c>
      <c r="U99">
        <v>2</v>
      </c>
      <c r="V99">
        <v>43</v>
      </c>
      <c r="W99">
        <v>3</v>
      </c>
      <c r="X99">
        <v>2</v>
      </c>
      <c r="Y99" s="1" t="s">
        <v>4</v>
      </c>
      <c r="Z99">
        <v>3</v>
      </c>
      <c r="AA99">
        <v>4221</v>
      </c>
      <c r="AB99">
        <v>8863</v>
      </c>
      <c r="AC99" s="1" t="s">
        <v>19</v>
      </c>
      <c r="AD99">
        <v>15</v>
      </c>
      <c r="AE99">
        <v>3</v>
      </c>
      <c r="AF99">
        <v>2</v>
      </c>
      <c r="AG99">
        <v>80</v>
      </c>
      <c r="AH99">
        <v>0</v>
      </c>
      <c r="AI99">
        <v>4</v>
      </c>
      <c r="AJ99">
        <v>0</v>
      </c>
      <c r="AK99" s="1" t="s">
        <v>136</v>
      </c>
    </row>
    <row r="100" spans="1:37" x14ac:dyDescent="0.25">
      <c r="A100">
        <v>131</v>
      </c>
      <c r="B100">
        <v>58</v>
      </c>
      <c r="C100" s="1" t="s">
        <v>25</v>
      </c>
      <c r="D100" s="1" t="s">
        <v>71</v>
      </c>
      <c r="E100">
        <v>4</v>
      </c>
      <c r="F100" s="1" t="s">
        <v>139</v>
      </c>
      <c r="G100">
        <v>0</v>
      </c>
      <c r="H100" s="1" t="s">
        <v>18</v>
      </c>
      <c r="I100">
        <v>38</v>
      </c>
      <c r="J100">
        <v>1</v>
      </c>
      <c r="K100">
        <v>37</v>
      </c>
      <c r="L100">
        <v>10</v>
      </c>
      <c r="M100">
        <v>1</v>
      </c>
      <c r="N100">
        <v>8</v>
      </c>
      <c r="O100" s="1" t="s">
        <v>19</v>
      </c>
      <c r="P100" s="1" t="s">
        <v>135</v>
      </c>
      <c r="Q100">
        <v>682</v>
      </c>
      <c r="R100" s="1" t="s">
        <v>64</v>
      </c>
      <c r="S100">
        <v>10</v>
      </c>
      <c r="T100">
        <v>1</v>
      </c>
      <c r="U100">
        <v>4</v>
      </c>
      <c r="V100">
        <v>37</v>
      </c>
      <c r="W100">
        <v>3</v>
      </c>
      <c r="X100">
        <v>4</v>
      </c>
      <c r="Y100" s="1" t="s">
        <v>4</v>
      </c>
      <c r="Z100">
        <v>3</v>
      </c>
      <c r="AA100">
        <v>13872</v>
      </c>
      <c r="AB100">
        <v>24409</v>
      </c>
      <c r="AC100" s="1" t="s">
        <v>19</v>
      </c>
      <c r="AD100">
        <v>13</v>
      </c>
      <c r="AE100">
        <v>3</v>
      </c>
      <c r="AF100">
        <v>3</v>
      </c>
      <c r="AG100">
        <v>80</v>
      </c>
      <c r="AH100">
        <v>0</v>
      </c>
      <c r="AI100">
        <v>2</v>
      </c>
      <c r="AJ100">
        <v>0</v>
      </c>
      <c r="AK100" s="1" t="s">
        <v>140</v>
      </c>
    </row>
    <row r="101" spans="1:37" x14ac:dyDescent="0.25">
      <c r="A101">
        <v>132</v>
      </c>
      <c r="B101">
        <v>44</v>
      </c>
      <c r="C101" s="1" t="s">
        <v>25</v>
      </c>
      <c r="D101" s="1" t="s">
        <v>70</v>
      </c>
      <c r="E101">
        <v>3</v>
      </c>
      <c r="F101" s="1" t="s">
        <v>139</v>
      </c>
      <c r="G101">
        <v>4</v>
      </c>
      <c r="H101" s="1" t="s">
        <v>18</v>
      </c>
      <c r="I101">
        <v>17</v>
      </c>
      <c r="J101">
        <v>3</v>
      </c>
      <c r="K101">
        <v>3</v>
      </c>
      <c r="L101">
        <v>2</v>
      </c>
      <c r="M101">
        <v>1</v>
      </c>
      <c r="N101">
        <v>2</v>
      </c>
      <c r="O101" s="1" t="s">
        <v>19</v>
      </c>
      <c r="P101" s="1" t="s">
        <v>141</v>
      </c>
      <c r="Q101">
        <v>489</v>
      </c>
      <c r="R101" s="1" t="s">
        <v>63</v>
      </c>
      <c r="S101">
        <v>23</v>
      </c>
      <c r="T101">
        <v>1</v>
      </c>
      <c r="U101">
        <v>2</v>
      </c>
      <c r="V101">
        <v>67</v>
      </c>
      <c r="W101">
        <v>3</v>
      </c>
      <c r="X101">
        <v>2</v>
      </c>
      <c r="Y101" s="1" t="s">
        <v>6</v>
      </c>
      <c r="Z101">
        <v>2</v>
      </c>
      <c r="AA101">
        <v>2042</v>
      </c>
      <c r="AB101">
        <v>25043</v>
      </c>
      <c r="AC101" s="1" t="s">
        <v>19</v>
      </c>
      <c r="AD101">
        <v>12</v>
      </c>
      <c r="AE101">
        <v>3</v>
      </c>
      <c r="AF101">
        <v>3</v>
      </c>
      <c r="AG101">
        <v>80</v>
      </c>
      <c r="AH101">
        <v>1</v>
      </c>
      <c r="AI101">
        <v>4</v>
      </c>
      <c r="AJ101">
        <v>0</v>
      </c>
      <c r="AK101" s="1" t="s">
        <v>136</v>
      </c>
    </row>
    <row r="102" spans="1:37" x14ac:dyDescent="0.25">
      <c r="A102">
        <v>133</v>
      </c>
      <c r="B102">
        <v>37</v>
      </c>
      <c r="C102" s="1" t="s">
        <v>25</v>
      </c>
      <c r="D102" s="1" t="s">
        <v>69</v>
      </c>
      <c r="E102">
        <v>4</v>
      </c>
      <c r="F102" s="1" t="s">
        <v>12</v>
      </c>
      <c r="G102">
        <v>4</v>
      </c>
      <c r="H102" s="1" t="s">
        <v>18</v>
      </c>
      <c r="I102">
        <v>7</v>
      </c>
      <c r="J102">
        <v>3</v>
      </c>
      <c r="K102">
        <v>3</v>
      </c>
      <c r="L102">
        <v>2</v>
      </c>
      <c r="M102">
        <v>0</v>
      </c>
      <c r="N102">
        <v>2</v>
      </c>
      <c r="O102" s="1" t="s">
        <v>18</v>
      </c>
      <c r="P102" s="1" t="s">
        <v>135</v>
      </c>
      <c r="Q102">
        <v>807</v>
      </c>
      <c r="R102" s="1" t="s">
        <v>12</v>
      </c>
      <c r="S102">
        <v>6</v>
      </c>
      <c r="T102">
        <v>1</v>
      </c>
      <c r="U102">
        <v>3</v>
      </c>
      <c r="V102">
        <v>63</v>
      </c>
      <c r="W102">
        <v>3</v>
      </c>
      <c r="X102">
        <v>1</v>
      </c>
      <c r="Y102" s="1" t="s">
        <v>12</v>
      </c>
      <c r="Z102">
        <v>1</v>
      </c>
      <c r="AA102">
        <v>2073</v>
      </c>
      <c r="AB102">
        <v>23648</v>
      </c>
      <c r="AC102" s="1" t="s">
        <v>18</v>
      </c>
      <c r="AD102">
        <v>22</v>
      </c>
      <c r="AE102">
        <v>4</v>
      </c>
      <c r="AF102">
        <v>4</v>
      </c>
      <c r="AG102">
        <v>80</v>
      </c>
      <c r="AH102">
        <v>0</v>
      </c>
      <c r="AI102">
        <v>3</v>
      </c>
      <c r="AJ102">
        <v>1</v>
      </c>
      <c r="AK102" s="1" t="s">
        <v>136</v>
      </c>
    </row>
    <row r="103" spans="1:37" x14ac:dyDescent="0.25">
      <c r="A103">
        <v>134</v>
      </c>
      <c r="B103">
        <v>32</v>
      </c>
      <c r="C103" s="1" t="s">
        <v>25</v>
      </c>
      <c r="D103" s="1" t="s">
        <v>71</v>
      </c>
      <c r="E103">
        <v>1</v>
      </c>
      <c r="F103" s="1" t="s">
        <v>134</v>
      </c>
      <c r="G103">
        <v>1</v>
      </c>
      <c r="H103" s="1" t="s">
        <v>18</v>
      </c>
      <c r="I103">
        <v>1</v>
      </c>
      <c r="J103">
        <v>2</v>
      </c>
      <c r="K103">
        <v>1</v>
      </c>
      <c r="L103">
        <v>0</v>
      </c>
      <c r="M103">
        <v>0</v>
      </c>
      <c r="N103">
        <v>0</v>
      </c>
      <c r="O103" s="1" t="s">
        <v>19</v>
      </c>
      <c r="P103" s="1" t="s">
        <v>135</v>
      </c>
      <c r="Q103">
        <v>827</v>
      </c>
      <c r="R103" s="1" t="s">
        <v>63</v>
      </c>
      <c r="S103">
        <v>1</v>
      </c>
      <c r="T103">
        <v>1</v>
      </c>
      <c r="U103">
        <v>4</v>
      </c>
      <c r="V103">
        <v>71</v>
      </c>
      <c r="W103">
        <v>3</v>
      </c>
      <c r="X103">
        <v>1</v>
      </c>
      <c r="Y103" s="1" t="s">
        <v>5</v>
      </c>
      <c r="Z103">
        <v>1</v>
      </c>
      <c r="AA103">
        <v>2956</v>
      </c>
      <c r="AB103">
        <v>15178</v>
      </c>
      <c r="AC103" s="1" t="s">
        <v>19</v>
      </c>
      <c r="AD103">
        <v>13</v>
      </c>
      <c r="AE103">
        <v>3</v>
      </c>
      <c r="AF103">
        <v>4</v>
      </c>
      <c r="AG103">
        <v>80</v>
      </c>
      <c r="AH103">
        <v>0</v>
      </c>
      <c r="AI103">
        <v>3</v>
      </c>
      <c r="AJ103">
        <v>0</v>
      </c>
      <c r="AK103" s="1" t="s">
        <v>136</v>
      </c>
    </row>
    <row r="104" spans="1:37" x14ac:dyDescent="0.25">
      <c r="A104">
        <v>137</v>
      </c>
      <c r="B104">
        <v>20</v>
      </c>
      <c r="C104" s="1" t="s">
        <v>24</v>
      </c>
      <c r="D104" s="1" t="s">
        <v>71</v>
      </c>
      <c r="E104">
        <v>3</v>
      </c>
      <c r="F104" s="1" t="s">
        <v>134</v>
      </c>
      <c r="G104">
        <v>1</v>
      </c>
      <c r="H104" s="1" t="s">
        <v>18</v>
      </c>
      <c r="I104">
        <v>1</v>
      </c>
      <c r="J104">
        <v>5</v>
      </c>
      <c r="K104">
        <v>1</v>
      </c>
      <c r="L104">
        <v>0</v>
      </c>
      <c r="M104">
        <v>1</v>
      </c>
      <c r="N104">
        <v>0</v>
      </c>
      <c r="O104" s="1" t="s">
        <v>18</v>
      </c>
      <c r="P104" s="1" t="s">
        <v>137</v>
      </c>
      <c r="Q104">
        <v>871</v>
      </c>
      <c r="R104" s="1" t="s">
        <v>63</v>
      </c>
      <c r="S104">
        <v>6</v>
      </c>
      <c r="T104">
        <v>1</v>
      </c>
      <c r="U104">
        <v>4</v>
      </c>
      <c r="V104">
        <v>66</v>
      </c>
      <c r="W104">
        <v>2</v>
      </c>
      <c r="X104">
        <v>1</v>
      </c>
      <c r="Y104" s="1" t="s">
        <v>6</v>
      </c>
      <c r="Z104">
        <v>4</v>
      </c>
      <c r="AA104">
        <v>2926</v>
      </c>
      <c r="AB104">
        <v>19783</v>
      </c>
      <c r="AC104" s="1" t="s">
        <v>18</v>
      </c>
      <c r="AD104">
        <v>18</v>
      </c>
      <c r="AE104">
        <v>3</v>
      </c>
      <c r="AF104">
        <v>2</v>
      </c>
      <c r="AG104">
        <v>80</v>
      </c>
      <c r="AH104">
        <v>0</v>
      </c>
      <c r="AI104">
        <v>3</v>
      </c>
      <c r="AJ104">
        <v>1</v>
      </c>
      <c r="AK104" s="1" t="s">
        <v>136</v>
      </c>
    </row>
    <row r="105" spans="1:37" x14ac:dyDescent="0.25">
      <c r="A105">
        <v>138</v>
      </c>
      <c r="B105">
        <v>34</v>
      </c>
      <c r="C105" s="1" t="s">
        <v>24</v>
      </c>
      <c r="D105" s="1" t="s">
        <v>71</v>
      </c>
      <c r="E105">
        <v>4</v>
      </c>
      <c r="F105" s="1" t="s">
        <v>138</v>
      </c>
      <c r="G105">
        <v>1</v>
      </c>
      <c r="H105" s="1" t="s">
        <v>18</v>
      </c>
      <c r="I105">
        <v>16</v>
      </c>
      <c r="J105">
        <v>3</v>
      </c>
      <c r="K105">
        <v>16</v>
      </c>
      <c r="L105">
        <v>13</v>
      </c>
      <c r="M105">
        <v>2</v>
      </c>
      <c r="N105">
        <v>10</v>
      </c>
      <c r="O105" s="1" t="s">
        <v>19</v>
      </c>
      <c r="P105" s="1" t="s">
        <v>135</v>
      </c>
      <c r="Q105">
        <v>665</v>
      </c>
      <c r="R105" s="1" t="s">
        <v>63</v>
      </c>
      <c r="S105">
        <v>6</v>
      </c>
      <c r="T105">
        <v>1</v>
      </c>
      <c r="U105">
        <v>1</v>
      </c>
      <c r="V105">
        <v>41</v>
      </c>
      <c r="W105">
        <v>3</v>
      </c>
      <c r="X105">
        <v>2</v>
      </c>
      <c r="Y105" s="1" t="s">
        <v>5</v>
      </c>
      <c r="Z105">
        <v>3</v>
      </c>
      <c r="AA105">
        <v>4809</v>
      </c>
      <c r="AB105">
        <v>12482</v>
      </c>
      <c r="AC105" s="1" t="s">
        <v>19</v>
      </c>
      <c r="AD105">
        <v>14</v>
      </c>
      <c r="AE105">
        <v>3</v>
      </c>
      <c r="AF105">
        <v>3</v>
      </c>
      <c r="AG105">
        <v>80</v>
      </c>
      <c r="AH105">
        <v>0</v>
      </c>
      <c r="AI105">
        <v>3</v>
      </c>
      <c r="AJ105">
        <v>0</v>
      </c>
      <c r="AK105" s="1" t="s">
        <v>136</v>
      </c>
    </row>
    <row r="106" spans="1:37" x14ac:dyDescent="0.25">
      <c r="A106">
        <v>139</v>
      </c>
      <c r="B106">
        <v>37</v>
      </c>
      <c r="C106" s="1" t="s">
        <v>25</v>
      </c>
      <c r="D106" s="1" t="s">
        <v>69</v>
      </c>
      <c r="E106">
        <v>2</v>
      </c>
      <c r="F106" s="1" t="s">
        <v>134</v>
      </c>
      <c r="G106">
        <v>5</v>
      </c>
      <c r="H106" s="1" t="s">
        <v>18</v>
      </c>
      <c r="I106">
        <v>17</v>
      </c>
      <c r="J106">
        <v>2</v>
      </c>
      <c r="K106">
        <v>1</v>
      </c>
      <c r="L106">
        <v>0</v>
      </c>
      <c r="M106">
        <v>0</v>
      </c>
      <c r="N106">
        <v>0</v>
      </c>
      <c r="O106" s="1" t="s">
        <v>19</v>
      </c>
      <c r="P106" s="1" t="s">
        <v>141</v>
      </c>
      <c r="Q106">
        <v>1040</v>
      </c>
      <c r="R106" s="1" t="s">
        <v>63</v>
      </c>
      <c r="S106">
        <v>2</v>
      </c>
      <c r="T106">
        <v>1</v>
      </c>
      <c r="U106">
        <v>3</v>
      </c>
      <c r="V106">
        <v>100</v>
      </c>
      <c r="W106">
        <v>2</v>
      </c>
      <c r="X106">
        <v>2</v>
      </c>
      <c r="Y106" s="1" t="s">
        <v>8</v>
      </c>
      <c r="Z106">
        <v>4</v>
      </c>
      <c r="AA106">
        <v>5163</v>
      </c>
      <c r="AB106">
        <v>15850</v>
      </c>
      <c r="AC106" s="1" t="s">
        <v>19</v>
      </c>
      <c r="AD106">
        <v>14</v>
      </c>
      <c r="AE106">
        <v>3</v>
      </c>
      <c r="AF106">
        <v>4</v>
      </c>
      <c r="AG106">
        <v>80</v>
      </c>
      <c r="AH106">
        <v>1</v>
      </c>
      <c r="AI106">
        <v>4</v>
      </c>
      <c r="AJ106">
        <v>0</v>
      </c>
      <c r="AK106" s="1" t="s">
        <v>136</v>
      </c>
    </row>
    <row r="107" spans="1:37" x14ac:dyDescent="0.25">
      <c r="A107">
        <v>140</v>
      </c>
      <c r="B107">
        <v>59</v>
      </c>
      <c r="C107" s="1" t="s">
        <v>24</v>
      </c>
      <c r="D107" s="1" t="s">
        <v>70</v>
      </c>
      <c r="E107">
        <v>4</v>
      </c>
      <c r="F107" s="1" t="s">
        <v>12</v>
      </c>
      <c r="G107">
        <v>9</v>
      </c>
      <c r="H107" s="1" t="s">
        <v>18</v>
      </c>
      <c r="I107">
        <v>30</v>
      </c>
      <c r="J107">
        <v>3</v>
      </c>
      <c r="K107">
        <v>3</v>
      </c>
      <c r="L107">
        <v>2</v>
      </c>
      <c r="M107">
        <v>2</v>
      </c>
      <c r="N107">
        <v>2</v>
      </c>
      <c r="O107" s="1" t="s">
        <v>19</v>
      </c>
      <c r="P107" s="1" t="s">
        <v>141</v>
      </c>
      <c r="Q107">
        <v>1420</v>
      </c>
      <c r="R107" s="1" t="s">
        <v>12</v>
      </c>
      <c r="S107">
        <v>2</v>
      </c>
      <c r="T107">
        <v>1</v>
      </c>
      <c r="U107">
        <v>3</v>
      </c>
      <c r="V107">
        <v>32</v>
      </c>
      <c r="W107">
        <v>2</v>
      </c>
      <c r="X107">
        <v>5</v>
      </c>
      <c r="Y107" s="1" t="s">
        <v>9</v>
      </c>
      <c r="Z107">
        <v>4</v>
      </c>
      <c r="AA107">
        <v>18844</v>
      </c>
      <c r="AB107">
        <v>21922</v>
      </c>
      <c r="AC107" s="1" t="s">
        <v>19</v>
      </c>
      <c r="AD107">
        <v>21</v>
      </c>
      <c r="AE107">
        <v>4</v>
      </c>
      <c r="AF107">
        <v>4</v>
      </c>
      <c r="AG107">
        <v>80</v>
      </c>
      <c r="AH107">
        <v>1</v>
      </c>
      <c r="AI107">
        <v>3</v>
      </c>
      <c r="AJ107">
        <v>0</v>
      </c>
      <c r="AK107" s="1" t="s">
        <v>140</v>
      </c>
    </row>
    <row r="108" spans="1:37" x14ac:dyDescent="0.25">
      <c r="A108">
        <v>141</v>
      </c>
      <c r="B108">
        <v>50</v>
      </c>
      <c r="C108" s="1" t="s">
        <v>24</v>
      </c>
      <c r="D108" s="1" t="s">
        <v>70</v>
      </c>
      <c r="E108">
        <v>3</v>
      </c>
      <c r="F108" s="1" t="s">
        <v>134</v>
      </c>
      <c r="G108">
        <v>3</v>
      </c>
      <c r="H108" s="1" t="s">
        <v>18</v>
      </c>
      <c r="I108">
        <v>28</v>
      </c>
      <c r="J108">
        <v>1</v>
      </c>
      <c r="K108">
        <v>8</v>
      </c>
      <c r="L108">
        <v>3</v>
      </c>
      <c r="M108">
        <v>0</v>
      </c>
      <c r="N108">
        <v>7</v>
      </c>
      <c r="O108" s="1" t="s">
        <v>19</v>
      </c>
      <c r="P108" s="1" t="s">
        <v>137</v>
      </c>
      <c r="Q108">
        <v>1115</v>
      </c>
      <c r="R108" s="1" t="s">
        <v>63</v>
      </c>
      <c r="S108">
        <v>1</v>
      </c>
      <c r="T108">
        <v>1</v>
      </c>
      <c r="U108">
        <v>1</v>
      </c>
      <c r="V108">
        <v>73</v>
      </c>
      <c r="W108">
        <v>3</v>
      </c>
      <c r="X108">
        <v>5</v>
      </c>
      <c r="Y108" s="1" t="s">
        <v>11</v>
      </c>
      <c r="Z108">
        <v>2</v>
      </c>
      <c r="AA108">
        <v>18172</v>
      </c>
      <c r="AB108">
        <v>9755</v>
      </c>
      <c r="AC108" s="1" t="s">
        <v>18</v>
      </c>
      <c r="AD108">
        <v>19</v>
      </c>
      <c r="AE108">
        <v>3</v>
      </c>
      <c r="AF108">
        <v>1</v>
      </c>
      <c r="AG108">
        <v>80</v>
      </c>
      <c r="AH108">
        <v>0</v>
      </c>
      <c r="AI108">
        <v>2</v>
      </c>
      <c r="AJ108">
        <v>0</v>
      </c>
      <c r="AK108" s="1" t="s">
        <v>140</v>
      </c>
    </row>
    <row r="109" spans="1:37" x14ac:dyDescent="0.25">
      <c r="A109">
        <v>142</v>
      </c>
      <c r="B109">
        <v>25</v>
      </c>
      <c r="C109" s="1" t="s">
        <v>25</v>
      </c>
      <c r="D109" s="1" t="s">
        <v>71</v>
      </c>
      <c r="E109">
        <v>3</v>
      </c>
      <c r="F109" s="1" t="s">
        <v>142</v>
      </c>
      <c r="G109">
        <v>1</v>
      </c>
      <c r="H109" s="1" t="s">
        <v>18</v>
      </c>
      <c r="I109">
        <v>6</v>
      </c>
      <c r="J109">
        <v>1</v>
      </c>
      <c r="K109">
        <v>6</v>
      </c>
      <c r="L109">
        <v>4</v>
      </c>
      <c r="M109">
        <v>0</v>
      </c>
      <c r="N109">
        <v>3</v>
      </c>
      <c r="O109" s="1" t="s">
        <v>18</v>
      </c>
      <c r="P109" s="1" t="s">
        <v>135</v>
      </c>
      <c r="Q109">
        <v>240</v>
      </c>
      <c r="R109" s="1" t="s">
        <v>64</v>
      </c>
      <c r="S109">
        <v>5</v>
      </c>
      <c r="T109">
        <v>1</v>
      </c>
      <c r="U109">
        <v>3</v>
      </c>
      <c r="V109">
        <v>46</v>
      </c>
      <c r="W109">
        <v>2</v>
      </c>
      <c r="X109">
        <v>2</v>
      </c>
      <c r="Y109" s="1" t="s">
        <v>4</v>
      </c>
      <c r="Z109">
        <v>3</v>
      </c>
      <c r="AA109">
        <v>5744</v>
      </c>
      <c r="AB109">
        <v>26959</v>
      </c>
      <c r="AC109" s="1" t="s">
        <v>18</v>
      </c>
      <c r="AD109">
        <v>11</v>
      </c>
      <c r="AE109">
        <v>3</v>
      </c>
      <c r="AF109">
        <v>4</v>
      </c>
      <c r="AG109">
        <v>80</v>
      </c>
      <c r="AH109">
        <v>0</v>
      </c>
      <c r="AI109">
        <v>3</v>
      </c>
      <c r="AJ109">
        <v>1</v>
      </c>
      <c r="AK109" s="1" t="s">
        <v>136</v>
      </c>
    </row>
    <row r="110" spans="1:37" x14ac:dyDescent="0.25">
      <c r="A110">
        <v>143</v>
      </c>
      <c r="B110">
        <v>25</v>
      </c>
      <c r="C110" s="1" t="s">
        <v>25</v>
      </c>
      <c r="D110" s="1" t="s">
        <v>70</v>
      </c>
      <c r="E110">
        <v>1</v>
      </c>
      <c r="F110" s="1" t="s">
        <v>139</v>
      </c>
      <c r="G110">
        <v>1</v>
      </c>
      <c r="H110" s="1" t="s">
        <v>18</v>
      </c>
      <c r="I110">
        <v>2</v>
      </c>
      <c r="J110">
        <v>2</v>
      </c>
      <c r="K110">
        <v>2</v>
      </c>
      <c r="L110">
        <v>2</v>
      </c>
      <c r="M110">
        <v>2</v>
      </c>
      <c r="N110">
        <v>1</v>
      </c>
      <c r="O110" s="1" t="s">
        <v>19</v>
      </c>
      <c r="P110" s="1" t="s">
        <v>135</v>
      </c>
      <c r="Q110">
        <v>1280</v>
      </c>
      <c r="R110" s="1" t="s">
        <v>63</v>
      </c>
      <c r="S110">
        <v>7</v>
      </c>
      <c r="T110">
        <v>1</v>
      </c>
      <c r="U110">
        <v>4</v>
      </c>
      <c r="V110">
        <v>64</v>
      </c>
      <c r="W110">
        <v>2</v>
      </c>
      <c r="X110">
        <v>1</v>
      </c>
      <c r="Y110" s="1" t="s">
        <v>5</v>
      </c>
      <c r="Z110">
        <v>4</v>
      </c>
      <c r="AA110">
        <v>2889</v>
      </c>
      <c r="AB110">
        <v>26897</v>
      </c>
      <c r="AC110" s="1" t="s">
        <v>19</v>
      </c>
      <c r="AD110">
        <v>11</v>
      </c>
      <c r="AE110">
        <v>3</v>
      </c>
      <c r="AF110">
        <v>3</v>
      </c>
      <c r="AG110">
        <v>80</v>
      </c>
      <c r="AH110">
        <v>2</v>
      </c>
      <c r="AI110">
        <v>3</v>
      </c>
      <c r="AJ110">
        <v>0</v>
      </c>
      <c r="AK110" s="1" t="s">
        <v>136</v>
      </c>
    </row>
    <row r="111" spans="1:37" x14ac:dyDescent="0.25">
      <c r="A111">
        <v>144</v>
      </c>
      <c r="B111">
        <v>22</v>
      </c>
      <c r="C111" s="1" t="s">
        <v>24</v>
      </c>
      <c r="D111" s="1" t="s">
        <v>71</v>
      </c>
      <c r="E111">
        <v>3</v>
      </c>
      <c r="F111" s="1" t="s">
        <v>139</v>
      </c>
      <c r="G111">
        <v>1</v>
      </c>
      <c r="H111" s="1" t="s">
        <v>18</v>
      </c>
      <c r="I111">
        <v>1</v>
      </c>
      <c r="J111">
        <v>5</v>
      </c>
      <c r="K111">
        <v>0</v>
      </c>
      <c r="L111">
        <v>0</v>
      </c>
      <c r="M111">
        <v>0</v>
      </c>
      <c r="N111">
        <v>0</v>
      </c>
      <c r="O111" s="1" t="s">
        <v>19</v>
      </c>
      <c r="P111" s="1" t="s">
        <v>135</v>
      </c>
      <c r="Q111">
        <v>534</v>
      </c>
      <c r="R111" s="1" t="s">
        <v>63</v>
      </c>
      <c r="S111">
        <v>15</v>
      </c>
      <c r="T111">
        <v>1</v>
      </c>
      <c r="U111">
        <v>2</v>
      </c>
      <c r="V111">
        <v>59</v>
      </c>
      <c r="W111">
        <v>3</v>
      </c>
      <c r="X111">
        <v>1</v>
      </c>
      <c r="Y111" s="1" t="s">
        <v>6</v>
      </c>
      <c r="Z111">
        <v>4</v>
      </c>
      <c r="AA111">
        <v>2871</v>
      </c>
      <c r="AB111">
        <v>23785</v>
      </c>
      <c r="AC111" s="1" t="s">
        <v>19</v>
      </c>
      <c r="AD111">
        <v>15</v>
      </c>
      <c r="AE111">
        <v>3</v>
      </c>
      <c r="AF111">
        <v>3</v>
      </c>
      <c r="AG111">
        <v>80</v>
      </c>
      <c r="AH111">
        <v>0</v>
      </c>
      <c r="AI111">
        <v>3</v>
      </c>
      <c r="AJ111">
        <v>0</v>
      </c>
      <c r="AK111" s="1" t="s">
        <v>136</v>
      </c>
    </row>
    <row r="112" spans="1:37" x14ac:dyDescent="0.25">
      <c r="A112">
        <v>145</v>
      </c>
      <c r="B112">
        <v>51</v>
      </c>
      <c r="C112" s="1" t="s">
        <v>24</v>
      </c>
      <c r="D112" s="1" t="s">
        <v>71</v>
      </c>
      <c r="E112">
        <v>4</v>
      </c>
      <c r="F112" s="1" t="s">
        <v>139</v>
      </c>
      <c r="G112">
        <v>3</v>
      </c>
      <c r="H112" s="1" t="s">
        <v>18</v>
      </c>
      <c r="I112">
        <v>23</v>
      </c>
      <c r="J112">
        <v>1</v>
      </c>
      <c r="K112">
        <v>13</v>
      </c>
      <c r="L112">
        <v>12</v>
      </c>
      <c r="M112">
        <v>12</v>
      </c>
      <c r="N112">
        <v>8</v>
      </c>
      <c r="O112" s="1" t="s">
        <v>19</v>
      </c>
      <c r="P112" s="1" t="s">
        <v>137</v>
      </c>
      <c r="Q112">
        <v>1456</v>
      </c>
      <c r="R112" s="1" t="s">
        <v>63</v>
      </c>
      <c r="S112">
        <v>1</v>
      </c>
      <c r="T112">
        <v>1</v>
      </c>
      <c r="U112">
        <v>1</v>
      </c>
      <c r="V112">
        <v>30</v>
      </c>
      <c r="W112">
        <v>2</v>
      </c>
      <c r="X112">
        <v>3</v>
      </c>
      <c r="Y112" s="1" t="s">
        <v>8</v>
      </c>
      <c r="Z112">
        <v>1</v>
      </c>
      <c r="AA112">
        <v>7484</v>
      </c>
      <c r="AB112">
        <v>25796</v>
      </c>
      <c r="AC112" s="1" t="s">
        <v>19</v>
      </c>
      <c r="AD112">
        <v>20</v>
      </c>
      <c r="AE112">
        <v>4</v>
      </c>
      <c r="AF112">
        <v>3</v>
      </c>
      <c r="AG112">
        <v>80</v>
      </c>
      <c r="AH112">
        <v>0</v>
      </c>
      <c r="AI112">
        <v>2</v>
      </c>
      <c r="AJ112">
        <v>0</v>
      </c>
      <c r="AK112" s="1" t="s">
        <v>140</v>
      </c>
    </row>
    <row r="113" spans="1:37" x14ac:dyDescent="0.25">
      <c r="A113">
        <v>147</v>
      </c>
      <c r="B113">
        <v>34</v>
      </c>
      <c r="C113" s="1" t="s">
        <v>25</v>
      </c>
      <c r="D113" s="1" t="s">
        <v>71</v>
      </c>
      <c r="E113">
        <v>3</v>
      </c>
      <c r="F113" s="1" t="s">
        <v>134</v>
      </c>
      <c r="G113">
        <v>1</v>
      </c>
      <c r="H113" s="1" t="s">
        <v>18</v>
      </c>
      <c r="I113">
        <v>9</v>
      </c>
      <c r="J113">
        <v>3</v>
      </c>
      <c r="K113">
        <v>9</v>
      </c>
      <c r="L113">
        <v>7</v>
      </c>
      <c r="M113">
        <v>0</v>
      </c>
      <c r="N113">
        <v>6</v>
      </c>
      <c r="O113" s="1" t="s">
        <v>18</v>
      </c>
      <c r="P113" s="1" t="s">
        <v>137</v>
      </c>
      <c r="Q113">
        <v>658</v>
      </c>
      <c r="R113" s="1" t="s">
        <v>63</v>
      </c>
      <c r="S113">
        <v>7</v>
      </c>
      <c r="T113">
        <v>1</v>
      </c>
      <c r="U113">
        <v>1</v>
      </c>
      <c r="V113">
        <v>66</v>
      </c>
      <c r="W113">
        <v>1</v>
      </c>
      <c r="X113">
        <v>2</v>
      </c>
      <c r="Y113" s="1" t="s">
        <v>6</v>
      </c>
      <c r="Z113">
        <v>3</v>
      </c>
      <c r="AA113">
        <v>6074</v>
      </c>
      <c r="AB113">
        <v>22887</v>
      </c>
      <c r="AC113" s="1" t="s">
        <v>18</v>
      </c>
      <c r="AD113">
        <v>24</v>
      </c>
      <c r="AE113">
        <v>4</v>
      </c>
      <c r="AF113">
        <v>4</v>
      </c>
      <c r="AG113">
        <v>80</v>
      </c>
      <c r="AH113">
        <v>0</v>
      </c>
      <c r="AI113">
        <v>3</v>
      </c>
      <c r="AJ113">
        <v>1</v>
      </c>
      <c r="AK113" s="1" t="s">
        <v>136</v>
      </c>
    </row>
    <row r="114" spans="1:37" x14ac:dyDescent="0.25">
      <c r="A114">
        <v>148</v>
      </c>
      <c r="B114">
        <v>54</v>
      </c>
      <c r="C114" s="1" t="s">
        <v>24</v>
      </c>
      <c r="D114" s="1" t="s">
        <v>71</v>
      </c>
      <c r="E114">
        <v>3</v>
      </c>
      <c r="F114" s="1" t="s">
        <v>12</v>
      </c>
      <c r="G114">
        <v>2</v>
      </c>
      <c r="H114" s="1" t="s">
        <v>18</v>
      </c>
      <c r="I114">
        <v>23</v>
      </c>
      <c r="J114">
        <v>3</v>
      </c>
      <c r="K114">
        <v>5</v>
      </c>
      <c r="L114">
        <v>3</v>
      </c>
      <c r="M114">
        <v>4</v>
      </c>
      <c r="N114">
        <v>4</v>
      </c>
      <c r="O114" s="1" t="s">
        <v>19</v>
      </c>
      <c r="P114" s="1" t="s">
        <v>141</v>
      </c>
      <c r="Q114">
        <v>142</v>
      </c>
      <c r="R114" s="1" t="s">
        <v>12</v>
      </c>
      <c r="S114">
        <v>26</v>
      </c>
      <c r="T114">
        <v>1</v>
      </c>
      <c r="U114">
        <v>4</v>
      </c>
      <c r="V114">
        <v>30</v>
      </c>
      <c r="W114">
        <v>4</v>
      </c>
      <c r="X114">
        <v>4</v>
      </c>
      <c r="Y114" s="1" t="s">
        <v>9</v>
      </c>
      <c r="Z114">
        <v>4</v>
      </c>
      <c r="AA114">
        <v>17328</v>
      </c>
      <c r="AB114">
        <v>13871</v>
      </c>
      <c r="AC114" s="1" t="s">
        <v>18</v>
      </c>
      <c r="AD114">
        <v>12</v>
      </c>
      <c r="AE114">
        <v>3</v>
      </c>
      <c r="AF114">
        <v>3</v>
      </c>
      <c r="AG114">
        <v>80</v>
      </c>
      <c r="AH114">
        <v>0</v>
      </c>
      <c r="AI114">
        <v>3</v>
      </c>
      <c r="AJ114">
        <v>0</v>
      </c>
      <c r="AK114" s="1" t="s">
        <v>140</v>
      </c>
    </row>
    <row r="115" spans="1:37" x14ac:dyDescent="0.25">
      <c r="A115">
        <v>150</v>
      </c>
      <c r="B115">
        <v>24</v>
      </c>
      <c r="C115" s="1" t="s">
        <v>25</v>
      </c>
      <c r="D115" s="1" t="s">
        <v>70</v>
      </c>
      <c r="E115">
        <v>1</v>
      </c>
      <c r="F115" s="1" t="s">
        <v>134</v>
      </c>
      <c r="G115">
        <v>0</v>
      </c>
      <c r="H115" s="1" t="s">
        <v>18</v>
      </c>
      <c r="I115">
        <v>6</v>
      </c>
      <c r="J115">
        <v>2</v>
      </c>
      <c r="K115">
        <v>5</v>
      </c>
      <c r="L115">
        <v>3</v>
      </c>
      <c r="M115">
        <v>1</v>
      </c>
      <c r="N115">
        <v>2</v>
      </c>
      <c r="O115" s="1" t="s">
        <v>19</v>
      </c>
      <c r="P115" s="1" t="s">
        <v>135</v>
      </c>
      <c r="Q115">
        <v>1127</v>
      </c>
      <c r="R115" s="1" t="s">
        <v>63</v>
      </c>
      <c r="S115">
        <v>18</v>
      </c>
      <c r="T115">
        <v>1</v>
      </c>
      <c r="U115">
        <v>2</v>
      </c>
      <c r="V115">
        <v>52</v>
      </c>
      <c r="W115">
        <v>3</v>
      </c>
      <c r="X115">
        <v>1</v>
      </c>
      <c r="Y115" s="1" t="s">
        <v>6</v>
      </c>
      <c r="Z115">
        <v>3</v>
      </c>
      <c r="AA115">
        <v>2774</v>
      </c>
      <c r="AB115">
        <v>13257</v>
      </c>
      <c r="AC115" s="1" t="s">
        <v>19</v>
      </c>
      <c r="AD115">
        <v>12</v>
      </c>
      <c r="AE115">
        <v>3</v>
      </c>
      <c r="AF115">
        <v>3</v>
      </c>
      <c r="AG115">
        <v>80</v>
      </c>
      <c r="AH115">
        <v>1</v>
      </c>
      <c r="AI115">
        <v>3</v>
      </c>
      <c r="AJ115">
        <v>0</v>
      </c>
      <c r="AK115" s="1" t="s">
        <v>136</v>
      </c>
    </row>
    <row r="116" spans="1:37" x14ac:dyDescent="0.25">
      <c r="A116">
        <v>151</v>
      </c>
      <c r="B116">
        <v>34</v>
      </c>
      <c r="C116" s="1" t="s">
        <v>24</v>
      </c>
      <c r="D116" s="1" t="s">
        <v>69</v>
      </c>
      <c r="E116">
        <v>4</v>
      </c>
      <c r="F116" s="1" t="s">
        <v>134</v>
      </c>
      <c r="G116">
        <v>6</v>
      </c>
      <c r="H116" s="1" t="s">
        <v>18</v>
      </c>
      <c r="I116">
        <v>12</v>
      </c>
      <c r="J116">
        <v>3</v>
      </c>
      <c r="K116">
        <v>1</v>
      </c>
      <c r="L116">
        <v>0</v>
      </c>
      <c r="M116">
        <v>0</v>
      </c>
      <c r="N116">
        <v>0</v>
      </c>
      <c r="O116" s="1" t="s">
        <v>19</v>
      </c>
      <c r="P116" s="1" t="s">
        <v>135</v>
      </c>
      <c r="Q116">
        <v>1031</v>
      </c>
      <c r="R116" s="1" t="s">
        <v>63</v>
      </c>
      <c r="S116">
        <v>6</v>
      </c>
      <c r="T116">
        <v>1</v>
      </c>
      <c r="U116">
        <v>3</v>
      </c>
      <c r="V116">
        <v>45</v>
      </c>
      <c r="W116">
        <v>2</v>
      </c>
      <c r="X116">
        <v>2</v>
      </c>
      <c r="Y116" s="1" t="s">
        <v>5</v>
      </c>
      <c r="Z116">
        <v>2</v>
      </c>
      <c r="AA116">
        <v>4505</v>
      </c>
      <c r="AB116">
        <v>15000</v>
      </c>
      <c r="AC116" s="1" t="s">
        <v>19</v>
      </c>
      <c r="AD116">
        <v>15</v>
      </c>
      <c r="AE116">
        <v>3</v>
      </c>
      <c r="AF116">
        <v>3</v>
      </c>
      <c r="AG116">
        <v>80</v>
      </c>
      <c r="AH116">
        <v>1</v>
      </c>
      <c r="AI116">
        <v>3</v>
      </c>
      <c r="AJ116">
        <v>0</v>
      </c>
      <c r="AK116" s="1" t="s">
        <v>136</v>
      </c>
    </row>
    <row r="117" spans="1:37" x14ac:dyDescent="0.25">
      <c r="A117">
        <v>152</v>
      </c>
      <c r="B117">
        <v>37</v>
      </c>
      <c r="C117" s="1" t="s">
        <v>25</v>
      </c>
      <c r="D117" s="1" t="s">
        <v>71</v>
      </c>
      <c r="E117">
        <v>3</v>
      </c>
      <c r="F117" s="1" t="s">
        <v>134</v>
      </c>
      <c r="G117">
        <v>2</v>
      </c>
      <c r="H117" s="1" t="s">
        <v>18</v>
      </c>
      <c r="I117">
        <v>12</v>
      </c>
      <c r="J117">
        <v>3</v>
      </c>
      <c r="K117">
        <v>5</v>
      </c>
      <c r="L117">
        <v>3</v>
      </c>
      <c r="M117">
        <v>1</v>
      </c>
      <c r="N117">
        <v>3</v>
      </c>
      <c r="O117" s="1" t="s">
        <v>19</v>
      </c>
      <c r="P117" s="1" t="s">
        <v>135</v>
      </c>
      <c r="Q117">
        <v>1189</v>
      </c>
      <c r="R117" s="1" t="s">
        <v>64</v>
      </c>
      <c r="S117">
        <v>3</v>
      </c>
      <c r="T117">
        <v>1</v>
      </c>
      <c r="U117">
        <v>3</v>
      </c>
      <c r="V117">
        <v>87</v>
      </c>
      <c r="W117">
        <v>3</v>
      </c>
      <c r="X117">
        <v>3</v>
      </c>
      <c r="Y117" s="1" t="s">
        <v>4</v>
      </c>
      <c r="Z117">
        <v>4</v>
      </c>
      <c r="AA117">
        <v>7428</v>
      </c>
      <c r="AB117">
        <v>14506</v>
      </c>
      <c r="AC117" s="1" t="s">
        <v>19</v>
      </c>
      <c r="AD117">
        <v>12</v>
      </c>
      <c r="AE117">
        <v>3</v>
      </c>
      <c r="AF117">
        <v>1</v>
      </c>
      <c r="AG117">
        <v>80</v>
      </c>
      <c r="AH117">
        <v>0</v>
      </c>
      <c r="AI117">
        <v>3</v>
      </c>
      <c r="AJ117">
        <v>0</v>
      </c>
      <c r="AK117" s="1" t="s">
        <v>136</v>
      </c>
    </row>
    <row r="118" spans="1:37" x14ac:dyDescent="0.25">
      <c r="A118">
        <v>153</v>
      </c>
      <c r="B118">
        <v>34</v>
      </c>
      <c r="C118" s="1" t="s">
        <v>24</v>
      </c>
      <c r="D118" s="1" t="s">
        <v>71</v>
      </c>
      <c r="E118">
        <v>3</v>
      </c>
      <c r="F118" s="1" t="s">
        <v>139</v>
      </c>
      <c r="G118">
        <v>2</v>
      </c>
      <c r="H118" s="1" t="s">
        <v>18</v>
      </c>
      <c r="I118">
        <v>14</v>
      </c>
      <c r="J118">
        <v>6</v>
      </c>
      <c r="K118">
        <v>11</v>
      </c>
      <c r="L118">
        <v>10</v>
      </c>
      <c r="M118">
        <v>5</v>
      </c>
      <c r="N118">
        <v>8</v>
      </c>
      <c r="O118" s="1" t="s">
        <v>19</v>
      </c>
      <c r="P118" s="1" t="s">
        <v>135</v>
      </c>
      <c r="Q118">
        <v>1354</v>
      </c>
      <c r="R118" s="1" t="s">
        <v>63</v>
      </c>
      <c r="S118">
        <v>5</v>
      </c>
      <c r="T118">
        <v>1</v>
      </c>
      <c r="U118">
        <v>3</v>
      </c>
      <c r="V118">
        <v>45</v>
      </c>
      <c r="W118">
        <v>2</v>
      </c>
      <c r="X118">
        <v>3</v>
      </c>
      <c r="Y118" s="1" t="s">
        <v>9</v>
      </c>
      <c r="Z118">
        <v>1</v>
      </c>
      <c r="AA118">
        <v>11631</v>
      </c>
      <c r="AB118">
        <v>5615</v>
      </c>
      <c r="AC118" s="1" t="s">
        <v>19</v>
      </c>
      <c r="AD118">
        <v>12</v>
      </c>
      <c r="AE118">
        <v>3</v>
      </c>
      <c r="AF118">
        <v>4</v>
      </c>
      <c r="AG118">
        <v>80</v>
      </c>
      <c r="AH118">
        <v>0</v>
      </c>
      <c r="AI118">
        <v>3</v>
      </c>
      <c r="AJ118">
        <v>0</v>
      </c>
      <c r="AK118" s="1" t="s">
        <v>136</v>
      </c>
    </row>
    <row r="119" spans="1:37" x14ac:dyDescent="0.25">
      <c r="A119">
        <v>154</v>
      </c>
      <c r="B119">
        <v>36</v>
      </c>
      <c r="C119" s="1" t="s">
        <v>24</v>
      </c>
      <c r="D119" s="1" t="s">
        <v>70</v>
      </c>
      <c r="E119">
        <v>2</v>
      </c>
      <c r="F119" s="1" t="s">
        <v>143</v>
      </c>
      <c r="G119">
        <v>0</v>
      </c>
      <c r="H119" s="1" t="s">
        <v>18</v>
      </c>
      <c r="I119">
        <v>10</v>
      </c>
      <c r="J119">
        <v>6</v>
      </c>
      <c r="K119">
        <v>9</v>
      </c>
      <c r="L119">
        <v>7</v>
      </c>
      <c r="M119">
        <v>2</v>
      </c>
      <c r="N119">
        <v>8</v>
      </c>
      <c r="O119" s="1" t="s">
        <v>19</v>
      </c>
      <c r="P119" s="1" t="s">
        <v>137</v>
      </c>
      <c r="Q119">
        <v>1467</v>
      </c>
      <c r="R119" s="1" t="s">
        <v>64</v>
      </c>
      <c r="S119">
        <v>11</v>
      </c>
      <c r="T119">
        <v>1</v>
      </c>
      <c r="U119">
        <v>2</v>
      </c>
      <c r="V119">
        <v>92</v>
      </c>
      <c r="W119">
        <v>3</v>
      </c>
      <c r="X119">
        <v>3</v>
      </c>
      <c r="Y119" s="1" t="s">
        <v>4</v>
      </c>
      <c r="Z119">
        <v>4</v>
      </c>
      <c r="AA119">
        <v>9738</v>
      </c>
      <c r="AB119">
        <v>22952</v>
      </c>
      <c r="AC119" s="1" t="s">
        <v>19</v>
      </c>
      <c r="AD119">
        <v>14</v>
      </c>
      <c r="AE119">
        <v>3</v>
      </c>
      <c r="AF119">
        <v>3</v>
      </c>
      <c r="AG119">
        <v>80</v>
      </c>
      <c r="AH119">
        <v>1</v>
      </c>
      <c r="AI119">
        <v>3</v>
      </c>
      <c r="AJ119">
        <v>0</v>
      </c>
      <c r="AK119" s="1" t="s">
        <v>136</v>
      </c>
    </row>
    <row r="120" spans="1:37" x14ac:dyDescent="0.25">
      <c r="A120">
        <v>155</v>
      </c>
      <c r="B120">
        <v>36</v>
      </c>
      <c r="C120" s="1" t="s">
        <v>24</v>
      </c>
      <c r="D120" s="1" t="s">
        <v>69</v>
      </c>
      <c r="E120">
        <v>2</v>
      </c>
      <c r="F120" s="1" t="s">
        <v>134</v>
      </c>
      <c r="G120">
        <v>5</v>
      </c>
      <c r="H120" s="1" t="s">
        <v>18</v>
      </c>
      <c r="I120">
        <v>7</v>
      </c>
      <c r="J120">
        <v>2</v>
      </c>
      <c r="K120">
        <v>1</v>
      </c>
      <c r="L120">
        <v>0</v>
      </c>
      <c r="M120">
        <v>0</v>
      </c>
      <c r="N120">
        <v>0</v>
      </c>
      <c r="O120" s="1" t="s">
        <v>19</v>
      </c>
      <c r="P120" s="1" t="s">
        <v>135</v>
      </c>
      <c r="Q120">
        <v>922</v>
      </c>
      <c r="R120" s="1" t="s">
        <v>63</v>
      </c>
      <c r="S120">
        <v>3</v>
      </c>
      <c r="T120">
        <v>1</v>
      </c>
      <c r="U120">
        <v>1</v>
      </c>
      <c r="V120">
        <v>39</v>
      </c>
      <c r="W120">
        <v>3</v>
      </c>
      <c r="X120">
        <v>1</v>
      </c>
      <c r="Y120" s="1" t="s">
        <v>6</v>
      </c>
      <c r="Z120">
        <v>4</v>
      </c>
      <c r="AA120">
        <v>2835</v>
      </c>
      <c r="AB120">
        <v>2561</v>
      </c>
      <c r="AC120" s="1" t="s">
        <v>19</v>
      </c>
      <c r="AD120">
        <v>22</v>
      </c>
      <c r="AE120">
        <v>4</v>
      </c>
      <c r="AF120">
        <v>1</v>
      </c>
      <c r="AG120">
        <v>80</v>
      </c>
      <c r="AH120">
        <v>1</v>
      </c>
      <c r="AI120">
        <v>3</v>
      </c>
      <c r="AJ120">
        <v>0</v>
      </c>
      <c r="AK120" s="1" t="s">
        <v>136</v>
      </c>
    </row>
    <row r="121" spans="1:37" x14ac:dyDescent="0.25">
      <c r="A121">
        <v>158</v>
      </c>
      <c r="B121">
        <v>43</v>
      </c>
      <c r="C121" s="1" t="s">
        <v>25</v>
      </c>
      <c r="D121" s="1" t="s">
        <v>70</v>
      </c>
      <c r="E121">
        <v>2</v>
      </c>
      <c r="F121" s="1" t="s">
        <v>134</v>
      </c>
      <c r="G121">
        <v>1</v>
      </c>
      <c r="H121" s="1" t="s">
        <v>18</v>
      </c>
      <c r="I121">
        <v>25</v>
      </c>
      <c r="J121">
        <v>3</v>
      </c>
      <c r="K121">
        <v>25</v>
      </c>
      <c r="L121">
        <v>12</v>
      </c>
      <c r="M121">
        <v>4</v>
      </c>
      <c r="N121">
        <v>12</v>
      </c>
      <c r="O121" s="1" t="s">
        <v>19</v>
      </c>
      <c r="P121" s="1" t="s">
        <v>137</v>
      </c>
      <c r="Q121">
        <v>394</v>
      </c>
      <c r="R121" s="1" t="s">
        <v>64</v>
      </c>
      <c r="S121">
        <v>26</v>
      </c>
      <c r="T121">
        <v>1</v>
      </c>
      <c r="U121">
        <v>3</v>
      </c>
      <c r="V121">
        <v>92</v>
      </c>
      <c r="W121">
        <v>3</v>
      </c>
      <c r="X121">
        <v>4</v>
      </c>
      <c r="Y121" s="1" t="s">
        <v>9</v>
      </c>
      <c r="Z121">
        <v>4</v>
      </c>
      <c r="AA121">
        <v>16959</v>
      </c>
      <c r="AB121">
        <v>19494</v>
      </c>
      <c r="AC121" s="1" t="s">
        <v>18</v>
      </c>
      <c r="AD121">
        <v>12</v>
      </c>
      <c r="AE121">
        <v>3</v>
      </c>
      <c r="AF121">
        <v>4</v>
      </c>
      <c r="AG121">
        <v>80</v>
      </c>
      <c r="AH121">
        <v>2</v>
      </c>
      <c r="AI121">
        <v>4</v>
      </c>
      <c r="AJ121">
        <v>0</v>
      </c>
      <c r="AK121" s="1" t="s">
        <v>136</v>
      </c>
    </row>
    <row r="122" spans="1:37" x14ac:dyDescent="0.25">
      <c r="A122">
        <v>159</v>
      </c>
      <c r="B122">
        <v>30</v>
      </c>
      <c r="C122" s="1" t="s">
        <v>25</v>
      </c>
      <c r="D122" s="1" t="s">
        <v>69</v>
      </c>
      <c r="E122">
        <v>3</v>
      </c>
      <c r="F122" s="1" t="s">
        <v>134</v>
      </c>
      <c r="G122">
        <v>1</v>
      </c>
      <c r="H122" s="1" t="s">
        <v>18</v>
      </c>
      <c r="I122">
        <v>10</v>
      </c>
      <c r="J122">
        <v>2</v>
      </c>
      <c r="K122">
        <v>10</v>
      </c>
      <c r="L122">
        <v>7</v>
      </c>
      <c r="M122">
        <v>0</v>
      </c>
      <c r="N122">
        <v>9</v>
      </c>
      <c r="O122" s="1" t="s">
        <v>19</v>
      </c>
      <c r="P122" s="1" t="s">
        <v>137</v>
      </c>
      <c r="Q122">
        <v>1312</v>
      </c>
      <c r="R122" s="1" t="s">
        <v>63</v>
      </c>
      <c r="S122">
        <v>23</v>
      </c>
      <c r="T122">
        <v>1</v>
      </c>
      <c r="U122">
        <v>1</v>
      </c>
      <c r="V122">
        <v>96</v>
      </c>
      <c r="W122">
        <v>1</v>
      </c>
      <c r="X122">
        <v>1</v>
      </c>
      <c r="Y122" s="1" t="s">
        <v>5</v>
      </c>
      <c r="Z122">
        <v>3</v>
      </c>
      <c r="AA122">
        <v>2613</v>
      </c>
      <c r="AB122">
        <v>22310</v>
      </c>
      <c r="AC122" s="1" t="s">
        <v>19</v>
      </c>
      <c r="AD122">
        <v>25</v>
      </c>
      <c r="AE122">
        <v>4</v>
      </c>
      <c r="AF122">
        <v>3</v>
      </c>
      <c r="AG122">
        <v>80</v>
      </c>
      <c r="AH122">
        <v>3</v>
      </c>
      <c r="AI122">
        <v>2</v>
      </c>
      <c r="AJ122">
        <v>0</v>
      </c>
      <c r="AK122" s="1" t="s">
        <v>136</v>
      </c>
    </row>
    <row r="123" spans="1:37" x14ac:dyDescent="0.25">
      <c r="A123">
        <v>160</v>
      </c>
      <c r="B123">
        <v>33</v>
      </c>
      <c r="C123" s="1" t="s">
        <v>25</v>
      </c>
      <c r="D123" s="1" t="s">
        <v>70</v>
      </c>
      <c r="E123">
        <v>2</v>
      </c>
      <c r="F123" s="1" t="s">
        <v>142</v>
      </c>
      <c r="G123">
        <v>0</v>
      </c>
      <c r="H123" s="1" t="s">
        <v>18</v>
      </c>
      <c r="I123">
        <v>8</v>
      </c>
      <c r="J123">
        <v>2</v>
      </c>
      <c r="K123">
        <v>7</v>
      </c>
      <c r="L123">
        <v>7</v>
      </c>
      <c r="M123">
        <v>0</v>
      </c>
      <c r="N123">
        <v>7</v>
      </c>
      <c r="O123" s="1" t="s">
        <v>19</v>
      </c>
      <c r="P123" s="1" t="s">
        <v>141</v>
      </c>
      <c r="Q123">
        <v>750</v>
      </c>
      <c r="R123" s="1" t="s">
        <v>64</v>
      </c>
      <c r="S123">
        <v>22</v>
      </c>
      <c r="T123">
        <v>1</v>
      </c>
      <c r="U123">
        <v>3</v>
      </c>
      <c r="V123">
        <v>95</v>
      </c>
      <c r="W123">
        <v>3</v>
      </c>
      <c r="X123">
        <v>2</v>
      </c>
      <c r="Y123" s="1" t="s">
        <v>4</v>
      </c>
      <c r="Z123">
        <v>2</v>
      </c>
      <c r="AA123">
        <v>6146</v>
      </c>
      <c r="AB123">
        <v>15480</v>
      </c>
      <c r="AC123" s="1" t="s">
        <v>19</v>
      </c>
      <c r="AD123">
        <v>13</v>
      </c>
      <c r="AE123">
        <v>3</v>
      </c>
      <c r="AF123">
        <v>1</v>
      </c>
      <c r="AG123">
        <v>80</v>
      </c>
      <c r="AH123">
        <v>1</v>
      </c>
      <c r="AI123">
        <v>4</v>
      </c>
      <c r="AJ123">
        <v>0</v>
      </c>
      <c r="AK123" s="1" t="s">
        <v>136</v>
      </c>
    </row>
    <row r="124" spans="1:37" x14ac:dyDescent="0.25">
      <c r="A124">
        <v>161</v>
      </c>
      <c r="B124">
        <v>56</v>
      </c>
      <c r="C124" s="1" t="s">
        <v>24</v>
      </c>
      <c r="D124" s="1" t="s">
        <v>70</v>
      </c>
      <c r="E124">
        <v>4</v>
      </c>
      <c r="F124" s="1" t="s">
        <v>134</v>
      </c>
      <c r="G124">
        <v>9</v>
      </c>
      <c r="H124" s="1" t="s">
        <v>18</v>
      </c>
      <c r="I124">
        <v>7</v>
      </c>
      <c r="J124">
        <v>2</v>
      </c>
      <c r="K124">
        <v>5</v>
      </c>
      <c r="L124">
        <v>4</v>
      </c>
      <c r="M124">
        <v>4</v>
      </c>
      <c r="N124">
        <v>3</v>
      </c>
      <c r="O124" s="1" t="s">
        <v>18</v>
      </c>
      <c r="P124" s="1" t="s">
        <v>135</v>
      </c>
      <c r="Q124">
        <v>441</v>
      </c>
      <c r="R124" s="1" t="s">
        <v>63</v>
      </c>
      <c r="S124">
        <v>14</v>
      </c>
      <c r="T124">
        <v>1</v>
      </c>
      <c r="U124">
        <v>2</v>
      </c>
      <c r="V124">
        <v>72</v>
      </c>
      <c r="W124">
        <v>3</v>
      </c>
      <c r="X124">
        <v>1</v>
      </c>
      <c r="Y124" s="1" t="s">
        <v>5</v>
      </c>
      <c r="Z124">
        <v>2</v>
      </c>
      <c r="AA124">
        <v>4963</v>
      </c>
      <c r="AB124">
        <v>4510</v>
      </c>
      <c r="AC124" s="1" t="s">
        <v>18</v>
      </c>
      <c r="AD124">
        <v>18</v>
      </c>
      <c r="AE124">
        <v>3</v>
      </c>
      <c r="AF124">
        <v>1</v>
      </c>
      <c r="AG124">
        <v>80</v>
      </c>
      <c r="AH124">
        <v>3</v>
      </c>
      <c r="AI124">
        <v>3</v>
      </c>
      <c r="AJ124">
        <v>1</v>
      </c>
      <c r="AK124" s="1" t="s">
        <v>140</v>
      </c>
    </row>
    <row r="125" spans="1:37" x14ac:dyDescent="0.25">
      <c r="A125">
        <v>162</v>
      </c>
      <c r="B125">
        <v>51</v>
      </c>
      <c r="C125" s="1" t="s">
        <v>25</v>
      </c>
      <c r="D125" s="1" t="s">
        <v>71</v>
      </c>
      <c r="E125">
        <v>3</v>
      </c>
      <c r="F125" s="1" t="s">
        <v>134</v>
      </c>
      <c r="G125">
        <v>7</v>
      </c>
      <c r="H125" s="1" t="s">
        <v>18</v>
      </c>
      <c r="I125">
        <v>23</v>
      </c>
      <c r="J125">
        <v>5</v>
      </c>
      <c r="K125">
        <v>20</v>
      </c>
      <c r="L125">
        <v>18</v>
      </c>
      <c r="M125">
        <v>15</v>
      </c>
      <c r="N125">
        <v>15</v>
      </c>
      <c r="O125" s="1" t="s">
        <v>19</v>
      </c>
      <c r="P125" s="1" t="s">
        <v>135</v>
      </c>
      <c r="Q125">
        <v>684</v>
      </c>
      <c r="R125" s="1" t="s">
        <v>63</v>
      </c>
      <c r="S125">
        <v>6</v>
      </c>
      <c r="T125">
        <v>1</v>
      </c>
      <c r="U125">
        <v>1</v>
      </c>
      <c r="V125">
        <v>51</v>
      </c>
      <c r="W125">
        <v>3</v>
      </c>
      <c r="X125">
        <v>5</v>
      </c>
      <c r="Y125" s="1" t="s">
        <v>11</v>
      </c>
      <c r="Z125">
        <v>3</v>
      </c>
      <c r="AA125">
        <v>19537</v>
      </c>
      <c r="AB125">
        <v>6462</v>
      </c>
      <c r="AC125" s="1" t="s">
        <v>19</v>
      </c>
      <c r="AD125">
        <v>13</v>
      </c>
      <c r="AE125">
        <v>3</v>
      </c>
      <c r="AF125">
        <v>3</v>
      </c>
      <c r="AG125">
        <v>80</v>
      </c>
      <c r="AH125">
        <v>0</v>
      </c>
      <c r="AI125">
        <v>3</v>
      </c>
      <c r="AJ125">
        <v>0</v>
      </c>
      <c r="AK125" s="1" t="s">
        <v>140</v>
      </c>
    </row>
    <row r="126" spans="1:37" x14ac:dyDescent="0.25">
      <c r="A126">
        <v>163</v>
      </c>
      <c r="B126">
        <v>31</v>
      </c>
      <c r="C126" s="1" t="s">
        <v>25</v>
      </c>
      <c r="D126" s="1" t="s">
        <v>70</v>
      </c>
      <c r="E126">
        <v>4</v>
      </c>
      <c r="F126" s="1" t="s">
        <v>134</v>
      </c>
      <c r="G126">
        <v>4</v>
      </c>
      <c r="H126" s="1" t="s">
        <v>18</v>
      </c>
      <c r="I126">
        <v>12</v>
      </c>
      <c r="J126">
        <v>3</v>
      </c>
      <c r="K126">
        <v>7</v>
      </c>
      <c r="L126">
        <v>7</v>
      </c>
      <c r="M126">
        <v>7</v>
      </c>
      <c r="N126">
        <v>7</v>
      </c>
      <c r="O126" s="1" t="s">
        <v>18</v>
      </c>
      <c r="P126" s="1" t="s">
        <v>135</v>
      </c>
      <c r="Q126">
        <v>249</v>
      </c>
      <c r="R126" s="1" t="s">
        <v>64</v>
      </c>
      <c r="S126">
        <v>6</v>
      </c>
      <c r="T126">
        <v>1</v>
      </c>
      <c r="U126">
        <v>2</v>
      </c>
      <c r="V126">
        <v>76</v>
      </c>
      <c r="W126">
        <v>1</v>
      </c>
      <c r="X126">
        <v>2</v>
      </c>
      <c r="Y126" s="1" t="s">
        <v>4</v>
      </c>
      <c r="Z126">
        <v>3</v>
      </c>
      <c r="AA126">
        <v>6172</v>
      </c>
      <c r="AB126">
        <v>20739</v>
      </c>
      <c r="AC126" s="1" t="s">
        <v>18</v>
      </c>
      <c r="AD126">
        <v>18</v>
      </c>
      <c r="AE126">
        <v>3</v>
      </c>
      <c r="AF126">
        <v>2</v>
      </c>
      <c r="AG126">
        <v>80</v>
      </c>
      <c r="AH126">
        <v>0</v>
      </c>
      <c r="AI126">
        <v>2</v>
      </c>
      <c r="AJ126">
        <v>1</v>
      </c>
      <c r="AK126" s="1" t="s">
        <v>136</v>
      </c>
    </row>
    <row r="127" spans="1:37" x14ac:dyDescent="0.25">
      <c r="A127">
        <v>164</v>
      </c>
      <c r="B127">
        <v>26</v>
      </c>
      <c r="C127" s="1" t="s">
        <v>24</v>
      </c>
      <c r="D127" s="1" t="s">
        <v>70</v>
      </c>
      <c r="E127">
        <v>3</v>
      </c>
      <c r="F127" s="1" t="s">
        <v>138</v>
      </c>
      <c r="G127">
        <v>1</v>
      </c>
      <c r="H127" s="1" t="s">
        <v>18</v>
      </c>
      <c r="I127">
        <v>5</v>
      </c>
      <c r="J127">
        <v>3</v>
      </c>
      <c r="K127">
        <v>5</v>
      </c>
      <c r="L127">
        <v>4</v>
      </c>
      <c r="M127">
        <v>4</v>
      </c>
      <c r="N127">
        <v>3</v>
      </c>
      <c r="O127" s="1" t="s">
        <v>19</v>
      </c>
      <c r="P127" s="1" t="s">
        <v>135</v>
      </c>
      <c r="Q127">
        <v>841</v>
      </c>
      <c r="R127" s="1" t="s">
        <v>63</v>
      </c>
      <c r="S127">
        <v>6</v>
      </c>
      <c r="T127">
        <v>1</v>
      </c>
      <c r="U127">
        <v>3</v>
      </c>
      <c r="V127">
        <v>46</v>
      </c>
      <c r="W127">
        <v>2</v>
      </c>
      <c r="X127">
        <v>1</v>
      </c>
      <c r="Y127" s="1" t="s">
        <v>5</v>
      </c>
      <c r="Z127">
        <v>2</v>
      </c>
      <c r="AA127">
        <v>2368</v>
      </c>
      <c r="AB127">
        <v>23300</v>
      </c>
      <c r="AC127" s="1" t="s">
        <v>19</v>
      </c>
      <c r="AD127">
        <v>19</v>
      </c>
      <c r="AE127">
        <v>3</v>
      </c>
      <c r="AF127">
        <v>3</v>
      </c>
      <c r="AG127">
        <v>80</v>
      </c>
      <c r="AH127">
        <v>0</v>
      </c>
      <c r="AI127">
        <v>2</v>
      </c>
      <c r="AJ127">
        <v>0</v>
      </c>
      <c r="AK127" s="1" t="s">
        <v>136</v>
      </c>
    </row>
    <row r="128" spans="1:37" x14ac:dyDescent="0.25">
      <c r="A128">
        <v>165</v>
      </c>
      <c r="B128">
        <v>58</v>
      </c>
      <c r="C128" s="1" t="s">
        <v>24</v>
      </c>
      <c r="D128" s="1" t="s">
        <v>70</v>
      </c>
      <c r="E128">
        <v>4</v>
      </c>
      <c r="F128" s="1" t="s">
        <v>139</v>
      </c>
      <c r="G128">
        <v>1</v>
      </c>
      <c r="H128" s="1" t="s">
        <v>18</v>
      </c>
      <c r="I128">
        <v>40</v>
      </c>
      <c r="J128">
        <v>3</v>
      </c>
      <c r="K128">
        <v>40</v>
      </c>
      <c r="L128">
        <v>10</v>
      </c>
      <c r="M128">
        <v>15</v>
      </c>
      <c r="N128">
        <v>6</v>
      </c>
      <c r="O128" s="1" t="s">
        <v>18</v>
      </c>
      <c r="P128" s="1" t="s">
        <v>135</v>
      </c>
      <c r="Q128">
        <v>147</v>
      </c>
      <c r="R128" s="1" t="s">
        <v>63</v>
      </c>
      <c r="S128">
        <v>23</v>
      </c>
      <c r="T128">
        <v>1</v>
      </c>
      <c r="U128">
        <v>4</v>
      </c>
      <c r="V128">
        <v>94</v>
      </c>
      <c r="W128">
        <v>3</v>
      </c>
      <c r="X128">
        <v>3</v>
      </c>
      <c r="Y128" s="1" t="s">
        <v>8</v>
      </c>
      <c r="Z128">
        <v>4</v>
      </c>
      <c r="AA128">
        <v>10312</v>
      </c>
      <c r="AB128">
        <v>3465</v>
      </c>
      <c r="AC128" s="1" t="s">
        <v>19</v>
      </c>
      <c r="AD128">
        <v>12</v>
      </c>
      <c r="AE128">
        <v>3</v>
      </c>
      <c r="AF128">
        <v>4</v>
      </c>
      <c r="AG128">
        <v>80</v>
      </c>
      <c r="AH128">
        <v>1</v>
      </c>
      <c r="AI128">
        <v>2</v>
      </c>
      <c r="AJ128">
        <v>1</v>
      </c>
      <c r="AK128" s="1" t="s">
        <v>140</v>
      </c>
    </row>
    <row r="129" spans="1:37" x14ac:dyDescent="0.25">
      <c r="A129">
        <v>167</v>
      </c>
      <c r="B129">
        <v>19</v>
      </c>
      <c r="C129" s="1" t="s">
        <v>25</v>
      </c>
      <c r="D129" s="1" t="s">
        <v>71</v>
      </c>
      <c r="E129">
        <v>1</v>
      </c>
      <c r="F129" s="1" t="s">
        <v>142</v>
      </c>
      <c r="G129">
        <v>1</v>
      </c>
      <c r="H129" s="1" t="s">
        <v>18</v>
      </c>
      <c r="I129">
        <v>0</v>
      </c>
      <c r="J129">
        <v>2</v>
      </c>
      <c r="K129">
        <v>0</v>
      </c>
      <c r="L129">
        <v>0</v>
      </c>
      <c r="M129">
        <v>0</v>
      </c>
      <c r="N129">
        <v>0</v>
      </c>
      <c r="O129" s="1" t="s">
        <v>18</v>
      </c>
      <c r="P129" s="1" t="s">
        <v>135</v>
      </c>
      <c r="Q129">
        <v>528</v>
      </c>
      <c r="R129" s="1" t="s">
        <v>64</v>
      </c>
      <c r="S129">
        <v>22</v>
      </c>
      <c r="T129">
        <v>1</v>
      </c>
      <c r="U129">
        <v>4</v>
      </c>
      <c r="V129">
        <v>50</v>
      </c>
      <c r="W129">
        <v>3</v>
      </c>
      <c r="X129">
        <v>1</v>
      </c>
      <c r="Y129" s="1" t="s">
        <v>10</v>
      </c>
      <c r="Z129">
        <v>3</v>
      </c>
      <c r="AA129">
        <v>1675</v>
      </c>
      <c r="AB129">
        <v>26820</v>
      </c>
      <c r="AC129" s="1" t="s">
        <v>18</v>
      </c>
      <c r="AD129">
        <v>19</v>
      </c>
      <c r="AE129">
        <v>3</v>
      </c>
      <c r="AF129">
        <v>4</v>
      </c>
      <c r="AG129">
        <v>80</v>
      </c>
      <c r="AH129">
        <v>0</v>
      </c>
      <c r="AI129">
        <v>2</v>
      </c>
      <c r="AJ129">
        <v>1</v>
      </c>
      <c r="AK129" s="1" t="s">
        <v>136</v>
      </c>
    </row>
    <row r="130" spans="1:37" x14ac:dyDescent="0.25">
      <c r="A130">
        <v>169</v>
      </c>
      <c r="B130">
        <v>22</v>
      </c>
      <c r="C130" s="1" t="s">
        <v>25</v>
      </c>
      <c r="D130" s="1" t="s">
        <v>70</v>
      </c>
      <c r="E130">
        <v>1</v>
      </c>
      <c r="F130" s="1" t="s">
        <v>143</v>
      </c>
      <c r="G130">
        <v>0</v>
      </c>
      <c r="H130" s="1" t="s">
        <v>18</v>
      </c>
      <c r="I130">
        <v>3</v>
      </c>
      <c r="J130">
        <v>2</v>
      </c>
      <c r="K130">
        <v>2</v>
      </c>
      <c r="L130">
        <v>1</v>
      </c>
      <c r="M130">
        <v>2</v>
      </c>
      <c r="N130">
        <v>1</v>
      </c>
      <c r="O130" s="1" t="s">
        <v>19</v>
      </c>
      <c r="P130" s="1" t="s">
        <v>135</v>
      </c>
      <c r="Q130">
        <v>594</v>
      </c>
      <c r="R130" s="1" t="s">
        <v>63</v>
      </c>
      <c r="S130">
        <v>2</v>
      </c>
      <c r="T130">
        <v>1</v>
      </c>
      <c r="U130">
        <v>3</v>
      </c>
      <c r="V130">
        <v>100</v>
      </c>
      <c r="W130">
        <v>3</v>
      </c>
      <c r="X130">
        <v>1</v>
      </c>
      <c r="Y130" s="1" t="s">
        <v>6</v>
      </c>
      <c r="Z130">
        <v>4</v>
      </c>
      <c r="AA130">
        <v>2523</v>
      </c>
      <c r="AB130">
        <v>19299</v>
      </c>
      <c r="AC130" s="1" t="s">
        <v>19</v>
      </c>
      <c r="AD130">
        <v>14</v>
      </c>
      <c r="AE130">
        <v>3</v>
      </c>
      <c r="AF130">
        <v>3</v>
      </c>
      <c r="AG130">
        <v>80</v>
      </c>
      <c r="AH130">
        <v>1</v>
      </c>
      <c r="AI130">
        <v>3</v>
      </c>
      <c r="AJ130">
        <v>0</v>
      </c>
      <c r="AK130" s="1" t="s">
        <v>136</v>
      </c>
    </row>
    <row r="131" spans="1:37" x14ac:dyDescent="0.25">
      <c r="A131">
        <v>170</v>
      </c>
      <c r="B131">
        <v>49</v>
      </c>
      <c r="C131" s="1" t="s">
        <v>24</v>
      </c>
      <c r="D131" s="1" t="s">
        <v>70</v>
      </c>
      <c r="E131">
        <v>4</v>
      </c>
      <c r="F131" s="1" t="s">
        <v>139</v>
      </c>
      <c r="G131">
        <v>1</v>
      </c>
      <c r="H131" s="1" t="s">
        <v>18</v>
      </c>
      <c r="I131">
        <v>16</v>
      </c>
      <c r="J131">
        <v>2</v>
      </c>
      <c r="K131">
        <v>15</v>
      </c>
      <c r="L131">
        <v>11</v>
      </c>
      <c r="M131">
        <v>5</v>
      </c>
      <c r="N131">
        <v>11</v>
      </c>
      <c r="O131" s="1" t="s">
        <v>19</v>
      </c>
      <c r="P131" s="1" t="s">
        <v>135</v>
      </c>
      <c r="Q131">
        <v>470</v>
      </c>
      <c r="R131" s="1" t="s">
        <v>63</v>
      </c>
      <c r="S131">
        <v>20</v>
      </c>
      <c r="T131">
        <v>1</v>
      </c>
      <c r="U131">
        <v>3</v>
      </c>
      <c r="V131">
        <v>96</v>
      </c>
      <c r="W131">
        <v>3</v>
      </c>
      <c r="X131">
        <v>2</v>
      </c>
      <c r="Y131" s="1" t="s">
        <v>7</v>
      </c>
      <c r="Z131">
        <v>1</v>
      </c>
      <c r="AA131">
        <v>6567</v>
      </c>
      <c r="AB131">
        <v>5549</v>
      </c>
      <c r="AC131" s="1" t="s">
        <v>19</v>
      </c>
      <c r="AD131">
        <v>14</v>
      </c>
      <c r="AE131">
        <v>3</v>
      </c>
      <c r="AF131">
        <v>3</v>
      </c>
      <c r="AG131">
        <v>80</v>
      </c>
      <c r="AH131">
        <v>0</v>
      </c>
      <c r="AI131">
        <v>2</v>
      </c>
      <c r="AJ131">
        <v>0</v>
      </c>
      <c r="AK131" s="1" t="s">
        <v>136</v>
      </c>
    </row>
    <row r="132" spans="1:37" x14ac:dyDescent="0.25">
      <c r="A132">
        <v>171</v>
      </c>
      <c r="B132">
        <v>43</v>
      </c>
      <c r="C132" s="1" t="s">
        <v>24</v>
      </c>
      <c r="D132" s="1" t="s">
        <v>71</v>
      </c>
      <c r="E132">
        <v>3</v>
      </c>
      <c r="F132" s="1" t="s">
        <v>139</v>
      </c>
      <c r="G132">
        <v>4</v>
      </c>
      <c r="H132" s="1" t="s">
        <v>18</v>
      </c>
      <c r="I132">
        <v>18</v>
      </c>
      <c r="J132">
        <v>2</v>
      </c>
      <c r="K132">
        <v>3</v>
      </c>
      <c r="L132">
        <v>2</v>
      </c>
      <c r="M132">
        <v>1</v>
      </c>
      <c r="N132">
        <v>2</v>
      </c>
      <c r="O132" s="1" t="s">
        <v>19</v>
      </c>
      <c r="P132" s="1" t="s">
        <v>137</v>
      </c>
      <c r="Q132">
        <v>957</v>
      </c>
      <c r="R132" s="1" t="s">
        <v>63</v>
      </c>
      <c r="S132">
        <v>28</v>
      </c>
      <c r="T132">
        <v>1</v>
      </c>
      <c r="U132">
        <v>2</v>
      </c>
      <c r="V132">
        <v>72</v>
      </c>
      <c r="W132">
        <v>4</v>
      </c>
      <c r="X132">
        <v>1</v>
      </c>
      <c r="Y132" s="1" t="s">
        <v>5</v>
      </c>
      <c r="Z132">
        <v>3</v>
      </c>
      <c r="AA132">
        <v>4739</v>
      </c>
      <c r="AB132">
        <v>16090</v>
      </c>
      <c r="AC132" s="1" t="s">
        <v>19</v>
      </c>
      <c r="AD132">
        <v>12</v>
      </c>
      <c r="AE132">
        <v>3</v>
      </c>
      <c r="AF132">
        <v>4</v>
      </c>
      <c r="AG132">
        <v>80</v>
      </c>
      <c r="AH132">
        <v>0</v>
      </c>
      <c r="AI132">
        <v>3</v>
      </c>
      <c r="AJ132">
        <v>0</v>
      </c>
      <c r="AK132" s="1" t="s">
        <v>136</v>
      </c>
    </row>
    <row r="133" spans="1:37" x14ac:dyDescent="0.25">
      <c r="A133">
        <v>174</v>
      </c>
      <c r="B133">
        <v>50</v>
      </c>
      <c r="C133" s="1" t="s">
        <v>24</v>
      </c>
      <c r="D133" s="1" t="s">
        <v>71</v>
      </c>
      <c r="E133">
        <v>3</v>
      </c>
      <c r="F133" s="1" t="s">
        <v>142</v>
      </c>
      <c r="G133">
        <v>4</v>
      </c>
      <c r="H133" s="1" t="s">
        <v>18</v>
      </c>
      <c r="I133">
        <v>16</v>
      </c>
      <c r="J133">
        <v>3</v>
      </c>
      <c r="K133">
        <v>2</v>
      </c>
      <c r="L133">
        <v>2</v>
      </c>
      <c r="M133">
        <v>2</v>
      </c>
      <c r="N133">
        <v>1</v>
      </c>
      <c r="O133" s="1" t="s">
        <v>19</v>
      </c>
      <c r="P133" s="1" t="s">
        <v>137</v>
      </c>
      <c r="Q133">
        <v>809</v>
      </c>
      <c r="R133" s="1" t="s">
        <v>64</v>
      </c>
      <c r="S133">
        <v>12</v>
      </c>
      <c r="T133">
        <v>1</v>
      </c>
      <c r="U133">
        <v>3</v>
      </c>
      <c r="V133">
        <v>77</v>
      </c>
      <c r="W133">
        <v>3</v>
      </c>
      <c r="X133">
        <v>3</v>
      </c>
      <c r="Y133" s="1" t="s">
        <v>4</v>
      </c>
      <c r="Z133">
        <v>4</v>
      </c>
      <c r="AA133">
        <v>9208</v>
      </c>
      <c r="AB133">
        <v>6645</v>
      </c>
      <c r="AC133" s="1" t="s">
        <v>19</v>
      </c>
      <c r="AD133">
        <v>11</v>
      </c>
      <c r="AE133">
        <v>3</v>
      </c>
      <c r="AF133">
        <v>4</v>
      </c>
      <c r="AG133">
        <v>80</v>
      </c>
      <c r="AH133">
        <v>0</v>
      </c>
      <c r="AI133">
        <v>3</v>
      </c>
      <c r="AJ133">
        <v>0</v>
      </c>
      <c r="AK133" s="1" t="s">
        <v>140</v>
      </c>
    </row>
    <row r="134" spans="1:37" x14ac:dyDescent="0.25">
      <c r="A134">
        <v>175</v>
      </c>
      <c r="B134">
        <v>31</v>
      </c>
      <c r="C134" s="1" t="s">
        <v>24</v>
      </c>
      <c r="D134" s="1" t="s">
        <v>70</v>
      </c>
      <c r="E134">
        <v>3</v>
      </c>
      <c r="F134" s="1" t="s">
        <v>134</v>
      </c>
      <c r="G134">
        <v>3</v>
      </c>
      <c r="H134" s="1" t="s">
        <v>18</v>
      </c>
      <c r="I134">
        <v>4</v>
      </c>
      <c r="J134">
        <v>2</v>
      </c>
      <c r="K134">
        <v>2</v>
      </c>
      <c r="L134">
        <v>2</v>
      </c>
      <c r="M134">
        <v>2</v>
      </c>
      <c r="N134">
        <v>2</v>
      </c>
      <c r="O134" s="1" t="s">
        <v>18</v>
      </c>
      <c r="P134" s="1" t="s">
        <v>135</v>
      </c>
      <c r="Q134">
        <v>542</v>
      </c>
      <c r="R134" s="1" t="s">
        <v>64</v>
      </c>
      <c r="S134">
        <v>20</v>
      </c>
      <c r="T134">
        <v>1</v>
      </c>
      <c r="U134">
        <v>2</v>
      </c>
      <c r="V134">
        <v>71</v>
      </c>
      <c r="W134">
        <v>1</v>
      </c>
      <c r="X134">
        <v>2</v>
      </c>
      <c r="Y134" s="1" t="s">
        <v>4</v>
      </c>
      <c r="Z134">
        <v>3</v>
      </c>
      <c r="AA134">
        <v>4559</v>
      </c>
      <c r="AB134">
        <v>24788</v>
      </c>
      <c r="AC134" s="1" t="s">
        <v>18</v>
      </c>
      <c r="AD134">
        <v>11</v>
      </c>
      <c r="AE134">
        <v>3</v>
      </c>
      <c r="AF134">
        <v>3</v>
      </c>
      <c r="AG134">
        <v>80</v>
      </c>
      <c r="AH134">
        <v>1</v>
      </c>
      <c r="AI134">
        <v>3</v>
      </c>
      <c r="AJ134">
        <v>1</v>
      </c>
      <c r="AK134" s="1" t="s">
        <v>136</v>
      </c>
    </row>
    <row r="135" spans="1:37" x14ac:dyDescent="0.25">
      <c r="A135">
        <v>176</v>
      </c>
      <c r="B135">
        <v>41</v>
      </c>
      <c r="C135" s="1" t="s">
        <v>25</v>
      </c>
      <c r="D135" s="1" t="s">
        <v>69</v>
      </c>
      <c r="E135">
        <v>1</v>
      </c>
      <c r="F135" s="1" t="s">
        <v>134</v>
      </c>
      <c r="G135">
        <v>3</v>
      </c>
      <c r="H135" s="1" t="s">
        <v>18</v>
      </c>
      <c r="I135">
        <v>12</v>
      </c>
      <c r="J135">
        <v>2</v>
      </c>
      <c r="K135">
        <v>9</v>
      </c>
      <c r="L135">
        <v>7</v>
      </c>
      <c r="M135">
        <v>0</v>
      </c>
      <c r="N135">
        <v>7</v>
      </c>
      <c r="O135" s="1" t="s">
        <v>19</v>
      </c>
      <c r="P135" s="1" t="s">
        <v>135</v>
      </c>
      <c r="Q135">
        <v>802</v>
      </c>
      <c r="R135" s="1" t="s">
        <v>64</v>
      </c>
      <c r="S135">
        <v>9</v>
      </c>
      <c r="T135">
        <v>1</v>
      </c>
      <c r="U135">
        <v>3</v>
      </c>
      <c r="V135">
        <v>96</v>
      </c>
      <c r="W135">
        <v>3</v>
      </c>
      <c r="X135">
        <v>3</v>
      </c>
      <c r="Y135" s="1" t="s">
        <v>4</v>
      </c>
      <c r="Z135">
        <v>3</v>
      </c>
      <c r="AA135">
        <v>8189</v>
      </c>
      <c r="AB135">
        <v>21196</v>
      </c>
      <c r="AC135" s="1" t="s">
        <v>18</v>
      </c>
      <c r="AD135">
        <v>13</v>
      </c>
      <c r="AE135">
        <v>3</v>
      </c>
      <c r="AF135">
        <v>3</v>
      </c>
      <c r="AG135">
        <v>80</v>
      </c>
      <c r="AH135">
        <v>1</v>
      </c>
      <c r="AI135">
        <v>3</v>
      </c>
      <c r="AJ135">
        <v>0</v>
      </c>
      <c r="AK135" s="1" t="s">
        <v>136</v>
      </c>
    </row>
    <row r="136" spans="1:37" x14ac:dyDescent="0.25">
      <c r="A136">
        <v>177</v>
      </c>
      <c r="B136">
        <v>26</v>
      </c>
      <c r="C136" s="1" t="s">
        <v>24</v>
      </c>
      <c r="D136" s="1" t="s">
        <v>70</v>
      </c>
      <c r="E136">
        <v>1</v>
      </c>
      <c r="F136" s="1" t="s">
        <v>134</v>
      </c>
      <c r="G136">
        <v>1</v>
      </c>
      <c r="H136" s="1" t="s">
        <v>18</v>
      </c>
      <c r="I136">
        <v>8</v>
      </c>
      <c r="J136">
        <v>3</v>
      </c>
      <c r="K136">
        <v>8</v>
      </c>
      <c r="L136">
        <v>7</v>
      </c>
      <c r="M136">
        <v>5</v>
      </c>
      <c r="N136">
        <v>7</v>
      </c>
      <c r="O136" s="1" t="s">
        <v>19</v>
      </c>
      <c r="P136" s="1" t="s">
        <v>135</v>
      </c>
      <c r="Q136">
        <v>1355</v>
      </c>
      <c r="R136" s="1" t="s">
        <v>12</v>
      </c>
      <c r="S136">
        <v>25</v>
      </c>
      <c r="T136">
        <v>1</v>
      </c>
      <c r="U136">
        <v>3</v>
      </c>
      <c r="V136">
        <v>61</v>
      </c>
      <c r="W136">
        <v>3</v>
      </c>
      <c r="X136">
        <v>1</v>
      </c>
      <c r="Y136" s="1" t="s">
        <v>12</v>
      </c>
      <c r="Z136">
        <v>3</v>
      </c>
      <c r="AA136">
        <v>2942</v>
      </c>
      <c r="AB136">
        <v>8916</v>
      </c>
      <c r="AC136" s="1" t="s">
        <v>19</v>
      </c>
      <c r="AD136">
        <v>23</v>
      </c>
      <c r="AE136">
        <v>4</v>
      </c>
      <c r="AF136">
        <v>4</v>
      </c>
      <c r="AG136">
        <v>80</v>
      </c>
      <c r="AH136">
        <v>1</v>
      </c>
      <c r="AI136">
        <v>3</v>
      </c>
      <c r="AJ136">
        <v>0</v>
      </c>
      <c r="AK136" s="1" t="s">
        <v>136</v>
      </c>
    </row>
    <row r="137" spans="1:37" x14ac:dyDescent="0.25">
      <c r="A137">
        <v>178</v>
      </c>
      <c r="B137">
        <v>36</v>
      </c>
      <c r="C137" s="1" t="s">
        <v>25</v>
      </c>
      <c r="D137" s="1" t="s">
        <v>69</v>
      </c>
      <c r="E137">
        <v>2</v>
      </c>
      <c r="F137" s="1" t="s">
        <v>139</v>
      </c>
      <c r="G137">
        <v>6</v>
      </c>
      <c r="H137" s="1" t="s">
        <v>18</v>
      </c>
      <c r="I137">
        <v>7</v>
      </c>
      <c r="J137">
        <v>0</v>
      </c>
      <c r="K137">
        <v>3</v>
      </c>
      <c r="L137">
        <v>2</v>
      </c>
      <c r="M137">
        <v>0</v>
      </c>
      <c r="N137">
        <v>1</v>
      </c>
      <c r="O137" s="1" t="s">
        <v>19</v>
      </c>
      <c r="P137" s="1" t="s">
        <v>135</v>
      </c>
      <c r="Q137">
        <v>216</v>
      </c>
      <c r="R137" s="1" t="s">
        <v>63</v>
      </c>
      <c r="S137">
        <v>6</v>
      </c>
      <c r="T137">
        <v>1</v>
      </c>
      <c r="U137">
        <v>2</v>
      </c>
      <c r="V137">
        <v>84</v>
      </c>
      <c r="W137">
        <v>3</v>
      </c>
      <c r="X137">
        <v>2</v>
      </c>
      <c r="Y137" s="1" t="s">
        <v>7</v>
      </c>
      <c r="Z137">
        <v>2</v>
      </c>
      <c r="AA137">
        <v>4941</v>
      </c>
      <c r="AB137">
        <v>2819</v>
      </c>
      <c r="AC137" s="1" t="s">
        <v>19</v>
      </c>
      <c r="AD137">
        <v>20</v>
      </c>
      <c r="AE137">
        <v>4</v>
      </c>
      <c r="AF137">
        <v>4</v>
      </c>
      <c r="AG137">
        <v>80</v>
      </c>
      <c r="AH137">
        <v>2</v>
      </c>
      <c r="AI137">
        <v>3</v>
      </c>
      <c r="AJ137">
        <v>0</v>
      </c>
      <c r="AK137" s="1" t="s">
        <v>136</v>
      </c>
    </row>
    <row r="138" spans="1:37" x14ac:dyDescent="0.25">
      <c r="A138">
        <v>179</v>
      </c>
      <c r="B138">
        <v>51</v>
      </c>
      <c r="C138" s="1" t="s">
        <v>25</v>
      </c>
      <c r="D138" s="1" t="s">
        <v>71</v>
      </c>
      <c r="E138">
        <v>4</v>
      </c>
      <c r="F138" s="1" t="s">
        <v>134</v>
      </c>
      <c r="G138">
        <v>2</v>
      </c>
      <c r="H138" s="1" t="s">
        <v>18</v>
      </c>
      <c r="I138">
        <v>18</v>
      </c>
      <c r="J138">
        <v>2</v>
      </c>
      <c r="K138">
        <v>4</v>
      </c>
      <c r="L138">
        <v>2</v>
      </c>
      <c r="M138">
        <v>0</v>
      </c>
      <c r="N138">
        <v>3</v>
      </c>
      <c r="O138" s="1" t="s">
        <v>18</v>
      </c>
      <c r="P138" s="1" t="s">
        <v>137</v>
      </c>
      <c r="Q138">
        <v>1150</v>
      </c>
      <c r="R138" s="1" t="s">
        <v>63</v>
      </c>
      <c r="S138">
        <v>8</v>
      </c>
      <c r="T138">
        <v>1</v>
      </c>
      <c r="U138">
        <v>1</v>
      </c>
      <c r="V138">
        <v>53</v>
      </c>
      <c r="W138">
        <v>1</v>
      </c>
      <c r="X138">
        <v>3</v>
      </c>
      <c r="Y138" s="1" t="s">
        <v>7</v>
      </c>
      <c r="Z138">
        <v>4</v>
      </c>
      <c r="AA138">
        <v>10650</v>
      </c>
      <c r="AB138">
        <v>25150</v>
      </c>
      <c r="AC138" s="1" t="s">
        <v>19</v>
      </c>
      <c r="AD138">
        <v>15</v>
      </c>
      <c r="AE138">
        <v>3</v>
      </c>
      <c r="AF138">
        <v>4</v>
      </c>
      <c r="AG138">
        <v>80</v>
      </c>
      <c r="AH138">
        <v>0</v>
      </c>
      <c r="AI138">
        <v>3</v>
      </c>
      <c r="AJ138">
        <v>1</v>
      </c>
      <c r="AK138" s="1" t="s">
        <v>140</v>
      </c>
    </row>
    <row r="139" spans="1:37" x14ac:dyDescent="0.25">
      <c r="A139">
        <v>182</v>
      </c>
      <c r="B139">
        <v>39</v>
      </c>
      <c r="C139" s="1" t="s">
        <v>24</v>
      </c>
      <c r="D139" s="1" t="s">
        <v>70</v>
      </c>
      <c r="E139">
        <v>4</v>
      </c>
      <c r="F139" s="1" t="s">
        <v>134</v>
      </c>
      <c r="G139">
        <v>4</v>
      </c>
      <c r="H139" s="1" t="s">
        <v>18</v>
      </c>
      <c r="I139">
        <v>17</v>
      </c>
      <c r="J139">
        <v>1</v>
      </c>
      <c r="K139">
        <v>15</v>
      </c>
      <c r="L139">
        <v>11</v>
      </c>
      <c r="M139">
        <v>5</v>
      </c>
      <c r="N139">
        <v>9</v>
      </c>
      <c r="O139" s="1" t="s">
        <v>19</v>
      </c>
      <c r="P139" s="1" t="s">
        <v>135</v>
      </c>
      <c r="Q139">
        <v>1329</v>
      </c>
      <c r="R139" s="1" t="s">
        <v>64</v>
      </c>
      <c r="S139">
        <v>4</v>
      </c>
      <c r="T139">
        <v>1</v>
      </c>
      <c r="U139">
        <v>4</v>
      </c>
      <c r="V139">
        <v>47</v>
      </c>
      <c r="W139">
        <v>2</v>
      </c>
      <c r="X139">
        <v>2</v>
      </c>
      <c r="Y139" s="1" t="s">
        <v>4</v>
      </c>
      <c r="Z139">
        <v>3</v>
      </c>
      <c r="AA139">
        <v>5902</v>
      </c>
      <c r="AB139">
        <v>14590</v>
      </c>
      <c r="AC139" s="1" t="s">
        <v>19</v>
      </c>
      <c r="AD139">
        <v>14</v>
      </c>
      <c r="AE139">
        <v>3</v>
      </c>
      <c r="AF139">
        <v>3</v>
      </c>
      <c r="AG139">
        <v>80</v>
      </c>
      <c r="AH139">
        <v>1</v>
      </c>
      <c r="AI139">
        <v>4</v>
      </c>
      <c r="AJ139">
        <v>0</v>
      </c>
      <c r="AK139" s="1" t="s">
        <v>136</v>
      </c>
    </row>
    <row r="140" spans="1:37" x14ac:dyDescent="0.25">
      <c r="A140">
        <v>183</v>
      </c>
      <c r="B140">
        <v>25</v>
      </c>
      <c r="C140" s="1" t="s">
        <v>25</v>
      </c>
      <c r="D140" s="1" t="s">
        <v>70</v>
      </c>
      <c r="E140">
        <v>3</v>
      </c>
      <c r="F140" s="1" t="s">
        <v>134</v>
      </c>
      <c r="G140">
        <v>2</v>
      </c>
      <c r="H140" s="1" t="s">
        <v>18</v>
      </c>
      <c r="I140">
        <v>6</v>
      </c>
      <c r="J140">
        <v>3</v>
      </c>
      <c r="K140">
        <v>2</v>
      </c>
      <c r="L140">
        <v>2</v>
      </c>
      <c r="M140">
        <v>2</v>
      </c>
      <c r="N140">
        <v>2</v>
      </c>
      <c r="O140" s="1" t="s">
        <v>19</v>
      </c>
      <c r="P140" s="1" t="s">
        <v>135</v>
      </c>
      <c r="Q140">
        <v>959</v>
      </c>
      <c r="R140" s="1" t="s">
        <v>64</v>
      </c>
      <c r="S140">
        <v>28</v>
      </c>
      <c r="T140">
        <v>1</v>
      </c>
      <c r="U140">
        <v>1</v>
      </c>
      <c r="V140">
        <v>41</v>
      </c>
      <c r="W140">
        <v>2</v>
      </c>
      <c r="X140">
        <v>2</v>
      </c>
      <c r="Y140" s="1" t="s">
        <v>4</v>
      </c>
      <c r="Z140">
        <v>3</v>
      </c>
      <c r="AA140">
        <v>8639</v>
      </c>
      <c r="AB140">
        <v>24835</v>
      </c>
      <c r="AC140" s="1" t="s">
        <v>19</v>
      </c>
      <c r="AD140">
        <v>18</v>
      </c>
      <c r="AE140">
        <v>3</v>
      </c>
      <c r="AF140">
        <v>4</v>
      </c>
      <c r="AG140">
        <v>80</v>
      </c>
      <c r="AH140">
        <v>0</v>
      </c>
      <c r="AI140">
        <v>3</v>
      </c>
      <c r="AJ140">
        <v>0</v>
      </c>
      <c r="AK140" s="1" t="s">
        <v>136</v>
      </c>
    </row>
    <row r="141" spans="1:37" x14ac:dyDescent="0.25">
      <c r="A141">
        <v>184</v>
      </c>
      <c r="B141">
        <v>30</v>
      </c>
      <c r="C141" s="1" t="s">
        <v>25</v>
      </c>
      <c r="D141" s="1" t="s">
        <v>70</v>
      </c>
      <c r="E141">
        <v>3</v>
      </c>
      <c r="F141" s="1" t="s">
        <v>12</v>
      </c>
      <c r="G141">
        <v>0</v>
      </c>
      <c r="H141" s="1" t="s">
        <v>18</v>
      </c>
      <c r="I141">
        <v>12</v>
      </c>
      <c r="J141">
        <v>2</v>
      </c>
      <c r="K141">
        <v>11</v>
      </c>
      <c r="L141">
        <v>9</v>
      </c>
      <c r="M141">
        <v>4</v>
      </c>
      <c r="N141">
        <v>7</v>
      </c>
      <c r="O141" s="1" t="s">
        <v>19</v>
      </c>
      <c r="P141" s="1" t="s">
        <v>135</v>
      </c>
      <c r="Q141">
        <v>1240</v>
      </c>
      <c r="R141" s="1" t="s">
        <v>12</v>
      </c>
      <c r="S141">
        <v>9</v>
      </c>
      <c r="T141">
        <v>1</v>
      </c>
      <c r="U141">
        <v>3</v>
      </c>
      <c r="V141">
        <v>48</v>
      </c>
      <c r="W141">
        <v>3</v>
      </c>
      <c r="X141">
        <v>2</v>
      </c>
      <c r="Y141" s="1" t="s">
        <v>12</v>
      </c>
      <c r="Z141">
        <v>4</v>
      </c>
      <c r="AA141">
        <v>6347</v>
      </c>
      <c r="AB141">
        <v>13982</v>
      </c>
      <c r="AC141" s="1" t="s">
        <v>18</v>
      </c>
      <c r="AD141">
        <v>19</v>
      </c>
      <c r="AE141">
        <v>3</v>
      </c>
      <c r="AF141">
        <v>4</v>
      </c>
      <c r="AG141">
        <v>80</v>
      </c>
      <c r="AH141">
        <v>0</v>
      </c>
      <c r="AI141">
        <v>1</v>
      </c>
      <c r="AJ141">
        <v>0</v>
      </c>
      <c r="AK141" s="1" t="s">
        <v>136</v>
      </c>
    </row>
    <row r="142" spans="1:37" x14ac:dyDescent="0.25">
      <c r="A142">
        <v>190</v>
      </c>
      <c r="B142">
        <v>32</v>
      </c>
      <c r="C142" s="1" t="s">
        <v>24</v>
      </c>
      <c r="D142" s="1" t="s">
        <v>71</v>
      </c>
      <c r="E142">
        <v>3</v>
      </c>
      <c r="F142" s="1" t="s">
        <v>139</v>
      </c>
      <c r="G142">
        <v>7</v>
      </c>
      <c r="H142" s="1" t="s">
        <v>18</v>
      </c>
      <c r="I142">
        <v>10</v>
      </c>
      <c r="J142">
        <v>2</v>
      </c>
      <c r="K142">
        <v>5</v>
      </c>
      <c r="L142">
        <v>4</v>
      </c>
      <c r="M142">
        <v>0</v>
      </c>
      <c r="N142">
        <v>4</v>
      </c>
      <c r="O142" s="1" t="s">
        <v>18</v>
      </c>
      <c r="P142" s="1" t="s">
        <v>135</v>
      </c>
      <c r="Q142">
        <v>1033</v>
      </c>
      <c r="R142" s="1" t="s">
        <v>63</v>
      </c>
      <c r="S142">
        <v>9</v>
      </c>
      <c r="T142">
        <v>1</v>
      </c>
      <c r="U142">
        <v>1</v>
      </c>
      <c r="V142">
        <v>41</v>
      </c>
      <c r="W142">
        <v>3</v>
      </c>
      <c r="X142">
        <v>1</v>
      </c>
      <c r="Y142" s="1" t="s">
        <v>6</v>
      </c>
      <c r="Z142">
        <v>1</v>
      </c>
      <c r="AA142">
        <v>4200</v>
      </c>
      <c r="AB142">
        <v>10224</v>
      </c>
      <c r="AC142" s="1" t="s">
        <v>19</v>
      </c>
      <c r="AD142">
        <v>22</v>
      </c>
      <c r="AE142">
        <v>4</v>
      </c>
      <c r="AF142">
        <v>1</v>
      </c>
      <c r="AG142">
        <v>80</v>
      </c>
      <c r="AH142">
        <v>0</v>
      </c>
      <c r="AI142">
        <v>4</v>
      </c>
      <c r="AJ142">
        <v>1</v>
      </c>
      <c r="AK142" s="1" t="s">
        <v>136</v>
      </c>
    </row>
    <row r="143" spans="1:37" x14ac:dyDescent="0.25">
      <c r="A143">
        <v>192</v>
      </c>
      <c r="B143">
        <v>45</v>
      </c>
      <c r="C143" s="1" t="s">
        <v>25</v>
      </c>
      <c r="D143" s="1" t="s">
        <v>71</v>
      </c>
      <c r="E143">
        <v>3</v>
      </c>
      <c r="F143" s="1" t="s">
        <v>139</v>
      </c>
      <c r="G143">
        <v>5</v>
      </c>
      <c r="H143" s="1" t="s">
        <v>18</v>
      </c>
      <c r="I143">
        <v>9</v>
      </c>
      <c r="J143">
        <v>2</v>
      </c>
      <c r="K143">
        <v>6</v>
      </c>
      <c r="L143">
        <v>5</v>
      </c>
      <c r="M143">
        <v>0</v>
      </c>
      <c r="N143">
        <v>3</v>
      </c>
      <c r="O143" s="1" t="s">
        <v>19</v>
      </c>
      <c r="P143" s="1" t="s">
        <v>135</v>
      </c>
      <c r="Q143">
        <v>1316</v>
      </c>
      <c r="R143" s="1" t="s">
        <v>63</v>
      </c>
      <c r="S143">
        <v>29</v>
      </c>
      <c r="T143">
        <v>1</v>
      </c>
      <c r="U143">
        <v>3</v>
      </c>
      <c r="V143">
        <v>83</v>
      </c>
      <c r="W143">
        <v>3</v>
      </c>
      <c r="X143">
        <v>1</v>
      </c>
      <c r="Y143" s="1" t="s">
        <v>5</v>
      </c>
      <c r="Z143">
        <v>4</v>
      </c>
      <c r="AA143">
        <v>3452</v>
      </c>
      <c r="AB143">
        <v>9752</v>
      </c>
      <c r="AC143" s="1" t="s">
        <v>19</v>
      </c>
      <c r="AD143">
        <v>13</v>
      </c>
      <c r="AE143">
        <v>3</v>
      </c>
      <c r="AF143">
        <v>2</v>
      </c>
      <c r="AG143">
        <v>80</v>
      </c>
      <c r="AH143">
        <v>0</v>
      </c>
      <c r="AI143">
        <v>2</v>
      </c>
      <c r="AJ143">
        <v>0</v>
      </c>
      <c r="AK143" s="1" t="s">
        <v>136</v>
      </c>
    </row>
    <row r="144" spans="1:37" x14ac:dyDescent="0.25">
      <c r="A144">
        <v>193</v>
      </c>
      <c r="B144">
        <v>38</v>
      </c>
      <c r="C144" s="1" t="s">
        <v>24</v>
      </c>
      <c r="D144" s="1" t="s">
        <v>71</v>
      </c>
      <c r="E144">
        <v>5</v>
      </c>
      <c r="F144" s="1" t="s">
        <v>143</v>
      </c>
      <c r="G144">
        <v>3</v>
      </c>
      <c r="H144" s="1" t="s">
        <v>18</v>
      </c>
      <c r="I144">
        <v>19</v>
      </c>
      <c r="J144">
        <v>2</v>
      </c>
      <c r="K144">
        <v>3</v>
      </c>
      <c r="L144">
        <v>2</v>
      </c>
      <c r="M144">
        <v>2</v>
      </c>
      <c r="N144">
        <v>2</v>
      </c>
      <c r="O144" s="1" t="s">
        <v>19</v>
      </c>
      <c r="P144" s="1" t="s">
        <v>135</v>
      </c>
      <c r="Q144">
        <v>364</v>
      </c>
      <c r="R144" s="1" t="s">
        <v>63</v>
      </c>
      <c r="S144">
        <v>3</v>
      </c>
      <c r="T144">
        <v>1</v>
      </c>
      <c r="U144">
        <v>4</v>
      </c>
      <c r="V144">
        <v>32</v>
      </c>
      <c r="W144">
        <v>3</v>
      </c>
      <c r="X144">
        <v>2</v>
      </c>
      <c r="Y144" s="1" t="s">
        <v>5</v>
      </c>
      <c r="Z144">
        <v>3</v>
      </c>
      <c r="AA144">
        <v>4317</v>
      </c>
      <c r="AB144">
        <v>2302</v>
      </c>
      <c r="AC144" s="1" t="s">
        <v>18</v>
      </c>
      <c r="AD144">
        <v>20</v>
      </c>
      <c r="AE144">
        <v>4</v>
      </c>
      <c r="AF144">
        <v>2</v>
      </c>
      <c r="AG144">
        <v>80</v>
      </c>
      <c r="AH144">
        <v>0</v>
      </c>
      <c r="AI144">
        <v>3</v>
      </c>
      <c r="AJ144">
        <v>0</v>
      </c>
      <c r="AK144" s="1" t="s">
        <v>136</v>
      </c>
    </row>
    <row r="145" spans="1:37" x14ac:dyDescent="0.25">
      <c r="A145">
        <v>194</v>
      </c>
      <c r="B145">
        <v>30</v>
      </c>
      <c r="C145" s="1" t="s">
        <v>24</v>
      </c>
      <c r="D145" s="1" t="s">
        <v>71</v>
      </c>
      <c r="E145">
        <v>3</v>
      </c>
      <c r="F145" s="1" t="s">
        <v>134</v>
      </c>
      <c r="G145">
        <v>1</v>
      </c>
      <c r="H145" s="1" t="s">
        <v>18</v>
      </c>
      <c r="I145">
        <v>5</v>
      </c>
      <c r="J145">
        <v>4</v>
      </c>
      <c r="K145">
        <v>5</v>
      </c>
      <c r="L145">
        <v>4</v>
      </c>
      <c r="M145">
        <v>0</v>
      </c>
      <c r="N145">
        <v>4</v>
      </c>
      <c r="O145" s="1" t="s">
        <v>19</v>
      </c>
      <c r="P145" s="1" t="s">
        <v>135</v>
      </c>
      <c r="Q145">
        <v>438</v>
      </c>
      <c r="R145" s="1" t="s">
        <v>63</v>
      </c>
      <c r="S145">
        <v>18</v>
      </c>
      <c r="T145">
        <v>1</v>
      </c>
      <c r="U145">
        <v>1</v>
      </c>
      <c r="V145">
        <v>75</v>
      </c>
      <c r="W145">
        <v>3</v>
      </c>
      <c r="X145">
        <v>1</v>
      </c>
      <c r="Y145" s="1" t="s">
        <v>5</v>
      </c>
      <c r="Z145">
        <v>3</v>
      </c>
      <c r="AA145">
        <v>2632</v>
      </c>
      <c r="AB145">
        <v>23910</v>
      </c>
      <c r="AC145" s="1" t="s">
        <v>19</v>
      </c>
      <c r="AD145">
        <v>14</v>
      </c>
      <c r="AE145">
        <v>3</v>
      </c>
      <c r="AF145">
        <v>3</v>
      </c>
      <c r="AG145">
        <v>80</v>
      </c>
      <c r="AH145">
        <v>0</v>
      </c>
      <c r="AI145">
        <v>2</v>
      </c>
      <c r="AJ145">
        <v>0</v>
      </c>
      <c r="AK145" s="1" t="s">
        <v>136</v>
      </c>
    </row>
    <row r="146" spans="1:37" x14ac:dyDescent="0.25">
      <c r="A146">
        <v>195</v>
      </c>
      <c r="B146">
        <v>32</v>
      </c>
      <c r="C146" s="1" t="s">
        <v>25</v>
      </c>
      <c r="D146" s="1" t="s">
        <v>69</v>
      </c>
      <c r="E146">
        <v>2</v>
      </c>
      <c r="F146" s="1" t="s">
        <v>139</v>
      </c>
      <c r="G146">
        <v>0</v>
      </c>
      <c r="H146" s="1" t="s">
        <v>18</v>
      </c>
      <c r="I146">
        <v>9</v>
      </c>
      <c r="J146">
        <v>2</v>
      </c>
      <c r="K146">
        <v>8</v>
      </c>
      <c r="L146">
        <v>7</v>
      </c>
      <c r="M146">
        <v>0</v>
      </c>
      <c r="N146">
        <v>7</v>
      </c>
      <c r="O146" s="1" t="s">
        <v>19</v>
      </c>
      <c r="P146" s="1" t="s">
        <v>137</v>
      </c>
      <c r="Q146">
        <v>689</v>
      </c>
      <c r="R146" s="1" t="s">
        <v>64</v>
      </c>
      <c r="S146">
        <v>9</v>
      </c>
      <c r="T146">
        <v>1</v>
      </c>
      <c r="U146">
        <v>4</v>
      </c>
      <c r="V146">
        <v>35</v>
      </c>
      <c r="W146">
        <v>1</v>
      </c>
      <c r="X146">
        <v>2</v>
      </c>
      <c r="Y146" s="1" t="s">
        <v>4</v>
      </c>
      <c r="Z146">
        <v>4</v>
      </c>
      <c r="AA146">
        <v>4668</v>
      </c>
      <c r="AB146">
        <v>22812</v>
      </c>
      <c r="AC146" s="1" t="s">
        <v>19</v>
      </c>
      <c r="AD146">
        <v>17</v>
      </c>
      <c r="AE146">
        <v>3</v>
      </c>
      <c r="AF146">
        <v>4</v>
      </c>
      <c r="AG146">
        <v>80</v>
      </c>
      <c r="AH146">
        <v>3</v>
      </c>
      <c r="AI146">
        <v>4</v>
      </c>
      <c r="AJ146">
        <v>0</v>
      </c>
      <c r="AK146" s="1" t="s">
        <v>136</v>
      </c>
    </row>
    <row r="147" spans="1:37" x14ac:dyDescent="0.25">
      <c r="A147">
        <v>197</v>
      </c>
      <c r="B147">
        <v>30</v>
      </c>
      <c r="C147" s="1" t="s">
        <v>24</v>
      </c>
      <c r="D147" s="1" t="s">
        <v>69</v>
      </c>
      <c r="E147">
        <v>3</v>
      </c>
      <c r="F147" s="1" t="s">
        <v>143</v>
      </c>
      <c r="G147">
        <v>5</v>
      </c>
      <c r="H147" s="1" t="s">
        <v>18</v>
      </c>
      <c r="I147">
        <v>8</v>
      </c>
      <c r="J147">
        <v>3</v>
      </c>
      <c r="K147">
        <v>3</v>
      </c>
      <c r="L147">
        <v>2</v>
      </c>
      <c r="M147">
        <v>2</v>
      </c>
      <c r="N147">
        <v>2</v>
      </c>
      <c r="O147" s="1" t="s">
        <v>19</v>
      </c>
      <c r="P147" s="1" t="s">
        <v>135</v>
      </c>
      <c r="Q147">
        <v>201</v>
      </c>
      <c r="R147" s="1" t="s">
        <v>63</v>
      </c>
      <c r="S147">
        <v>5</v>
      </c>
      <c r="T147">
        <v>1</v>
      </c>
      <c r="U147">
        <v>4</v>
      </c>
      <c r="V147">
        <v>84</v>
      </c>
      <c r="W147">
        <v>3</v>
      </c>
      <c r="X147">
        <v>1</v>
      </c>
      <c r="Y147" s="1" t="s">
        <v>5</v>
      </c>
      <c r="Z147">
        <v>1</v>
      </c>
      <c r="AA147">
        <v>3204</v>
      </c>
      <c r="AB147">
        <v>10415</v>
      </c>
      <c r="AC147" s="1" t="s">
        <v>19</v>
      </c>
      <c r="AD147">
        <v>14</v>
      </c>
      <c r="AE147">
        <v>3</v>
      </c>
      <c r="AF147">
        <v>4</v>
      </c>
      <c r="AG147">
        <v>80</v>
      </c>
      <c r="AH147">
        <v>1</v>
      </c>
      <c r="AI147">
        <v>3</v>
      </c>
      <c r="AJ147">
        <v>0</v>
      </c>
      <c r="AK147" s="1" t="s">
        <v>136</v>
      </c>
    </row>
    <row r="148" spans="1:37" x14ac:dyDescent="0.25">
      <c r="A148">
        <v>198</v>
      </c>
      <c r="B148">
        <v>30</v>
      </c>
      <c r="C148" s="1" t="s">
        <v>25</v>
      </c>
      <c r="D148" s="1" t="s">
        <v>71</v>
      </c>
      <c r="E148">
        <v>1</v>
      </c>
      <c r="F148" s="1" t="s">
        <v>139</v>
      </c>
      <c r="G148">
        <v>0</v>
      </c>
      <c r="H148" s="1" t="s">
        <v>18</v>
      </c>
      <c r="I148">
        <v>6</v>
      </c>
      <c r="J148">
        <v>3</v>
      </c>
      <c r="K148">
        <v>5</v>
      </c>
      <c r="L148">
        <v>3</v>
      </c>
      <c r="M148">
        <v>1</v>
      </c>
      <c r="N148">
        <v>2</v>
      </c>
      <c r="O148" s="1" t="s">
        <v>19</v>
      </c>
      <c r="P148" s="1" t="s">
        <v>135</v>
      </c>
      <c r="Q148">
        <v>1427</v>
      </c>
      <c r="R148" s="1" t="s">
        <v>63</v>
      </c>
      <c r="S148">
        <v>2</v>
      </c>
      <c r="T148">
        <v>1</v>
      </c>
      <c r="U148">
        <v>2</v>
      </c>
      <c r="V148">
        <v>35</v>
      </c>
      <c r="W148">
        <v>2</v>
      </c>
      <c r="X148">
        <v>1</v>
      </c>
      <c r="Y148" s="1" t="s">
        <v>6</v>
      </c>
      <c r="Z148">
        <v>4</v>
      </c>
      <c r="AA148">
        <v>2720</v>
      </c>
      <c r="AB148">
        <v>11162</v>
      </c>
      <c r="AC148" s="1" t="s">
        <v>19</v>
      </c>
      <c r="AD148">
        <v>13</v>
      </c>
      <c r="AE148">
        <v>3</v>
      </c>
      <c r="AF148">
        <v>4</v>
      </c>
      <c r="AG148">
        <v>80</v>
      </c>
      <c r="AH148">
        <v>0</v>
      </c>
      <c r="AI148">
        <v>3</v>
      </c>
      <c r="AJ148">
        <v>0</v>
      </c>
      <c r="AK148" s="1" t="s">
        <v>136</v>
      </c>
    </row>
    <row r="149" spans="1:37" x14ac:dyDescent="0.25">
      <c r="A149">
        <v>199</v>
      </c>
      <c r="B149">
        <v>41</v>
      </c>
      <c r="C149" s="1" t="s">
        <v>25</v>
      </c>
      <c r="D149" s="1" t="s">
        <v>69</v>
      </c>
      <c r="E149">
        <v>3</v>
      </c>
      <c r="F149" s="1" t="s">
        <v>134</v>
      </c>
      <c r="G149">
        <v>4</v>
      </c>
      <c r="H149" s="1" t="s">
        <v>18</v>
      </c>
      <c r="I149">
        <v>21</v>
      </c>
      <c r="J149">
        <v>2</v>
      </c>
      <c r="K149">
        <v>7</v>
      </c>
      <c r="L149">
        <v>6</v>
      </c>
      <c r="M149">
        <v>7</v>
      </c>
      <c r="N149">
        <v>7</v>
      </c>
      <c r="O149" s="1" t="s">
        <v>19</v>
      </c>
      <c r="P149" s="1" t="s">
        <v>137</v>
      </c>
      <c r="Q149">
        <v>857</v>
      </c>
      <c r="R149" s="1" t="s">
        <v>63</v>
      </c>
      <c r="S149">
        <v>10</v>
      </c>
      <c r="T149">
        <v>1</v>
      </c>
      <c r="U149">
        <v>4</v>
      </c>
      <c r="V149">
        <v>91</v>
      </c>
      <c r="W149">
        <v>2</v>
      </c>
      <c r="X149">
        <v>4</v>
      </c>
      <c r="Y149" s="1" t="s">
        <v>9</v>
      </c>
      <c r="Z149">
        <v>1</v>
      </c>
      <c r="AA149">
        <v>17181</v>
      </c>
      <c r="AB149">
        <v>12888</v>
      </c>
      <c r="AC149" s="1" t="s">
        <v>19</v>
      </c>
      <c r="AD149">
        <v>13</v>
      </c>
      <c r="AE149">
        <v>3</v>
      </c>
      <c r="AF149">
        <v>2</v>
      </c>
      <c r="AG149">
        <v>80</v>
      </c>
      <c r="AH149">
        <v>1</v>
      </c>
      <c r="AI149">
        <v>2</v>
      </c>
      <c r="AJ149">
        <v>0</v>
      </c>
      <c r="AK149" s="1" t="s">
        <v>136</v>
      </c>
    </row>
    <row r="150" spans="1:37" x14ac:dyDescent="0.25">
      <c r="A150">
        <v>200</v>
      </c>
      <c r="B150">
        <v>41</v>
      </c>
      <c r="C150" s="1" t="s">
        <v>25</v>
      </c>
      <c r="D150" s="1" t="s">
        <v>70</v>
      </c>
      <c r="E150">
        <v>4</v>
      </c>
      <c r="F150" s="1" t="s">
        <v>134</v>
      </c>
      <c r="G150">
        <v>2</v>
      </c>
      <c r="H150" s="1" t="s">
        <v>18</v>
      </c>
      <c r="I150">
        <v>7</v>
      </c>
      <c r="J150">
        <v>2</v>
      </c>
      <c r="K150">
        <v>5</v>
      </c>
      <c r="L150">
        <v>0</v>
      </c>
      <c r="M150">
        <v>1</v>
      </c>
      <c r="N150">
        <v>4</v>
      </c>
      <c r="O150" s="1" t="s">
        <v>19</v>
      </c>
      <c r="P150" s="1" t="s">
        <v>135</v>
      </c>
      <c r="Q150">
        <v>933</v>
      </c>
      <c r="R150" s="1" t="s">
        <v>63</v>
      </c>
      <c r="S150">
        <v>9</v>
      </c>
      <c r="T150">
        <v>1</v>
      </c>
      <c r="U150">
        <v>3</v>
      </c>
      <c r="V150">
        <v>94</v>
      </c>
      <c r="W150">
        <v>3</v>
      </c>
      <c r="X150">
        <v>1</v>
      </c>
      <c r="Y150" s="1" t="s">
        <v>6</v>
      </c>
      <c r="Z150">
        <v>1</v>
      </c>
      <c r="AA150">
        <v>2238</v>
      </c>
      <c r="AB150">
        <v>6961</v>
      </c>
      <c r="AC150" s="1" t="s">
        <v>19</v>
      </c>
      <c r="AD150">
        <v>21</v>
      </c>
      <c r="AE150">
        <v>4</v>
      </c>
      <c r="AF150">
        <v>4</v>
      </c>
      <c r="AG150">
        <v>80</v>
      </c>
      <c r="AH150">
        <v>1</v>
      </c>
      <c r="AI150">
        <v>3</v>
      </c>
      <c r="AJ150">
        <v>0</v>
      </c>
      <c r="AK150" s="1" t="s">
        <v>136</v>
      </c>
    </row>
    <row r="151" spans="1:37" x14ac:dyDescent="0.25">
      <c r="A151">
        <v>201</v>
      </c>
      <c r="B151">
        <v>19</v>
      </c>
      <c r="C151" s="1" t="s">
        <v>24</v>
      </c>
      <c r="D151" s="1" t="s">
        <v>71</v>
      </c>
      <c r="E151">
        <v>1</v>
      </c>
      <c r="F151" s="1" t="s">
        <v>139</v>
      </c>
      <c r="G151">
        <v>1</v>
      </c>
      <c r="H151" s="1" t="s">
        <v>18</v>
      </c>
      <c r="I151">
        <v>1</v>
      </c>
      <c r="J151">
        <v>3</v>
      </c>
      <c r="K151">
        <v>1</v>
      </c>
      <c r="L151">
        <v>0</v>
      </c>
      <c r="M151">
        <v>0</v>
      </c>
      <c r="N151">
        <v>0</v>
      </c>
      <c r="O151" s="1" t="s">
        <v>19</v>
      </c>
      <c r="P151" s="1" t="s">
        <v>135</v>
      </c>
      <c r="Q151">
        <v>1181</v>
      </c>
      <c r="R151" s="1" t="s">
        <v>63</v>
      </c>
      <c r="S151">
        <v>3</v>
      </c>
      <c r="T151">
        <v>1</v>
      </c>
      <c r="U151">
        <v>2</v>
      </c>
      <c r="V151">
        <v>79</v>
      </c>
      <c r="W151">
        <v>3</v>
      </c>
      <c r="X151">
        <v>1</v>
      </c>
      <c r="Y151" s="1" t="s">
        <v>6</v>
      </c>
      <c r="Z151">
        <v>2</v>
      </c>
      <c r="AA151">
        <v>1483</v>
      </c>
      <c r="AB151">
        <v>16102</v>
      </c>
      <c r="AC151" s="1" t="s">
        <v>19</v>
      </c>
      <c r="AD151">
        <v>14</v>
      </c>
      <c r="AE151">
        <v>3</v>
      </c>
      <c r="AF151">
        <v>4</v>
      </c>
      <c r="AG151">
        <v>80</v>
      </c>
      <c r="AH151">
        <v>0</v>
      </c>
      <c r="AI151">
        <v>3</v>
      </c>
      <c r="AJ151">
        <v>0</v>
      </c>
      <c r="AK151" s="1" t="s">
        <v>136</v>
      </c>
    </row>
    <row r="152" spans="1:37" x14ac:dyDescent="0.25">
      <c r="A152">
        <v>202</v>
      </c>
      <c r="B152">
        <v>40</v>
      </c>
      <c r="C152" s="1" t="s">
        <v>24</v>
      </c>
      <c r="D152" s="1" t="s">
        <v>69</v>
      </c>
      <c r="E152">
        <v>3</v>
      </c>
      <c r="F152" s="1" t="s">
        <v>139</v>
      </c>
      <c r="G152">
        <v>1</v>
      </c>
      <c r="H152" s="1" t="s">
        <v>18</v>
      </c>
      <c r="I152">
        <v>20</v>
      </c>
      <c r="J152">
        <v>2</v>
      </c>
      <c r="K152">
        <v>20</v>
      </c>
      <c r="L152">
        <v>7</v>
      </c>
      <c r="M152">
        <v>2</v>
      </c>
      <c r="N152">
        <v>13</v>
      </c>
      <c r="O152" s="1" t="s">
        <v>19</v>
      </c>
      <c r="P152" s="1" t="s">
        <v>137</v>
      </c>
      <c r="Q152">
        <v>1395</v>
      </c>
      <c r="R152" s="1" t="s">
        <v>63</v>
      </c>
      <c r="S152">
        <v>26</v>
      </c>
      <c r="T152">
        <v>1</v>
      </c>
      <c r="U152">
        <v>2</v>
      </c>
      <c r="V152">
        <v>54</v>
      </c>
      <c r="W152">
        <v>3</v>
      </c>
      <c r="X152">
        <v>2</v>
      </c>
      <c r="Y152" s="1" t="s">
        <v>5</v>
      </c>
      <c r="Z152">
        <v>2</v>
      </c>
      <c r="AA152">
        <v>5605</v>
      </c>
      <c r="AB152">
        <v>8504</v>
      </c>
      <c r="AC152" s="1" t="s">
        <v>19</v>
      </c>
      <c r="AD152">
        <v>11</v>
      </c>
      <c r="AE152">
        <v>3</v>
      </c>
      <c r="AF152">
        <v>1</v>
      </c>
      <c r="AG152">
        <v>80</v>
      </c>
      <c r="AH152">
        <v>1</v>
      </c>
      <c r="AI152">
        <v>3</v>
      </c>
      <c r="AJ152">
        <v>0</v>
      </c>
      <c r="AK152" s="1" t="s">
        <v>136</v>
      </c>
    </row>
    <row r="153" spans="1:37" x14ac:dyDescent="0.25">
      <c r="A153">
        <v>204</v>
      </c>
      <c r="B153">
        <v>35</v>
      </c>
      <c r="C153" s="1" t="s">
        <v>25</v>
      </c>
      <c r="D153" s="1" t="s">
        <v>70</v>
      </c>
      <c r="E153">
        <v>5</v>
      </c>
      <c r="F153" s="1" t="s">
        <v>142</v>
      </c>
      <c r="G153">
        <v>1</v>
      </c>
      <c r="H153" s="1" t="s">
        <v>18</v>
      </c>
      <c r="I153">
        <v>10</v>
      </c>
      <c r="J153">
        <v>3</v>
      </c>
      <c r="K153">
        <v>10</v>
      </c>
      <c r="L153">
        <v>8</v>
      </c>
      <c r="M153">
        <v>0</v>
      </c>
      <c r="N153">
        <v>6</v>
      </c>
      <c r="O153" s="1" t="s">
        <v>19</v>
      </c>
      <c r="P153" s="1" t="s">
        <v>135</v>
      </c>
      <c r="Q153">
        <v>662</v>
      </c>
      <c r="R153" s="1" t="s">
        <v>64</v>
      </c>
      <c r="S153">
        <v>1</v>
      </c>
      <c r="T153">
        <v>1</v>
      </c>
      <c r="U153">
        <v>3</v>
      </c>
      <c r="V153">
        <v>94</v>
      </c>
      <c r="W153">
        <v>3</v>
      </c>
      <c r="X153">
        <v>3</v>
      </c>
      <c r="Y153" s="1" t="s">
        <v>4</v>
      </c>
      <c r="Z153">
        <v>2</v>
      </c>
      <c r="AA153">
        <v>7295</v>
      </c>
      <c r="AB153">
        <v>11439</v>
      </c>
      <c r="AC153" s="1" t="s">
        <v>19</v>
      </c>
      <c r="AD153">
        <v>13</v>
      </c>
      <c r="AE153">
        <v>3</v>
      </c>
      <c r="AF153">
        <v>1</v>
      </c>
      <c r="AG153">
        <v>80</v>
      </c>
      <c r="AH153">
        <v>2</v>
      </c>
      <c r="AI153">
        <v>3</v>
      </c>
      <c r="AJ153">
        <v>0</v>
      </c>
      <c r="AK153" s="1" t="s">
        <v>136</v>
      </c>
    </row>
    <row r="154" spans="1:37" x14ac:dyDescent="0.25">
      <c r="A154">
        <v>205</v>
      </c>
      <c r="B154">
        <v>53</v>
      </c>
      <c r="C154" s="1" t="s">
        <v>25</v>
      </c>
      <c r="D154" s="1" t="s">
        <v>70</v>
      </c>
      <c r="E154">
        <v>2</v>
      </c>
      <c r="F154" s="1" t="s">
        <v>142</v>
      </c>
      <c r="G154">
        <v>2</v>
      </c>
      <c r="H154" s="1" t="s">
        <v>18</v>
      </c>
      <c r="I154">
        <v>13</v>
      </c>
      <c r="J154">
        <v>3</v>
      </c>
      <c r="K154">
        <v>7</v>
      </c>
      <c r="L154">
        <v>7</v>
      </c>
      <c r="M154">
        <v>4</v>
      </c>
      <c r="N154">
        <v>5</v>
      </c>
      <c r="O154" s="1" t="s">
        <v>19</v>
      </c>
      <c r="P154" s="1" t="s">
        <v>135</v>
      </c>
      <c r="Q154">
        <v>1436</v>
      </c>
      <c r="R154" s="1" t="s">
        <v>64</v>
      </c>
      <c r="S154">
        <v>6</v>
      </c>
      <c r="T154">
        <v>1</v>
      </c>
      <c r="U154">
        <v>2</v>
      </c>
      <c r="V154">
        <v>34</v>
      </c>
      <c r="W154">
        <v>3</v>
      </c>
      <c r="X154">
        <v>2</v>
      </c>
      <c r="Y154" s="1" t="s">
        <v>10</v>
      </c>
      <c r="Z154">
        <v>3</v>
      </c>
      <c r="AA154">
        <v>2306</v>
      </c>
      <c r="AB154">
        <v>16047</v>
      </c>
      <c r="AC154" s="1" t="s">
        <v>18</v>
      </c>
      <c r="AD154">
        <v>20</v>
      </c>
      <c r="AE154">
        <v>4</v>
      </c>
      <c r="AF154">
        <v>4</v>
      </c>
      <c r="AG154">
        <v>80</v>
      </c>
      <c r="AH154">
        <v>1</v>
      </c>
      <c r="AI154">
        <v>1</v>
      </c>
      <c r="AJ154">
        <v>0</v>
      </c>
      <c r="AK154" s="1" t="s">
        <v>140</v>
      </c>
    </row>
    <row r="155" spans="1:37" x14ac:dyDescent="0.25">
      <c r="A155">
        <v>206</v>
      </c>
      <c r="B155">
        <v>45</v>
      </c>
      <c r="C155" s="1" t="s">
        <v>25</v>
      </c>
      <c r="D155" s="1" t="s">
        <v>69</v>
      </c>
      <c r="E155">
        <v>3</v>
      </c>
      <c r="F155" s="1" t="s">
        <v>134</v>
      </c>
      <c r="G155">
        <v>8</v>
      </c>
      <c r="H155" s="1" t="s">
        <v>18</v>
      </c>
      <c r="I155">
        <v>20</v>
      </c>
      <c r="J155">
        <v>2</v>
      </c>
      <c r="K155">
        <v>17</v>
      </c>
      <c r="L155">
        <v>9</v>
      </c>
      <c r="M155">
        <v>0</v>
      </c>
      <c r="N155">
        <v>15</v>
      </c>
      <c r="O155" s="1" t="s">
        <v>19</v>
      </c>
      <c r="P155" s="1" t="s">
        <v>135</v>
      </c>
      <c r="Q155">
        <v>194</v>
      </c>
      <c r="R155" s="1" t="s">
        <v>63</v>
      </c>
      <c r="S155">
        <v>9</v>
      </c>
      <c r="T155">
        <v>1</v>
      </c>
      <c r="U155">
        <v>2</v>
      </c>
      <c r="V155">
        <v>60</v>
      </c>
      <c r="W155">
        <v>3</v>
      </c>
      <c r="X155">
        <v>2</v>
      </c>
      <c r="Y155" s="1" t="s">
        <v>6</v>
      </c>
      <c r="Z155">
        <v>2</v>
      </c>
      <c r="AA155">
        <v>2348</v>
      </c>
      <c r="AB155">
        <v>10901</v>
      </c>
      <c r="AC155" s="1" t="s">
        <v>19</v>
      </c>
      <c r="AD155">
        <v>18</v>
      </c>
      <c r="AE155">
        <v>3</v>
      </c>
      <c r="AF155">
        <v>3</v>
      </c>
      <c r="AG155">
        <v>80</v>
      </c>
      <c r="AH155">
        <v>1</v>
      </c>
      <c r="AI155">
        <v>1</v>
      </c>
      <c r="AJ155">
        <v>0</v>
      </c>
      <c r="AK155" s="1" t="s">
        <v>136</v>
      </c>
    </row>
    <row r="156" spans="1:37" x14ac:dyDescent="0.25">
      <c r="A156">
        <v>207</v>
      </c>
      <c r="B156">
        <v>32</v>
      </c>
      <c r="C156" s="1" t="s">
        <v>24</v>
      </c>
      <c r="D156" s="1" t="s">
        <v>71</v>
      </c>
      <c r="E156">
        <v>3</v>
      </c>
      <c r="F156" s="1" t="s">
        <v>142</v>
      </c>
      <c r="G156">
        <v>1</v>
      </c>
      <c r="H156" s="1" t="s">
        <v>18</v>
      </c>
      <c r="I156">
        <v>9</v>
      </c>
      <c r="J156">
        <v>2</v>
      </c>
      <c r="K156">
        <v>9</v>
      </c>
      <c r="L156">
        <v>8</v>
      </c>
      <c r="M156">
        <v>3</v>
      </c>
      <c r="N156">
        <v>7</v>
      </c>
      <c r="O156" s="1" t="s">
        <v>19</v>
      </c>
      <c r="P156" s="1" t="s">
        <v>137</v>
      </c>
      <c r="Q156">
        <v>967</v>
      </c>
      <c r="R156" s="1" t="s">
        <v>64</v>
      </c>
      <c r="S156">
        <v>8</v>
      </c>
      <c r="T156">
        <v>1</v>
      </c>
      <c r="U156">
        <v>2</v>
      </c>
      <c r="V156">
        <v>43</v>
      </c>
      <c r="W156">
        <v>3</v>
      </c>
      <c r="X156">
        <v>3</v>
      </c>
      <c r="Y156" s="1" t="s">
        <v>4</v>
      </c>
      <c r="Z156">
        <v>4</v>
      </c>
      <c r="AA156">
        <v>8998</v>
      </c>
      <c r="AB156">
        <v>15589</v>
      </c>
      <c r="AC156" s="1" t="s">
        <v>19</v>
      </c>
      <c r="AD156">
        <v>14</v>
      </c>
      <c r="AE156">
        <v>3</v>
      </c>
      <c r="AF156">
        <v>4</v>
      </c>
      <c r="AG156">
        <v>80</v>
      </c>
      <c r="AH156">
        <v>0</v>
      </c>
      <c r="AI156">
        <v>3</v>
      </c>
      <c r="AJ156">
        <v>0</v>
      </c>
      <c r="AK156" s="1" t="s">
        <v>136</v>
      </c>
    </row>
    <row r="157" spans="1:37" x14ac:dyDescent="0.25">
      <c r="A157">
        <v>208</v>
      </c>
      <c r="B157">
        <v>29</v>
      </c>
      <c r="C157" s="1" t="s">
        <v>25</v>
      </c>
      <c r="D157" s="1" t="s">
        <v>70</v>
      </c>
      <c r="E157">
        <v>1</v>
      </c>
      <c r="F157" s="1" t="s">
        <v>143</v>
      </c>
      <c r="G157">
        <v>1</v>
      </c>
      <c r="H157" s="1" t="s">
        <v>18</v>
      </c>
      <c r="I157">
        <v>10</v>
      </c>
      <c r="J157">
        <v>1</v>
      </c>
      <c r="K157">
        <v>10</v>
      </c>
      <c r="L157">
        <v>7</v>
      </c>
      <c r="M157">
        <v>0</v>
      </c>
      <c r="N157">
        <v>9</v>
      </c>
      <c r="O157" s="1" t="s">
        <v>19</v>
      </c>
      <c r="P157" s="1" t="s">
        <v>141</v>
      </c>
      <c r="Q157">
        <v>1496</v>
      </c>
      <c r="R157" s="1" t="s">
        <v>63</v>
      </c>
      <c r="S157">
        <v>1</v>
      </c>
      <c r="T157">
        <v>1</v>
      </c>
      <c r="U157">
        <v>4</v>
      </c>
      <c r="V157">
        <v>41</v>
      </c>
      <c r="W157">
        <v>3</v>
      </c>
      <c r="X157">
        <v>2</v>
      </c>
      <c r="Y157" s="1" t="s">
        <v>7</v>
      </c>
      <c r="Z157">
        <v>3</v>
      </c>
      <c r="AA157">
        <v>4319</v>
      </c>
      <c r="AB157">
        <v>26283</v>
      </c>
      <c r="AC157" s="1" t="s">
        <v>19</v>
      </c>
      <c r="AD157">
        <v>13</v>
      </c>
      <c r="AE157">
        <v>3</v>
      </c>
      <c r="AF157">
        <v>1</v>
      </c>
      <c r="AG157">
        <v>80</v>
      </c>
      <c r="AH157">
        <v>1</v>
      </c>
      <c r="AI157">
        <v>3</v>
      </c>
      <c r="AJ157">
        <v>0</v>
      </c>
      <c r="AK157" s="1" t="s">
        <v>136</v>
      </c>
    </row>
    <row r="158" spans="1:37" x14ac:dyDescent="0.25">
      <c r="A158">
        <v>211</v>
      </c>
      <c r="B158">
        <v>51</v>
      </c>
      <c r="C158" s="1" t="s">
        <v>25</v>
      </c>
      <c r="D158" s="1" t="s">
        <v>70</v>
      </c>
      <c r="E158">
        <v>4</v>
      </c>
      <c r="F158" s="1" t="s">
        <v>139</v>
      </c>
      <c r="G158">
        <v>2</v>
      </c>
      <c r="H158" s="1" t="s">
        <v>18</v>
      </c>
      <c r="I158">
        <v>10</v>
      </c>
      <c r="J158">
        <v>2</v>
      </c>
      <c r="K158">
        <v>1</v>
      </c>
      <c r="L158">
        <v>0</v>
      </c>
      <c r="M158">
        <v>0</v>
      </c>
      <c r="N158">
        <v>0</v>
      </c>
      <c r="O158" s="1" t="s">
        <v>19</v>
      </c>
      <c r="P158" s="1" t="s">
        <v>135</v>
      </c>
      <c r="Q158">
        <v>1169</v>
      </c>
      <c r="R158" s="1" t="s">
        <v>63</v>
      </c>
      <c r="S158">
        <v>7</v>
      </c>
      <c r="T158">
        <v>1</v>
      </c>
      <c r="U158">
        <v>2</v>
      </c>
      <c r="V158">
        <v>34</v>
      </c>
      <c r="W158">
        <v>2</v>
      </c>
      <c r="X158">
        <v>2</v>
      </c>
      <c r="Y158" s="1" t="s">
        <v>7</v>
      </c>
      <c r="Z158">
        <v>3</v>
      </c>
      <c r="AA158">
        <v>6132</v>
      </c>
      <c r="AB158">
        <v>13983</v>
      </c>
      <c r="AC158" s="1" t="s">
        <v>19</v>
      </c>
      <c r="AD158">
        <v>17</v>
      </c>
      <c r="AE158">
        <v>3</v>
      </c>
      <c r="AF158">
        <v>3</v>
      </c>
      <c r="AG158">
        <v>80</v>
      </c>
      <c r="AH158">
        <v>0</v>
      </c>
      <c r="AI158">
        <v>3</v>
      </c>
      <c r="AJ158">
        <v>0</v>
      </c>
      <c r="AK158" s="1" t="s">
        <v>140</v>
      </c>
    </row>
    <row r="159" spans="1:37" x14ac:dyDescent="0.25">
      <c r="A159">
        <v>214</v>
      </c>
      <c r="B159">
        <v>58</v>
      </c>
      <c r="C159" s="1" t="s">
        <v>24</v>
      </c>
      <c r="D159" s="1" t="s">
        <v>70</v>
      </c>
      <c r="E159">
        <v>3</v>
      </c>
      <c r="F159" s="1" t="s">
        <v>139</v>
      </c>
      <c r="G159">
        <v>4</v>
      </c>
      <c r="H159" s="1" t="s">
        <v>18</v>
      </c>
      <c r="I159">
        <v>9</v>
      </c>
      <c r="J159">
        <v>3</v>
      </c>
      <c r="K159">
        <v>1</v>
      </c>
      <c r="L159">
        <v>0</v>
      </c>
      <c r="M159">
        <v>0</v>
      </c>
      <c r="N159">
        <v>0</v>
      </c>
      <c r="O159" s="1" t="s">
        <v>19</v>
      </c>
      <c r="P159" s="1" t="s">
        <v>135</v>
      </c>
      <c r="Q159">
        <v>1145</v>
      </c>
      <c r="R159" s="1" t="s">
        <v>63</v>
      </c>
      <c r="S159">
        <v>9</v>
      </c>
      <c r="T159">
        <v>1</v>
      </c>
      <c r="U159">
        <v>2</v>
      </c>
      <c r="V159">
        <v>75</v>
      </c>
      <c r="W159">
        <v>2</v>
      </c>
      <c r="X159">
        <v>1</v>
      </c>
      <c r="Y159" s="1" t="s">
        <v>5</v>
      </c>
      <c r="Z159">
        <v>2</v>
      </c>
      <c r="AA159">
        <v>3346</v>
      </c>
      <c r="AB159">
        <v>11873</v>
      </c>
      <c r="AC159" s="1" t="s">
        <v>18</v>
      </c>
      <c r="AD159">
        <v>20</v>
      </c>
      <c r="AE159">
        <v>4</v>
      </c>
      <c r="AF159">
        <v>2</v>
      </c>
      <c r="AG159">
        <v>80</v>
      </c>
      <c r="AH159">
        <v>1</v>
      </c>
      <c r="AI159">
        <v>2</v>
      </c>
      <c r="AJ159">
        <v>0</v>
      </c>
      <c r="AK159" s="1" t="s">
        <v>140</v>
      </c>
    </row>
    <row r="160" spans="1:37" x14ac:dyDescent="0.25">
      <c r="A160">
        <v>215</v>
      </c>
      <c r="B160">
        <v>40</v>
      </c>
      <c r="C160" s="1" t="s">
        <v>25</v>
      </c>
      <c r="D160" s="1" t="s">
        <v>70</v>
      </c>
      <c r="E160">
        <v>4</v>
      </c>
      <c r="F160" s="1" t="s">
        <v>142</v>
      </c>
      <c r="G160">
        <v>7</v>
      </c>
      <c r="H160" s="1" t="s">
        <v>18</v>
      </c>
      <c r="I160">
        <v>15</v>
      </c>
      <c r="J160">
        <v>2</v>
      </c>
      <c r="K160">
        <v>12</v>
      </c>
      <c r="L160">
        <v>11</v>
      </c>
      <c r="M160">
        <v>2</v>
      </c>
      <c r="N160">
        <v>11</v>
      </c>
      <c r="O160" s="1" t="s">
        <v>19</v>
      </c>
      <c r="P160" s="1" t="s">
        <v>135</v>
      </c>
      <c r="Q160">
        <v>630</v>
      </c>
      <c r="R160" s="1" t="s">
        <v>64</v>
      </c>
      <c r="S160">
        <v>4</v>
      </c>
      <c r="T160">
        <v>1</v>
      </c>
      <c r="U160">
        <v>3</v>
      </c>
      <c r="V160">
        <v>67</v>
      </c>
      <c r="W160">
        <v>2</v>
      </c>
      <c r="X160">
        <v>3</v>
      </c>
      <c r="Y160" s="1" t="s">
        <v>4</v>
      </c>
      <c r="Z160">
        <v>4</v>
      </c>
      <c r="AA160">
        <v>10855</v>
      </c>
      <c r="AB160">
        <v>8552</v>
      </c>
      <c r="AC160" s="1" t="s">
        <v>19</v>
      </c>
      <c r="AD160">
        <v>11</v>
      </c>
      <c r="AE160">
        <v>3</v>
      </c>
      <c r="AF160">
        <v>1</v>
      </c>
      <c r="AG160">
        <v>80</v>
      </c>
      <c r="AH160">
        <v>1</v>
      </c>
      <c r="AI160">
        <v>2</v>
      </c>
      <c r="AJ160">
        <v>0</v>
      </c>
      <c r="AK160" s="1" t="s">
        <v>136</v>
      </c>
    </row>
    <row r="161" spans="1:37" x14ac:dyDescent="0.25">
      <c r="A161">
        <v>216</v>
      </c>
      <c r="B161">
        <v>34</v>
      </c>
      <c r="C161" s="1" t="s">
        <v>24</v>
      </c>
      <c r="D161" s="1" t="s">
        <v>70</v>
      </c>
      <c r="E161">
        <v>4</v>
      </c>
      <c r="F161" s="1" t="s">
        <v>142</v>
      </c>
      <c r="G161">
        <v>6</v>
      </c>
      <c r="H161" s="1" t="s">
        <v>18</v>
      </c>
      <c r="I161">
        <v>6</v>
      </c>
      <c r="J161">
        <v>3</v>
      </c>
      <c r="K161">
        <v>4</v>
      </c>
      <c r="L161">
        <v>3</v>
      </c>
      <c r="M161">
        <v>1</v>
      </c>
      <c r="N161">
        <v>2</v>
      </c>
      <c r="O161" s="1" t="s">
        <v>19</v>
      </c>
      <c r="P161" s="1" t="s">
        <v>137</v>
      </c>
      <c r="Q161">
        <v>303</v>
      </c>
      <c r="R161" s="1" t="s">
        <v>64</v>
      </c>
      <c r="S161">
        <v>2</v>
      </c>
      <c r="T161">
        <v>1</v>
      </c>
      <c r="U161">
        <v>3</v>
      </c>
      <c r="V161">
        <v>75</v>
      </c>
      <c r="W161">
        <v>3</v>
      </c>
      <c r="X161">
        <v>1</v>
      </c>
      <c r="Y161" s="1" t="s">
        <v>10</v>
      </c>
      <c r="Z161">
        <v>3</v>
      </c>
      <c r="AA161">
        <v>2231</v>
      </c>
      <c r="AB161">
        <v>11314</v>
      </c>
      <c r="AC161" s="1" t="s">
        <v>19</v>
      </c>
      <c r="AD161">
        <v>18</v>
      </c>
      <c r="AE161">
        <v>3</v>
      </c>
      <c r="AF161">
        <v>4</v>
      </c>
      <c r="AG161">
        <v>80</v>
      </c>
      <c r="AH161">
        <v>1</v>
      </c>
      <c r="AI161">
        <v>3</v>
      </c>
      <c r="AJ161">
        <v>0</v>
      </c>
      <c r="AK161" s="1" t="s">
        <v>136</v>
      </c>
    </row>
    <row r="162" spans="1:37" x14ac:dyDescent="0.25">
      <c r="A162">
        <v>217</v>
      </c>
      <c r="B162">
        <v>22</v>
      </c>
      <c r="C162" s="1" t="s">
        <v>25</v>
      </c>
      <c r="D162" s="1" t="s">
        <v>70</v>
      </c>
      <c r="E162">
        <v>1</v>
      </c>
      <c r="F162" s="1" t="s">
        <v>139</v>
      </c>
      <c r="G162">
        <v>1</v>
      </c>
      <c r="H162" s="1" t="s">
        <v>18</v>
      </c>
      <c r="I162">
        <v>2</v>
      </c>
      <c r="J162">
        <v>6</v>
      </c>
      <c r="K162">
        <v>2</v>
      </c>
      <c r="L162">
        <v>2</v>
      </c>
      <c r="M162">
        <v>2</v>
      </c>
      <c r="N162">
        <v>2</v>
      </c>
      <c r="O162" s="1" t="s">
        <v>19</v>
      </c>
      <c r="P162" s="1" t="s">
        <v>135</v>
      </c>
      <c r="Q162">
        <v>1256</v>
      </c>
      <c r="R162" s="1" t="s">
        <v>63</v>
      </c>
      <c r="S162">
        <v>19</v>
      </c>
      <c r="T162">
        <v>1</v>
      </c>
      <c r="U162">
        <v>3</v>
      </c>
      <c r="V162">
        <v>80</v>
      </c>
      <c r="W162">
        <v>3</v>
      </c>
      <c r="X162">
        <v>1</v>
      </c>
      <c r="Y162" s="1" t="s">
        <v>5</v>
      </c>
      <c r="Z162">
        <v>4</v>
      </c>
      <c r="AA162">
        <v>2323</v>
      </c>
      <c r="AB162">
        <v>11992</v>
      </c>
      <c r="AC162" s="1" t="s">
        <v>19</v>
      </c>
      <c r="AD162">
        <v>24</v>
      </c>
      <c r="AE162">
        <v>4</v>
      </c>
      <c r="AF162">
        <v>1</v>
      </c>
      <c r="AG162">
        <v>80</v>
      </c>
      <c r="AH162">
        <v>2</v>
      </c>
      <c r="AI162">
        <v>3</v>
      </c>
      <c r="AJ162">
        <v>0</v>
      </c>
      <c r="AK162" s="1" t="s">
        <v>136</v>
      </c>
    </row>
    <row r="163" spans="1:37" x14ac:dyDescent="0.25">
      <c r="A163">
        <v>218</v>
      </c>
      <c r="B163">
        <v>27</v>
      </c>
      <c r="C163" s="1" t="s">
        <v>25</v>
      </c>
      <c r="D163" s="1" t="s">
        <v>69</v>
      </c>
      <c r="E163">
        <v>3</v>
      </c>
      <c r="F163" s="1" t="s">
        <v>139</v>
      </c>
      <c r="G163">
        <v>6</v>
      </c>
      <c r="H163" s="1" t="s">
        <v>18</v>
      </c>
      <c r="I163">
        <v>6</v>
      </c>
      <c r="J163">
        <v>1</v>
      </c>
      <c r="K163">
        <v>2</v>
      </c>
      <c r="L163">
        <v>2</v>
      </c>
      <c r="M163">
        <v>2</v>
      </c>
      <c r="N163">
        <v>2</v>
      </c>
      <c r="O163" s="1" t="s">
        <v>19</v>
      </c>
      <c r="P163" s="1" t="s">
        <v>141</v>
      </c>
      <c r="Q163">
        <v>691</v>
      </c>
      <c r="R163" s="1" t="s">
        <v>63</v>
      </c>
      <c r="S163">
        <v>9</v>
      </c>
      <c r="T163">
        <v>1</v>
      </c>
      <c r="U163">
        <v>4</v>
      </c>
      <c r="V163">
        <v>57</v>
      </c>
      <c r="W163">
        <v>3</v>
      </c>
      <c r="X163">
        <v>1</v>
      </c>
      <c r="Y163" s="1" t="s">
        <v>5</v>
      </c>
      <c r="Z163">
        <v>2</v>
      </c>
      <c r="AA163">
        <v>2024</v>
      </c>
      <c r="AB163">
        <v>5970</v>
      </c>
      <c r="AC163" s="1" t="s">
        <v>19</v>
      </c>
      <c r="AD163">
        <v>18</v>
      </c>
      <c r="AE163">
        <v>3</v>
      </c>
      <c r="AF163">
        <v>4</v>
      </c>
      <c r="AG163">
        <v>80</v>
      </c>
      <c r="AH163">
        <v>1</v>
      </c>
      <c r="AI163">
        <v>1</v>
      </c>
      <c r="AJ163">
        <v>0</v>
      </c>
      <c r="AK163" s="1" t="s">
        <v>136</v>
      </c>
    </row>
    <row r="164" spans="1:37" x14ac:dyDescent="0.25">
      <c r="A164">
        <v>221</v>
      </c>
      <c r="B164">
        <v>28</v>
      </c>
      <c r="C164" s="1" t="s">
        <v>25</v>
      </c>
      <c r="D164" s="1" t="s">
        <v>70</v>
      </c>
      <c r="E164">
        <v>3</v>
      </c>
      <c r="F164" s="1" t="s">
        <v>139</v>
      </c>
      <c r="G164">
        <v>1</v>
      </c>
      <c r="H164" s="1" t="s">
        <v>18</v>
      </c>
      <c r="I164">
        <v>5</v>
      </c>
      <c r="J164">
        <v>2</v>
      </c>
      <c r="K164">
        <v>5</v>
      </c>
      <c r="L164">
        <v>2</v>
      </c>
      <c r="M164">
        <v>0</v>
      </c>
      <c r="N164">
        <v>2</v>
      </c>
      <c r="O164" s="1" t="s">
        <v>19</v>
      </c>
      <c r="P164" s="1" t="s">
        <v>135</v>
      </c>
      <c r="Q164">
        <v>440</v>
      </c>
      <c r="R164" s="1" t="s">
        <v>63</v>
      </c>
      <c r="S164">
        <v>21</v>
      </c>
      <c r="T164">
        <v>1</v>
      </c>
      <c r="U164">
        <v>3</v>
      </c>
      <c r="V164">
        <v>42</v>
      </c>
      <c r="W164">
        <v>3</v>
      </c>
      <c r="X164">
        <v>1</v>
      </c>
      <c r="Y164" s="1" t="s">
        <v>5</v>
      </c>
      <c r="Z164">
        <v>4</v>
      </c>
      <c r="AA164">
        <v>2713</v>
      </c>
      <c r="AB164">
        <v>6672</v>
      </c>
      <c r="AC164" s="1" t="s">
        <v>19</v>
      </c>
      <c r="AD164">
        <v>11</v>
      </c>
      <c r="AE164">
        <v>3</v>
      </c>
      <c r="AF164">
        <v>3</v>
      </c>
      <c r="AG164">
        <v>80</v>
      </c>
      <c r="AH164">
        <v>1</v>
      </c>
      <c r="AI164">
        <v>1</v>
      </c>
      <c r="AJ164">
        <v>0</v>
      </c>
      <c r="AK164" s="1" t="s">
        <v>136</v>
      </c>
    </row>
    <row r="165" spans="1:37" x14ac:dyDescent="0.25">
      <c r="A165">
        <v>223</v>
      </c>
      <c r="B165">
        <v>57</v>
      </c>
      <c r="C165" s="1" t="s">
        <v>25</v>
      </c>
      <c r="D165" s="1" t="s">
        <v>69</v>
      </c>
      <c r="E165">
        <v>2</v>
      </c>
      <c r="F165" s="1" t="s">
        <v>134</v>
      </c>
      <c r="G165">
        <v>3</v>
      </c>
      <c r="H165" s="1" t="s">
        <v>18</v>
      </c>
      <c r="I165">
        <v>12</v>
      </c>
      <c r="J165">
        <v>2</v>
      </c>
      <c r="K165">
        <v>5</v>
      </c>
      <c r="L165">
        <v>3</v>
      </c>
      <c r="M165">
        <v>1</v>
      </c>
      <c r="N165">
        <v>4</v>
      </c>
      <c r="O165" s="1" t="s">
        <v>19</v>
      </c>
      <c r="P165" s="1" t="s">
        <v>135</v>
      </c>
      <c r="Q165">
        <v>334</v>
      </c>
      <c r="R165" s="1" t="s">
        <v>63</v>
      </c>
      <c r="S165">
        <v>24</v>
      </c>
      <c r="T165">
        <v>1</v>
      </c>
      <c r="U165">
        <v>3</v>
      </c>
      <c r="V165">
        <v>83</v>
      </c>
      <c r="W165">
        <v>4</v>
      </c>
      <c r="X165">
        <v>3</v>
      </c>
      <c r="Y165" s="1" t="s">
        <v>8</v>
      </c>
      <c r="Z165">
        <v>4</v>
      </c>
      <c r="AA165">
        <v>9439</v>
      </c>
      <c r="AB165">
        <v>23402</v>
      </c>
      <c r="AC165" s="1" t="s">
        <v>18</v>
      </c>
      <c r="AD165">
        <v>16</v>
      </c>
      <c r="AE165">
        <v>3</v>
      </c>
      <c r="AF165">
        <v>2</v>
      </c>
      <c r="AG165">
        <v>80</v>
      </c>
      <c r="AH165">
        <v>1</v>
      </c>
      <c r="AI165">
        <v>1</v>
      </c>
      <c r="AJ165">
        <v>0</v>
      </c>
      <c r="AK165" s="1" t="s">
        <v>140</v>
      </c>
    </row>
    <row r="166" spans="1:37" x14ac:dyDescent="0.25">
      <c r="A166">
        <v>224</v>
      </c>
      <c r="B166">
        <v>27</v>
      </c>
      <c r="C166" s="1" t="s">
        <v>25</v>
      </c>
      <c r="D166" s="1" t="s">
        <v>69</v>
      </c>
      <c r="E166">
        <v>3</v>
      </c>
      <c r="F166" s="1" t="s">
        <v>139</v>
      </c>
      <c r="G166">
        <v>1</v>
      </c>
      <c r="H166" s="1" t="s">
        <v>18</v>
      </c>
      <c r="I166">
        <v>1</v>
      </c>
      <c r="J166">
        <v>2</v>
      </c>
      <c r="K166">
        <v>1</v>
      </c>
      <c r="L166">
        <v>1</v>
      </c>
      <c r="M166">
        <v>0</v>
      </c>
      <c r="N166">
        <v>1</v>
      </c>
      <c r="O166" s="1" t="s">
        <v>19</v>
      </c>
      <c r="P166" s="1" t="s">
        <v>141</v>
      </c>
      <c r="Q166">
        <v>1450</v>
      </c>
      <c r="R166" s="1" t="s">
        <v>63</v>
      </c>
      <c r="S166">
        <v>3</v>
      </c>
      <c r="T166">
        <v>1</v>
      </c>
      <c r="U166">
        <v>3</v>
      </c>
      <c r="V166">
        <v>79</v>
      </c>
      <c r="W166">
        <v>2</v>
      </c>
      <c r="X166">
        <v>1</v>
      </c>
      <c r="Y166" s="1" t="s">
        <v>5</v>
      </c>
      <c r="Z166">
        <v>3</v>
      </c>
      <c r="AA166">
        <v>2566</v>
      </c>
      <c r="AB166">
        <v>25326</v>
      </c>
      <c r="AC166" s="1" t="s">
        <v>18</v>
      </c>
      <c r="AD166">
        <v>15</v>
      </c>
      <c r="AE166">
        <v>3</v>
      </c>
      <c r="AF166">
        <v>4</v>
      </c>
      <c r="AG166">
        <v>80</v>
      </c>
      <c r="AH166">
        <v>1</v>
      </c>
      <c r="AI166">
        <v>2</v>
      </c>
      <c r="AJ166">
        <v>0</v>
      </c>
      <c r="AK166" s="1" t="s">
        <v>136</v>
      </c>
    </row>
    <row r="167" spans="1:37" x14ac:dyDescent="0.25">
      <c r="A167">
        <v>226</v>
      </c>
      <c r="B167">
        <v>50</v>
      </c>
      <c r="C167" s="1" t="s">
        <v>24</v>
      </c>
      <c r="D167" s="1" t="s">
        <v>71</v>
      </c>
      <c r="E167">
        <v>3</v>
      </c>
      <c r="F167" s="1" t="s">
        <v>134</v>
      </c>
      <c r="G167">
        <v>3</v>
      </c>
      <c r="H167" s="1" t="s">
        <v>18</v>
      </c>
      <c r="I167">
        <v>21</v>
      </c>
      <c r="J167">
        <v>5</v>
      </c>
      <c r="K167">
        <v>5</v>
      </c>
      <c r="L167">
        <v>4</v>
      </c>
      <c r="M167">
        <v>4</v>
      </c>
      <c r="N167">
        <v>4</v>
      </c>
      <c r="O167" s="1" t="s">
        <v>19</v>
      </c>
      <c r="P167" s="1" t="s">
        <v>135</v>
      </c>
      <c r="Q167">
        <v>1452</v>
      </c>
      <c r="R167" s="1" t="s">
        <v>63</v>
      </c>
      <c r="S167">
        <v>11</v>
      </c>
      <c r="T167">
        <v>1</v>
      </c>
      <c r="U167">
        <v>3</v>
      </c>
      <c r="V167">
        <v>53</v>
      </c>
      <c r="W167">
        <v>3</v>
      </c>
      <c r="X167">
        <v>5</v>
      </c>
      <c r="Y167" s="1" t="s">
        <v>9</v>
      </c>
      <c r="Z167">
        <v>2</v>
      </c>
      <c r="AA167">
        <v>19926</v>
      </c>
      <c r="AB167">
        <v>17053</v>
      </c>
      <c r="AC167" s="1" t="s">
        <v>19</v>
      </c>
      <c r="AD167">
        <v>15</v>
      </c>
      <c r="AE167">
        <v>3</v>
      </c>
      <c r="AF167">
        <v>2</v>
      </c>
      <c r="AG167">
        <v>80</v>
      </c>
      <c r="AH167">
        <v>0</v>
      </c>
      <c r="AI167">
        <v>3</v>
      </c>
      <c r="AJ167">
        <v>0</v>
      </c>
      <c r="AK167" s="1" t="s">
        <v>140</v>
      </c>
    </row>
    <row r="168" spans="1:37" x14ac:dyDescent="0.25">
      <c r="A168">
        <v>227</v>
      </c>
      <c r="B168">
        <v>41</v>
      </c>
      <c r="C168" s="1" t="s">
        <v>25</v>
      </c>
      <c r="D168" s="1" t="s">
        <v>69</v>
      </c>
      <c r="E168">
        <v>3</v>
      </c>
      <c r="F168" s="1" t="s">
        <v>134</v>
      </c>
      <c r="G168">
        <v>4</v>
      </c>
      <c r="H168" s="1" t="s">
        <v>18</v>
      </c>
      <c r="I168">
        <v>13</v>
      </c>
      <c r="J168">
        <v>2</v>
      </c>
      <c r="K168">
        <v>9</v>
      </c>
      <c r="L168">
        <v>8</v>
      </c>
      <c r="M168">
        <v>1</v>
      </c>
      <c r="N168">
        <v>8</v>
      </c>
      <c r="O168" s="1" t="s">
        <v>19</v>
      </c>
      <c r="P168" s="1" t="s">
        <v>135</v>
      </c>
      <c r="Q168">
        <v>465</v>
      </c>
      <c r="R168" s="1" t="s">
        <v>63</v>
      </c>
      <c r="S168">
        <v>14</v>
      </c>
      <c r="T168">
        <v>1</v>
      </c>
      <c r="U168">
        <v>1</v>
      </c>
      <c r="V168">
        <v>56</v>
      </c>
      <c r="W168">
        <v>3</v>
      </c>
      <c r="X168">
        <v>1</v>
      </c>
      <c r="Y168" s="1" t="s">
        <v>5</v>
      </c>
      <c r="Z168">
        <v>3</v>
      </c>
      <c r="AA168">
        <v>2451</v>
      </c>
      <c r="AB168">
        <v>4609</v>
      </c>
      <c r="AC168" s="1" t="s">
        <v>19</v>
      </c>
      <c r="AD168">
        <v>12</v>
      </c>
      <c r="AE168">
        <v>3</v>
      </c>
      <c r="AF168">
        <v>1</v>
      </c>
      <c r="AG168">
        <v>80</v>
      </c>
      <c r="AH168">
        <v>1</v>
      </c>
      <c r="AI168">
        <v>3</v>
      </c>
      <c r="AJ168">
        <v>0</v>
      </c>
      <c r="AK168" s="1" t="s">
        <v>136</v>
      </c>
    </row>
    <row r="169" spans="1:37" x14ac:dyDescent="0.25">
      <c r="A169">
        <v>228</v>
      </c>
      <c r="B169">
        <v>30</v>
      </c>
      <c r="C169" s="1" t="s">
        <v>24</v>
      </c>
      <c r="D169" s="1" t="s">
        <v>70</v>
      </c>
      <c r="E169">
        <v>3</v>
      </c>
      <c r="F169" s="1" t="s">
        <v>134</v>
      </c>
      <c r="G169">
        <v>2</v>
      </c>
      <c r="H169" s="1" t="s">
        <v>18</v>
      </c>
      <c r="I169">
        <v>12</v>
      </c>
      <c r="J169">
        <v>2</v>
      </c>
      <c r="K169">
        <v>10</v>
      </c>
      <c r="L169">
        <v>9</v>
      </c>
      <c r="M169">
        <v>7</v>
      </c>
      <c r="N169">
        <v>4</v>
      </c>
      <c r="O169" s="1" t="s">
        <v>19</v>
      </c>
      <c r="P169" s="1" t="s">
        <v>135</v>
      </c>
      <c r="Q169">
        <v>1339</v>
      </c>
      <c r="R169" s="1" t="s">
        <v>64</v>
      </c>
      <c r="S169">
        <v>5</v>
      </c>
      <c r="T169">
        <v>1</v>
      </c>
      <c r="U169">
        <v>2</v>
      </c>
      <c r="V169">
        <v>41</v>
      </c>
      <c r="W169">
        <v>3</v>
      </c>
      <c r="X169">
        <v>3</v>
      </c>
      <c r="Y169" s="1" t="s">
        <v>4</v>
      </c>
      <c r="Z169">
        <v>4</v>
      </c>
      <c r="AA169">
        <v>9419</v>
      </c>
      <c r="AB169">
        <v>8053</v>
      </c>
      <c r="AC169" s="1" t="s">
        <v>19</v>
      </c>
      <c r="AD169">
        <v>12</v>
      </c>
      <c r="AE169">
        <v>3</v>
      </c>
      <c r="AF169">
        <v>3</v>
      </c>
      <c r="AG169">
        <v>80</v>
      </c>
      <c r="AH169">
        <v>1</v>
      </c>
      <c r="AI169">
        <v>3</v>
      </c>
      <c r="AJ169">
        <v>0</v>
      </c>
      <c r="AK169" s="1" t="s">
        <v>136</v>
      </c>
    </row>
    <row r="170" spans="1:37" x14ac:dyDescent="0.25">
      <c r="A170">
        <v>230</v>
      </c>
      <c r="B170">
        <v>38</v>
      </c>
      <c r="C170" s="1" t="s">
        <v>24</v>
      </c>
      <c r="D170" s="1" t="s">
        <v>71</v>
      </c>
      <c r="E170">
        <v>4</v>
      </c>
      <c r="F170" s="1" t="s">
        <v>134</v>
      </c>
      <c r="G170">
        <v>4</v>
      </c>
      <c r="H170" s="1" t="s">
        <v>18</v>
      </c>
      <c r="I170">
        <v>12</v>
      </c>
      <c r="J170">
        <v>2</v>
      </c>
      <c r="K170">
        <v>8</v>
      </c>
      <c r="L170">
        <v>3</v>
      </c>
      <c r="M170">
        <v>0</v>
      </c>
      <c r="N170">
        <v>7</v>
      </c>
      <c r="O170" s="1" t="s">
        <v>19</v>
      </c>
      <c r="P170" s="1" t="s">
        <v>135</v>
      </c>
      <c r="Q170">
        <v>702</v>
      </c>
      <c r="R170" s="1" t="s">
        <v>64</v>
      </c>
      <c r="S170">
        <v>1</v>
      </c>
      <c r="T170">
        <v>1</v>
      </c>
      <c r="U170">
        <v>1</v>
      </c>
      <c r="V170">
        <v>59</v>
      </c>
      <c r="W170">
        <v>2</v>
      </c>
      <c r="X170">
        <v>2</v>
      </c>
      <c r="Y170" s="1" t="s">
        <v>4</v>
      </c>
      <c r="Z170">
        <v>4</v>
      </c>
      <c r="AA170">
        <v>8686</v>
      </c>
      <c r="AB170">
        <v>12930</v>
      </c>
      <c r="AC170" s="1" t="s">
        <v>19</v>
      </c>
      <c r="AD170">
        <v>22</v>
      </c>
      <c r="AE170">
        <v>4</v>
      </c>
      <c r="AF170">
        <v>3</v>
      </c>
      <c r="AG170">
        <v>80</v>
      </c>
      <c r="AH170">
        <v>0</v>
      </c>
      <c r="AI170">
        <v>4</v>
      </c>
      <c r="AJ170">
        <v>0</v>
      </c>
      <c r="AK170" s="1" t="s">
        <v>136</v>
      </c>
    </row>
    <row r="171" spans="1:37" x14ac:dyDescent="0.25">
      <c r="A171">
        <v>231</v>
      </c>
      <c r="B171">
        <v>32</v>
      </c>
      <c r="C171" s="1" t="s">
        <v>25</v>
      </c>
      <c r="D171" s="1" t="s">
        <v>71</v>
      </c>
      <c r="E171">
        <v>5</v>
      </c>
      <c r="F171" s="1" t="s">
        <v>134</v>
      </c>
      <c r="G171">
        <v>3</v>
      </c>
      <c r="H171" s="1" t="s">
        <v>18</v>
      </c>
      <c r="I171">
        <v>8</v>
      </c>
      <c r="J171">
        <v>2</v>
      </c>
      <c r="K171">
        <v>5</v>
      </c>
      <c r="L171">
        <v>4</v>
      </c>
      <c r="M171">
        <v>1</v>
      </c>
      <c r="N171">
        <v>4</v>
      </c>
      <c r="O171" s="1" t="s">
        <v>19</v>
      </c>
      <c r="P171" s="1" t="s">
        <v>135</v>
      </c>
      <c r="Q171">
        <v>120</v>
      </c>
      <c r="R171" s="1" t="s">
        <v>63</v>
      </c>
      <c r="S171">
        <v>6</v>
      </c>
      <c r="T171">
        <v>1</v>
      </c>
      <c r="U171">
        <v>3</v>
      </c>
      <c r="V171">
        <v>43</v>
      </c>
      <c r="W171">
        <v>3</v>
      </c>
      <c r="X171">
        <v>1</v>
      </c>
      <c r="Y171" s="1" t="s">
        <v>5</v>
      </c>
      <c r="Z171">
        <v>3</v>
      </c>
      <c r="AA171">
        <v>3038</v>
      </c>
      <c r="AB171">
        <v>12430</v>
      </c>
      <c r="AC171" s="1" t="s">
        <v>19</v>
      </c>
      <c r="AD171">
        <v>20</v>
      </c>
      <c r="AE171">
        <v>4</v>
      </c>
      <c r="AF171">
        <v>1</v>
      </c>
      <c r="AG171">
        <v>80</v>
      </c>
      <c r="AH171">
        <v>0</v>
      </c>
      <c r="AI171">
        <v>3</v>
      </c>
      <c r="AJ171">
        <v>0</v>
      </c>
      <c r="AK171" s="1" t="s">
        <v>136</v>
      </c>
    </row>
    <row r="172" spans="1:37" x14ac:dyDescent="0.25">
      <c r="A172">
        <v>233</v>
      </c>
      <c r="B172">
        <v>27</v>
      </c>
      <c r="C172" s="1" t="s">
        <v>25</v>
      </c>
      <c r="D172" s="1" t="s">
        <v>70</v>
      </c>
      <c r="E172">
        <v>3</v>
      </c>
      <c r="F172" s="1" t="s">
        <v>143</v>
      </c>
      <c r="G172">
        <v>0</v>
      </c>
      <c r="H172" s="1" t="s">
        <v>18</v>
      </c>
      <c r="I172">
        <v>6</v>
      </c>
      <c r="J172">
        <v>3</v>
      </c>
      <c r="K172">
        <v>5</v>
      </c>
      <c r="L172">
        <v>2</v>
      </c>
      <c r="M172">
        <v>1</v>
      </c>
      <c r="N172">
        <v>1</v>
      </c>
      <c r="O172" s="1" t="s">
        <v>19</v>
      </c>
      <c r="P172" s="1" t="s">
        <v>135</v>
      </c>
      <c r="Q172">
        <v>1157</v>
      </c>
      <c r="R172" s="1" t="s">
        <v>63</v>
      </c>
      <c r="S172">
        <v>17</v>
      </c>
      <c r="T172">
        <v>1</v>
      </c>
      <c r="U172">
        <v>3</v>
      </c>
      <c r="V172">
        <v>51</v>
      </c>
      <c r="W172">
        <v>3</v>
      </c>
      <c r="X172">
        <v>1</v>
      </c>
      <c r="Y172" s="1" t="s">
        <v>5</v>
      </c>
      <c r="Z172">
        <v>2</v>
      </c>
      <c r="AA172">
        <v>3058</v>
      </c>
      <c r="AB172">
        <v>13364</v>
      </c>
      <c r="AC172" s="1" t="s">
        <v>18</v>
      </c>
      <c r="AD172">
        <v>16</v>
      </c>
      <c r="AE172">
        <v>3</v>
      </c>
      <c r="AF172">
        <v>4</v>
      </c>
      <c r="AG172">
        <v>80</v>
      </c>
      <c r="AH172">
        <v>1</v>
      </c>
      <c r="AI172">
        <v>2</v>
      </c>
      <c r="AJ172">
        <v>0</v>
      </c>
      <c r="AK172" s="1" t="s">
        <v>136</v>
      </c>
    </row>
    <row r="173" spans="1:37" x14ac:dyDescent="0.25">
      <c r="A173">
        <v>235</v>
      </c>
      <c r="B173">
        <v>19</v>
      </c>
      <c r="C173" s="1" t="s">
        <v>24</v>
      </c>
      <c r="D173" s="1" t="s">
        <v>71</v>
      </c>
      <c r="E173">
        <v>1</v>
      </c>
      <c r="F173" s="1" t="s">
        <v>143</v>
      </c>
      <c r="G173">
        <v>0</v>
      </c>
      <c r="H173" s="1" t="s">
        <v>18</v>
      </c>
      <c r="I173">
        <v>1</v>
      </c>
      <c r="J173">
        <v>5</v>
      </c>
      <c r="K173">
        <v>0</v>
      </c>
      <c r="L173">
        <v>0</v>
      </c>
      <c r="M173">
        <v>0</v>
      </c>
      <c r="N173">
        <v>0</v>
      </c>
      <c r="O173" s="1" t="s">
        <v>18</v>
      </c>
      <c r="P173" s="1" t="s">
        <v>137</v>
      </c>
      <c r="Q173">
        <v>602</v>
      </c>
      <c r="R173" s="1" t="s">
        <v>64</v>
      </c>
      <c r="S173">
        <v>1</v>
      </c>
      <c r="T173">
        <v>1</v>
      </c>
      <c r="U173">
        <v>3</v>
      </c>
      <c r="V173">
        <v>100</v>
      </c>
      <c r="W173">
        <v>1</v>
      </c>
      <c r="X173">
        <v>1</v>
      </c>
      <c r="Y173" s="1" t="s">
        <v>10</v>
      </c>
      <c r="Z173">
        <v>1</v>
      </c>
      <c r="AA173">
        <v>2325</v>
      </c>
      <c r="AB173">
        <v>20989</v>
      </c>
      <c r="AC173" s="1" t="s">
        <v>19</v>
      </c>
      <c r="AD173">
        <v>21</v>
      </c>
      <c r="AE173">
        <v>4</v>
      </c>
      <c r="AF173">
        <v>1</v>
      </c>
      <c r="AG173">
        <v>80</v>
      </c>
      <c r="AH173">
        <v>0</v>
      </c>
      <c r="AI173">
        <v>4</v>
      </c>
      <c r="AJ173">
        <v>1</v>
      </c>
      <c r="AK173" s="1" t="s">
        <v>136</v>
      </c>
    </row>
    <row r="174" spans="1:37" x14ac:dyDescent="0.25">
      <c r="A174">
        <v>238</v>
      </c>
      <c r="B174">
        <v>36</v>
      </c>
      <c r="C174" s="1" t="s">
        <v>25</v>
      </c>
      <c r="D174" s="1" t="s">
        <v>71</v>
      </c>
      <c r="E174">
        <v>2</v>
      </c>
      <c r="F174" s="1" t="s">
        <v>139</v>
      </c>
      <c r="G174">
        <v>4</v>
      </c>
      <c r="H174" s="1" t="s">
        <v>18</v>
      </c>
      <c r="I174">
        <v>13</v>
      </c>
      <c r="J174">
        <v>3</v>
      </c>
      <c r="K174">
        <v>8</v>
      </c>
      <c r="L174">
        <v>7</v>
      </c>
      <c r="M174">
        <v>7</v>
      </c>
      <c r="N174">
        <v>2</v>
      </c>
      <c r="O174" s="1" t="s">
        <v>19</v>
      </c>
      <c r="P174" s="1" t="s">
        <v>137</v>
      </c>
      <c r="Q174">
        <v>1480</v>
      </c>
      <c r="R174" s="1" t="s">
        <v>63</v>
      </c>
      <c r="S174">
        <v>3</v>
      </c>
      <c r="T174">
        <v>1</v>
      </c>
      <c r="U174">
        <v>4</v>
      </c>
      <c r="V174">
        <v>30</v>
      </c>
      <c r="W174">
        <v>3</v>
      </c>
      <c r="X174">
        <v>1</v>
      </c>
      <c r="Y174" s="1" t="s">
        <v>6</v>
      </c>
      <c r="Z174">
        <v>2</v>
      </c>
      <c r="AA174">
        <v>2088</v>
      </c>
      <c r="AB174">
        <v>15062</v>
      </c>
      <c r="AC174" s="1" t="s">
        <v>19</v>
      </c>
      <c r="AD174">
        <v>12</v>
      </c>
      <c r="AE174">
        <v>3</v>
      </c>
      <c r="AF174">
        <v>3</v>
      </c>
      <c r="AG174">
        <v>80</v>
      </c>
      <c r="AH174">
        <v>0</v>
      </c>
      <c r="AI174">
        <v>2</v>
      </c>
      <c r="AJ174">
        <v>0</v>
      </c>
      <c r="AK174" s="1" t="s">
        <v>136</v>
      </c>
    </row>
    <row r="175" spans="1:37" x14ac:dyDescent="0.25">
      <c r="A175">
        <v>239</v>
      </c>
      <c r="B175">
        <v>30</v>
      </c>
      <c r="C175" s="1" t="s">
        <v>25</v>
      </c>
      <c r="D175" s="1" t="s">
        <v>69</v>
      </c>
      <c r="E175">
        <v>3</v>
      </c>
      <c r="F175" s="1" t="s">
        <v>139</v>
      </c>
      <c r="G175">
        <v>1</v>
      </c>
      <c r="H175" s="1" t="s">
        <v>18</v>
      </c>
      <c r="I175">
        <v>12</v>
      </c>
      <c r="J175">
        <v>4</v>
      </c>
      <c r="K175">
        <v>12</v>
      </c>
      <c r="L175">
        <v>9</v>
      </c>
      <c r="M175">
        <v>6</v>
      </c>
      <c r="N175">
        <v>10</v>
      </c>
      <c r="O175" s="1" t="s">
        <v>19</v>
      </c>
      <c r="P175" s="1" t="s">
        <v>141</v>
      </c>
      <c r="Q175">
        <v>111</v>
      </c>
      <c r="R175" s="1" t="s">
        <v>63</v>
      </c>
      <c r="S175">
        <v>9</v>
      </c>
      <c r="T175">
        <v>1</v>
      </c>
      <c r="U175">
        <v>3</v>
      </c>
      <c r="V175">
        <v>66</v>
      </c>
      <c r="W175">
        <v>3</v>
      </c>
      <c r="X175">
        <v>2</v>
      </c>
      <c r="Y175" s="1" t="s">
        <v>6</v>
      </c>
      <c r="Z175">
        <v>1</v>
      </c>
      <c r="AA175">
        <v>3072</v>
      </c>
      <c r="AB175">
        <v>11012</v>
      </c>
      <c r="AC175" s="1" t="s">
        <v>19</v>
      </c>
      <c r="AD175">
        <v>11</v>
      </c>
      <c r="AE175">
        <v>3</v>
      </c>
      <c r="AF175">
        <v>3</v>
      </c>
      <c r="AG175">
        <v>80</v>
      </c>
      <c r="AH175">
        <v>2</v>
      </c>
      <c r="AI175">
        <v>3</v>
      </c>
      <c r="AJ175">
        <v>0</v>
      </c>
      <c r="AK175" s="1" t="s">
        <v>136</v>
      </c>
    </row>
    <row r="176" spans="1:37" x14ac:dyDescent="0.25">
      <c r="A176">
        <v>240</v>
      </c>
      <c r="B176">
        <v>45</v>
      </c>
      <c r="C176" s="1" t="s">
        <v>24</v>
      </c>
      <c r="D176" s="1" t="s">
        <v>69</v>
      </c>
      <c r="E176">
        <v>2</v>
      </c>
      <c r="F176" s="1" t="s">
        <v>134</v>
      </c>
      <c r="G176">
        <v>4</v>
      </c>
      <c r="H176" s="1" t="s">
        <v>18</v>
      </c>
      <c r="I176">
        <v>9</v>
      </c>
      <c r="J176">
        <v>3</v>
      </c>
      <c r="K176">
        <v>5</v>
      </c>
      <c r="L176">
        <v>4</v>
      </c>
      <c r="M176">
        <v>0</v>
      </c>
      <c r="N176">
        <v>3</v>
      </c>
      <c r="O176" s="1" t="s">
        <v>19</v>
      </c>
      <c r="P176" s="1" t="s">
        <v>135</v>
      </c>
      <c r="Q176">
        <v>1268</v>
      </c>
      <c r="R176" s="1" t="s">
        <v>64</v>
      </c>
      <c r="S176">
        <v>4</v>
      </c>
      <c r="T176">
        <v>1</v>
      </c>
      <c r="U176">
        <v>3</v>
      </c>
      <c r="V176">
        <v>30</v>
      </c>
      <c r="W176">
        <v>3</v>
      </c>
      <c r="X176">
        <v>2</v>
      </c>
      <c r="Y176" s="1" t="s">
        <v>4</v>
      </c>
      <c r="Z176">
        <v>1</v>
      </c>
      <c r="AA176">
        <v>5006</v>
      </c>
      <c r="AB176">
        <v>6319</v>
      </c>
      <c r="AC176" s="1" t="s">
        <v>18</v>
      </c>
      <c r="AD176">
        <v>11</v>
      </c>
      <c r="AE176">
        <v>3</v>
      </c>
      <c r="AF176">
        <v>1</v>
      </c>
      <c r="AG176">
        <v>80</v>
      </c>
      <c r="AH176">
        <v>1</v>
      </c>
      <c r="AI176">
        <v>4</v>
      </c>
      <c r="AJ176">
        <v>0</v>
      </c>
      <c r="AK176" s="1" t="s">
        <v>136</v>
      </c>
    </row>
    <row r="177" spans="1:37" x14ac:dyDescent="0.25">
      <c r="A177">
        <v>241</v>
      </c>
      <c r="B177">
        <v>56</v>
      </c>
      <c r="C177" s="1" t="s">
        <v>24</v>
      </c>
      <c r="D177" s="1" t="s">
        <v>69</v>
      </c>
      <c r="E177">
        <v>3</v>
      </c>
      <c r="F177" s="1" t="s">
        <v>134</v>
      </c>
      <c r="G177">
        <v>4</v>
      </c>
      <c r="H177" s="1" t="s">
        <v>18</v>
      </c>
      <c r="I177">
        <v>19</v>
      </c>
      <c r="J177">
        <v>3</v>
      </c>
      <c r="K177">
        <v>2</v>
      </c>
      <c r="L177">
        <v>2</v>
      </c>
      <c r="M177">
        <v>2</v>
      </c>
      <c r="N177">
        <v>2</v>
      </c>
      <c r="O177" s="1" t="s">
        <v>19</v>
      </c>
      <c r="P177" s="1" t="s">
        <v>135</v>
      </c>
      <c r="Q177">
        <v>713</v>
      </c>
      <c r="R177" s="1" t="s">
        <v>63</v>
      </c>
      <c r="S177">
        <v>8</v>
      </c>
      <c r="T177">
        <v>1</v>
      </c>
      <c r="U177">
        <v>3</v>
      </c>
      <c r="V177">
        <v>67</v>
      </c>
      <c r="W177">
        <v>3</v>
      </c>
      <c r="X177">
        <v>1</v>
      </c>
      <c r="Y177" s="1" t="s">
        <v>5</v>
      </c>
      <c r="Z177">
        <v>1</v>
      </c>
      <c r="AA177">
        <v>4257</v>
      </c>
      <c r="AB177">
        <v>13939</v>
      </c>
      <c r="AC177" s="1" t="s">
        <v>18</v>
      </c>
      <c r="AD177">
        <v>18</v>
      </c>
      <c r="AE177">
        <v>3</v>
      </c>
      <c r="AF177">
        <v>3</v>
      </c>
      <c r="AG177">
        <v>80</v>
      </c>
      <c r="AH177">
        <v>1</v>
      </c>
      <c r="AI177">
        <v>3</v>
      </c>
      <c r="AJ177">
        <v>0</v>
      </c>
      <c r="AK177" s="1" t="s">
        <v>140</v>
      </c>
    </row>
    <row r="178" spans="1:37" x14ac:dyDescent="0.25">
      <c r="A178">
        <v>242</v>
      </c>
      <c r="B178">
        <v>33</v>
      </c>
      <c r="C178" s="1" t="s">
        <v>25</v>
      </c>
      <c r="D178" s="1" t="s">
        <v>71</v>
      </c>
      <c r="E178">
        <v>3</v>
      </c>
      <c r="F178" s="1" t="s">
        <v>134</v>
      </c>
      <c r="G178">
        <v>0</v>
      </c>
      <c r="H178" s="1" t="s">
        <v>18</v>
      </c>
      <c r="I178">
        <v>4</v>
      </c>
      <c r="J178">
        <v>2</v>
      </c>
      <c r="K178">
        <v>3</v>
      </c>
      <c r="L178">
        <v>1</v>
      </c>
      <c r="M178">
        <v>0</v>
      </c>
      <c r="N178">
        <v>2</v>
      </c>
      <c r="O178" s="1" t="s">
        <v>19</v>
      </c>
      <c r="P178" s="1" t="s">
        <v>135</v>
      </c>
      <c r="Q178">
        <v>134</v>
      </c>
      <c r="R178" s="1" t="s">
        <v>63</v>
      </c>
      <c r="S178">
        <v>2</v>
      </c>
      <c r="T178">
        <v>1</v>
      </c>
      <c r="U178">
        <v>3</v>
      </c>
      <c r="V178">
        <v>90</v>
      </c>
      <c r="W178">
        <v>3</v>
      </c>
      <c r="X178">
        <v>1</v>
      </c>
      <c r="Y178" s="1" t="s">
        <v>5</v>
      </c>
      <c r="Z178">
        <v>4</v>
      </c>
      <c r="AA178">
        <v>2500</v>
      </c>
      <c r="AB178">
        <v>10515</v>
      </c>
      <c r="AC178" s="1" t="s">
        <v>19</v>
      </c>
      <c r="AD178">
        <v>14</v>
      </c>
      <c r="AE178">
        <v>3</v>
      </c>
      <c r="AF178">
        <v>1</v>
      </c>
      <c r="AG178">
        <v>80</v>
      </c>
      <c r="AH178">
        <v>0</v>
      </c>
      <c r="AI178">
        <v>4</v>
      </c>
      <c r="AJ178">
        <v>0</v>
      </c>
      <c r="AK178" s="1" t="s">
        <v>136</v>
      </c>
    </row>
    <row r="179" spans="1:37" x14ac:dyDescent="0.25">
      <c r="A179">
        <v>243</v>
      </c>
      <c r="B179">
        <v>19</v>
      </c>
      <c r="C179" s="1" t="s">
        <v>25</v>
      </c>
      <c r="D179" s="1" t="s">
        <v>71</v>
      </c>
      <c r="E179">
        <v>3</v>
      </c>
      <c r="F179" s="1" t="s">
        <v>134</v>
      </c>
      <c r="G179">
        <v>1</v>
      </c>
      <c r="H179" s="1" t="s">
        <v>18</v>
      </c>
      <c r="I179">
        <v>1</v>
      </c>
      <c r="J179">
        <v>3</v>
      </c>
      <c r="K179">
        <v>1</v>
      </c>
      <c r="L179">
        <v>0</v>
      </c>
      <c r="M179">
        <v>1</v>
      </c>
      <c r="N179">
        <v>0</v>
      </c>
      <c r="O179" s="1" t="s">
        <v>18</v>
      </c>
      <c r="P179" s="1" t="s">
        <v>135</v>
      </c>
      <c r="Q179">
        <v>303</v>
      </c>
      <c r="R179" s="1" t="s">
        <v>63</v>
      </c>
      <c r="S179">
        <v>2</v>
      </c>
      <c r="T179">
        <v>1</v>
      </c>
      <c r="U179">
        <v>2</v>
      </c>
      <c r="V179">
        <v>47</v>
      </c>
      <c r="W179">
        <v>2</v>
      </c>
      <c r="X179">
        <v>1</v>
      </c>
      <c r="Y179" s="1" t="s">
        <v>6</v>
      </c>
      <c r="Z179">
        <v>4</v>
      </c>
      <c r="AA179">
        <v>1102</v>
      </c>
      <c r="AB179">
        <v>9241</v>
      </c>
      <c r="AC179" s="1" t="s">
        <v>19</v>
      </c>
      <c r="AD179">
        <v>22</v>
      </c>
      <c r="AE179">
        <v>4</v>
      </c>
      <c r="AF179">
        <v>3</v>
      </c>
      <c r="AG179">
        <v>80</v>
      </c>
      <c r="AH179">
        <v>0</v>
      </c>
      <c r="AI179">
        <v>2</v>
      </c>
      <c r="AJ179">
        <v>1</v>
      </c>
      <c r="AK179" s="1" t="s">
        <v>136</v>
      </c>
    </row>
    <row r="180" spans="1:37" x14ac:dyDescent="0.25">
      <c r="A180">
        <v>244</v>
      </c>
      <c r="B180">
        <v>46</v>
      </c>
      <c r="C180" s="1" t="s">
        <v>24</v>
      </c>
      <c r="D180" s="1" t="s">
        <v>69</v>
      </c>
      <c r="E180">
        <v>2</v>
      </c>
      <c r="F180" s="1" t="s">
        <v>142</v>
      </c>
      <c r="G180">
        <v>1</v>
      </c>
      <c r="H180" s="1" t="s">
        <v>18</v>
      </c>
      <c r="I180">
        <v>24</v>
      </c>
      <c r="J180">
        <v>2</v>
      </c>
      <c r="K180">
        <v>24</v>
      </c>
      <c r="L180">
        <v>13</v>
      </c>
      <c r="M180">
        <v>15</v>
      </c>
      <c r="N180">
        <v>7</v>
      </c>
      <c r="O180" s="1" t="s">
        <v>19</v>
      </c>
      <c r="P180" s="1" t="s">
        <v>135</v>
      </c>
      <c r="Q180">
        <v>526</v>
      </c>
      <c r="R180" s="1" t="s">
        <v>64</v>
      </c>
      <c r="S180">
        <v>1</v>
      </c>
      <c r="T180">
        <v>1</v>
      </c>
      <c r="U180">
        <v>2</v>
      </c>
      <c r="V180">
        <v>92</v>
      </c>
      <c r="W180">
        <v>3</v>
      </c>
      <c r="X180">
        <v>3</v>
      </c>
      <c r="Y180" s="1" t="s">
        <v>4</v>
      </c>
      <c r="Z180">
        <v>1</v>
      </c>
      <c r="AA180">
        <v>10453</v>
      </c>
      <c r="AB180">
        <v>2137</v>
      </c>
      <c r="AC180" s="1" t="s">
        <v>19</v>
      </c>
      <c r="AD180">
        <v>25</v>
      </c>
      <c r="AE180">
        <v>4</v>
      </c>
      <c r="AF180">
        <v>3</v>
      </c>
      <c r="AG180">
        <v>80</v>
      </c>
      <c r="AH180">
        <v>3</v>
      </c>
      <c r="AI180">
        <v>3</v>
      </c>
      <c r="AJ180">
        <v>0</v>
      </c>
      <c r="AK180" s="1" t="s">
        <v>136</v>
      </c>
    </row>
    <row r="181" spans="1:37" x14ac:dyDescent="0.25">
      <c r="A181">
        <v>245</v>
      </c>
      <c r="B181">
        <v>38</v>
      </c>
      <c r="C181" s="1" t="s">
        <v>24</v>
      </c>
      <c r="D181" s="1" t="s">
        <v>71</v>
      </c>
      <c r="E181">
        <v>2</v>
      </c>
      <c r="F181" s="1" t="s">
        <v>134</v>
      </c>
      <c r="G181">
        <v>1</v>
      </c>
      <c r="H181" s="1" t="s">
        <v>18</v>
      </c>
      <c r="I181">
        <v>2</v>
      </c>
      <c r="J181">
        <v>3</v>
      </c>
      <c r="K181">
        <v>2</v>
      </c>
      <c r="L181">
        <v>2</v>
      </c>
      <c r="M181">
        <v>2</v>
      </c>
      <c r="N181">
        <v>1</v>
      </c>
      <c r="O181" s="1" t="s">
        <v>19</v>
      </c>
      <c r="P181" s="1" t="s">
        <v>135</v>
      </c>
      <c r="Q181">
        <v>1380</v>
      </c>
      <c r="R181" s="1" t="s">
        <v>63</v>
      </c>
      <c r="S181">
        <v>9</v>
      </c>
      <c r="T181">
        <v>1</v>
      </c>
      <c r="U181">
        <v>3</v>
      </c>
      <c r="V181">
        <v>75</v>
      </c>
      <c r="W181">
        <v>3</v>
      </c>
      <c r="X181">
        <v>1</v>
      </c>
      <c r="Y181" s="1" t="s">
        <v>6</v>
      </c>
      <c r="Z181">
        <v>4</v>
      </c>
      <c r="AA181">
        <v>2288</v>
      </c>
      <c r="AB181">
        <v>6319</v>
      </c>
      <c r="AC181" s="1" t="s">
        <v>19</v>
      </c>
      <c r="AD181">
        <v>12</v>
      </c>
      <c r="AE181">
        <v>3</v>
      </c>
      <c r="AF181">
        <v>3</v>
      </c>
      <c r="AG181">
        <v>80</v>
      </c>
      <c r="AH181">
        <v>0</v>
      </c>
      <c r="AI181">
        <v>3</v>
      </c>
      <c r="AJ181">
        <v>0</v>
      </c>
      <c r="AK181" s="1" t="s">
        <v>136</v>
      </c>
    </row>
    <row r="182" spans="1:37" x14ac:dyDescent="0.25">
      <c r="A182">
        <v>246</v>
      </c>
      <c r="B182">
        <v>31</v>
      </c>
      <c r="C182" s="1" t="s">
        <v>24</v>
      </c>
      <c r="D182" s="1" t="s">
        <v>70</v>
      </c>
      <c r="E182">
        <v>1</v>
      </c>
      <c r="F182" s="1" t="s">
        <v>139</v>
      </c>
      <c r="G182">
        <v>8</v>
      </c>
      <c r="H182" s="1" t="s">
        <v>18</v>
      </c>
      <c r="I182">
        <v>7</v>
      </c>
      <c r="J182">
        <v>0</v>
      </c>
      <c r="K182">
        <v>4</v>
      </c>
      <c r="L182">
        <v>2</v>
      </c>
      <c r="M182">
        <v>0</v>
      </c>
      <c r="N182">
        <v>2</v>
      </c>
      <c r="O182" s="1" t="s">
        <v>19</v>
      </c>
      <c r="P182" s="1" t="s">
        <v>135</v>
      </c>
      <c r="Q182">
        <v>140</v>
      </c>
      <c r="R182" s="1" t="s">
        <v>63</v>
      </c>
      <c r="S182">
        <v>12</v>
      </c>
      <c r="T182">
        <v>1</v>
      </c>
      <c r="U182">
        <v>3</v>
      </c>
      <c r="V182">
        <v>95</v>
      </c>
      <c r="W182">
        <v>3</v>
      </c>
      <c r="X182">
        <v>1</v>
      </c>
      <c r="Y182" s="1" t="s">
        <v>5</v>
      </c>
      <c r="Z182">
        <v>4</v>
      </c>
      <c r="AA182">
        <v>3929</v>
      </c>
      <c r="AB182">
        <v>6984</v>
      </c>
      <c r="AC182" s="1" t="s">
        <v>18</v>
      </c>
      <c r="AD182">
        <v>23</v>
      </c>
      <c r="AE182">
        <v>4</v>
      </c>
      <c r="AF182">
        <v>3</v>
      </c>
      <c r="AG182">
        <v>80</v>
      </c>
      <c r="AH182">
        <v>1</v>
      </c>
      <c r="AI182">
        <v>3</v>
      </c>
      <c r="AJ182">
        <v>0</v>
      </c>
      <c r="AK182" s="1" t="s">
        <v>136</v>
      </c>
    </row>
    <row r="183" spans="1:37" x14ac:dyDescent="0.25">
      <c r="A183">
        <v>247</v>
      </c>
      <c r="B183">
        <v>34</v>
      </c>
      <c r="C183" s="1" t="s">
        <v>24</v>
      </c>
      <c r="D183" s="1" t="s">
        <v>71</v>
      </c>
      <c r="E183">
        <v>2</v>
      </c>
      <c r="F183" s="1" t="s">
        <v>139</v>
      </c>
      <c r="G183">
        <v>2</v>
      </c>
      <c r="H183" s="1" t="s">
        <v>18</v>
      </c>
      <c r="I183">
        <v>9</v>
      </c>
      <c r="J183">
        <v>3</v>
      </c>
      <c r="K183">
        <v>3</v>
      </c>
      <c r="L183">
        <v>2</v>
      </c>
      <c r="M183">
        <v>1</v>
      </c>
      <c r="N183">
        <v>2</v>
      </c>
      <c r="O183" s="1" t="s">
        <v>19</v>
      </c>
      <c r="P183" s="1" t="s">
        <v>135</v>
      </c>
      <c r="Q183">
        <v>629</v>
      </c>
      <c r="R183" s="1" t="s">
        <v>63</v>
      </c>
      <c r="S183">
        <v>27</v>
      </c>
      <c r="T183">
        <v>1</v>
      </c>
      <c r="U183">
        <v>4</v>
      </c>
      <c r="V183">
        <v>95</v>
      </c>
      <c r="W183">
        <v>3</v>
      </c>
      <c r="X183">
        <v>1</v>
      </c>
      <c r="Y183" s="1" t="s">
        <v>5</v>
      </c>
      <c r="Z183">
        <v>2</v>
      </c>
      <c r="AA183">
        <v>2311</v>
      </c>
      <c r="AB183">
        <v>5711</v>
      </c>
      <c r="AC183" s="1" t="s">
        <v>19</v>
      </c>
      <c r="AD183">
        <v>15</v>
      </c>
      <c r="AE183">
        <v>3</v>
      </c>
      <c r="AF183">
        <v>4</v>
      </c>
      <c r="AG183">
        <v>80</v>
      </c>
      <c r="AH183">
        <v>0</v>
      </c>
      <c r="AI183">
        <v>3</v>
      </c>
      <c r="AJ183">
        <v>0</v>
      </c>
      <c r="AK183" s="1" t="s">
        <v>136</v>
      </c>
    </row>
    <row r="184" spans="1:37" x14ac:dyDescent="0.25">
      <c r="A184">
        <v>248</v>
      </c>
      <c r="B184">
        <v>41</v>
      </c>
      <c r="C184" s="1" t="s">
        <v>24</v>
      </c>
      <c r="D184" s="1" t="s">
        <v>71</v>
      </c>
      <c r="E184">
        <v>2</v>
      </c>
      <c r="F184" s="1" t="s">
        <v>142</v>
      </c>
      <c r="G184">
        <v>1</v>
      </c>
      <c r="H184" s="1" t="s">
        <v>18</v>
      </c>
      <c r="I184">
        <v>4</v>
      </c>
      <c r="J184">
        <v>5</v>
      </c>
      <c r="K184">
        <v>4</v>
      </c>
      <c r="L184">
        <v>3</v>
      </c>
      <c r="M184">
        <v>0</v>
      </c>
      <c r="N184">
        <v>2</v>
      </c>
      <c r="O184" s="1" t="s">
        <v>18</v>
      </c>
      <c r="P184" s="1" t="s">
        <v>135</v>
      </c>
      <c r="Q184">
        <v>1356</v>
      </c>
      <c r="R184" s="1" t="s">
        <v>64</v>
      </c>
      <c r="S184">
        <v>20</v>
      </c>
      <c r="T184">
        <v>1</v>
      </c>
      <c r="U184">
        <v>2</v>
      </c>
      <c r="V184">
        <v>70</v>
      </c>
      <c r="W184">
        <v>3</v>
      </c>
      <c r="X184">
        <v>1</v>
      </c>
      <c r="Y184" s="1" t="s">
        <v>10</v>
      </c>
      <c r="Z184">
        <v>2</v>
      </c>
      <c r="AA184">
        <v>3140</v>
      </c>
      <c r="AB184">
        <v>21728</v>
      </c>
      <c r="AC184" s="1" t="s">
        <v>18</v>
      </c>
      <c r="AD184">
        <v>22</v>
      </c>
      <c r="AE184">
        <v>4</v>
      </c>
      <c r="AF184">
        <v>4</v>
      </c>
      <c r="AG184">
        <v>80</v>
      </c>
      <c r="AH184">
        <v>0</v>
      </c>
      <c r="AI184">
        <v>2</v>
      </c>
      <c r="AJ184">
        <v>1</v>
      </c>
      <c r="AK184" s="1" t="s">
        <v>136</v>
      </c>
    </row>
    <row r="185" spans="1:37" x14ac:dyDescent="0.25">
      <c r="A185">
        <v>249</v>
      </c>
      <c r="B185">
        <v>50</v>
      </c>
      <c r="C185" s="1" t="s">
        <v>25</v>
      </c>
      <c r="D185" s="1" t="s">
        <v>70</v>
      </c>
      <c r="E185">
        <v>3</v>
      </c>
      <c r="F185" s="1" t="s">
        <v>139</v>
      </c>
      <c r="G185">
        <v>2</v>
      </c>
      <c r="H185" s="1" t="s">
        <v>18</v>
      </c>
      <c r="I185">
        <v>5</v>
      </c>
      <c r="J185">
        <v>2</v>
      </c>
      <c r="K185">
        <v>3</v>
      </c>
      <c r="L185">
        <v>2</v>
      </c>
      <c r="M185">
        <v>0</v>
      </c>
      <c r="N185">
        <v>2</v>
      </c>
      <c r="O185" s="1" t="s">
        <v>19</v>
      </c>
      <c r="P185" s="1" t="s">
        <v>135</v>
      </c>
      <c r="Q185">
        <v>328</v>
      </c>
      <c r="R185" s="1" t="s">
        <v>63</v>
      </c>
      <c r="S185">
        <v>1</v>
      </c>
      <c r="T185">
        <v>1</v>
      </c>
      <c r="U185">
        <v>3</v>
      </c>
      <c r="V185">
        <v>86</v>
      </c>
      <c r="W185">
        <v>2</v>
      </c>
      <c r="X185">
        <v>1</v>
      </c>
      <c r="Y185" s="1" t="s">
        <v>6</v>
      </c>
      <c r="Z185">
        <v>3</v>
      </c>
      <c r="AA185">
        <v>3690</v>
      </c>
      <c r="AB185">
        <v>3425</v>
      </c>
      <c r="AC185" s="1" t="s">
        <v>19</v>
      </c>
      <c r="AD185">
        <v>15</v>
      </c>
      <c r="AE185">
        <v>3</v>
      </c>
      <c r="AF185">
        <v>4</v>
      </c>
      <c r="AG185">
        <v>80</v>
      </c>
      <c r="AH185">
        <v>1</v>
      </c>
      <c r="AI185">
        <v>2</v>
      </c>
      <c r="AJ185">
        <v>0</v>
      </c>
      <c r="AK185" s="1" t="s">
        <v>140</v>
      </c>
    </row>
    <row r="186" spans="1:37" x14ac:dyDescent="0.25">
      <c r="A186">
        <v>250</v>
      </c>
      <c r="B186">
        <v>53</v>
      </c>
      <c r="C186" s="1" t="s">
        <v>24</v>
      </c>
      <c r="D186" s="1" t="s">
        <v>69</v>
      </c>
      <c r="E186">
        <v>2</v>
      </c>
      <c r="F186" s="1" t="s">
        <v>139</v>
      </c>
      <c r="G186">
        <v>1</v>
      </c>
      <c r="H186" s="1" t="s">
        <v>18</v>
      </c>
      <c r="I186">
        <v>5</v>
      </c>
      <c r="J186">
        <v>3</v>
      </c>
      <c r="K186">
        <v>4</v>
      </c>
      <c r="L186">
        <v>2</v>
      </c>
      <c r="M186">
        <v>1</v>
      </c>
      <c r="N186">
        <v>3</v>
      </c>
      <c r="O186" s="1" t="s">
        <v>19</v>
      </c>
      <c r="P186" s="1" t="s">
        <v>135</v>
      </c>
      <c r="Q186">
        <v>1084</v>
      </c>
      <c r="R186" s="1" t="s">
        <v>63</v>
      </c>
      <c r="S186">
        <v>13</v>
      </c>
      <c r="T186">
        <v>1</v>
      </c>
      <c r="U186">
        <v>4</v>
      </c>
      <c r="V186">
        <v>57</v>
      </c>
      <c r="W186">
        <v>4</v>
      </c>
      <c r="X186">
        <v>2</v>
      </c>
      <c r="Y186" s="1" t="s">
        <v>7</v>
      </c>
      <c r="Z186">
        <v>1</v>
      </c>
      <c r="AA186">
        <v>4450</v>
      </c>
      <c r="AB186">
        <v>26250</v>
      </c>
      <c r="AC186" s="1" t="s">
        <v>19</v>
      </c>
      <c r="AD186">
        <v>11</v>
      </c>
      <c r="AE186">
        <v>3</v>
      </c>
      <c r="AF186">
        <v>3</v>
      </c>
      <c r="AG186">
        <v>80</v>
      </c>
      <c r="AH186">
        <v>2</v>
      </c>
      <c r="AI186">
        <v>3</v>
      </c>
      <c r="AJ186">
        <v>0</v>
      </c>
      <c r="AK186" s="1" t="s">
        <v>140</v>
      </c>
    </row>
    <row r="187" spans="1:37" x14ac:dyDescent="0.25">
      <c r="A187">
        <v>252</v>
      </c>
      <c r="B187">
        <v>33</v>
      </c>
      <c r="C187" s="1" t="s">
        <v>24</v>
      </c>
      <c r="D187" s="1" t="s">
        <v>70</v>
      </c>
      <c r="E187">
        <v>3</v>
      </c>
      <c r="F187" s="1" t="s">
        <v>139</v>
      </c>
      <c r="G187">
        <v>1</v>
      </c>
      <c r="H187" s="1" t="s">
        <v>18</v>
      </c>
      <c r="I187">
        <v>8</v>
      </c>
      <c r="J187">
        <v>5</v>
      </c>
      <c r="K187">
        <v>8</v>
      </c>
      <c r="L187">
        <v>7</v>
      </c>
      <c r="M187">
        <v>1</v>
      </c>
      <c r="N187">
        <v>6</v>
      </c>
      <c r="O187" s="1" t="s">
        <v>19</v>
      </c>
      <c r="P187" s="1" t="s">
        <v>135</v>
      </c>
      <c r="Q187">
        <v>931</v>
      </c>
      <c r="R187" s="1" t="s">
        <v>63</v>
      </c>
      <c r="S187">
        <v>14</v>
      </c>
      <c r="T187">
        <v>1</v>
      </c>
      <c r="U187">
        <v>4</v>
      </c>
      <c r="V187">
        <v>72</v>
      </c>
      <c r="W187">
        <v>3</v>
      </c>
      <c r="X187">
        <v>1</v>
      </c>
      <c r="Y187" s="1" t="s">
        <v>5</v>
      </c>
      <c r="Z187">
        <v>2</v>
      </c>
      <c r="AA187">
        <v>2756</v>
      </c>
      <c r="AB187">
        <v>4673</v>
      </c>
      <c r="AC187" s="1" t="s">
        <v>19</v>
      </c>
      <c r="AD187">
        <v>13</v>
      </c>
      <c r="AE187">
        <v>3</v>
      </c>
      <c r="AF187">
        <v>4</v>
      </c>
      <c r="AG187">
        <v>80</v>
      </c>
      <c r="AH187">
        <v>1</v>
      </c>
      <c r="AI187">
        <v>3</v>
      </c>
      <c r="AJ187">
        <v>0</v>
      </c>
      <c r="AK187" s="1" t="s">
        <v>136</v>
      </c>
    </row>
    <row r="188" spans="1:37" x14ac:dyDescent="0.25">
      <c r="A188">
        <v>253</v>
      </c>
      <c r="B188">
        <v>40</v>
      </c>
      <c r="C188" s="1" t="s">
        <v>24</v>
      </c>
      <c r="D188" s="1" t="s">
        <v>70</v>
      </c>
      <c r="E188">
        <v>1</v>
      </c>
      <c r="F188" s="1" t="s">
        <v>139</v>
      </c>
      <c r="G188">
        <v>1</v>
      </c>
      <c r="H188" s="1" t="s">
        <v>18</v>
      </c>
      <c r="I188">
        <v>21</v>
      </c>
      <c r="J188">
        <v>2</v>
      </c>
      <c r="K188">
        <v>20</v>
      </c>
      <c r="L188">
        <v>8</v>
      </c>
      <c r="M188">
        <v>9</v>
      </c>
      <c r="N188">
        <v>9</v>
      </c>
      <c r="O188" s="1" t="s">
        <v>19</v>
      </c>
      <c r="P188" s="1" t="s">
        <v>135</v>
      </c>
      <c r="Q188">
        <v>989</v>
      </c>
      <c r="R188" s="1" t="s">
        <v>63</v>
      </c>
      <c r="S188">
        <v>4</v>
      </c>
      <c r="T188">
        <v>1</v>
      </c>
      <c r="U188">
        <v>4</v>
      </c>
      <c r="V188">
        <v>46</v>
      </c>
      <c r="W188">
        <v>3</v>
      </c>
      <c r="X188">
        <v>5</v>
      </c>
      <c r="Y188" s="1" t="s">
        <v>9</v>
      </c>
      <c r="Z188">
        <v>3</v>
      </c>
      <c r="AA188">
        <v>19033</v>
      </c>
      <c r="AB188">
        <v>6499</v>
      </c>
      <c r="AC188" s="1" t="s">
        <v>19</v>
      </c>
      <c r="AD188">
        <v>14</v>
      </c>
      <c r="AE188">
        <v>3</v>
      </c>
      <c r="AF188">
        <v>2</v>
      </c>
      <c r="AG188">
        <v>80</v>
      </c>
      <c r="AH188">
        <v>1</v>
      </c>
      <c r="AI188">
        <v>3</v>
      </c>
      <c r="AJ188">
        <v>0</v>
      </c>
      <c r="AK188" s="1" t="s">
        <v>136</v>
      </c>
    </row>
    <row r="189" spans="1:37" x14ac:dyDescent="0.25">
      <c r="A189">
        <v>254</v>
      </c>
      <c r="B189">
        <v>55</v>
      </c>
      <c r="C189" s="1" t="s">
        <v>25</v>
      </c>
      <c r="D189" s="1" t="s">
        <v>71</v>
      </c>
      <c r="E189">
        <v>4</v>
      </c>
      <c r="F189" s="1" t="s">
        <v>139</v>
      </c>
      <c r="G189">
        <v>8</v>
      </c>
      <c r="H189" s="1" t="s">
        <v>18</v>
      </c>
      <c r="I189">
        <v>36</v>
      </c>
      <c r="J189">
        <v>3</v>
      </c>
      <c r="K189">
        <v>24</v>
      </c>
      <c r="L189">
        <v>15</v>
      </c>
      <c r="M189">
        <v>2</v>
      </c>
      <c r="N189">
        <v>15</v>
      </c>
      <c r="O189" s="1" t="s">
        <v>19</v>
      </c>
      <c r="P189" s="1" t="s">
        <v>135</v>
      </c>
      <c r="Q189">
        <v>692</v>
      </c>
      <c r="R189" s="1" t="s">
        <v>63</v>
      </c>
      <c r="S189">
        <v>14</v>
      </c>
      <c r="T189">
        <v>1</v>
      </c>
      <c r="U189">
        <v>3</v>
      </c>
      <c r="V189">
        <v>61</v>
      </c>
      <c r="W189">
        <v>4</v>
      </c>
      <c r="X189">
        <v>5</v>
      </c>
      <c r="Y189" s="1" t="s">
        <v>11</v>
      </c>
      <c r="Z189">
        <v>2</v>
      </c>
      <c r="AA189">
        <v>18722</v>
      </c>
      <c r="AB189">
        <v>13339</v>
      </c>
      <c r="AC189" s="1" t="s">
        <v>19</v>
      </c>
      <c r="AD189">
        <v>11</v>
      </c>
      <c r="AE189">
        <v>3</v>
      </c>
      <c r="AF189">
        <v>4</v>
      </c>
      <c r="AG189">
        <v>80</v>
      </c>
      <c r="AH189">
        <v>0</v>
      </c>
      <c r="AI189">
        <v>3</v>
      </c>
      <c r="AJ189">
        <v>0</v>
      </c>
      <c r="AK189" s="1" t="s">
        <v>140</v>
      </c>
    </row>
    <row r="190" spans="1:37" x14ac:dyDescent="0.25">
      <c r="A190">
        <v>256</v>
      </c>
      <c r="B190">
        <v>34</v>
      </c>
      <c r="C190" s="1" t="s">
        <v>25</v>
      </c>
      <c r="D190" s="1" t="s">
        <v>70</v>
      </c>
      <c r="E190">
        <v>1</v>
      </c>
      <c r="F190" s="1" t="s">
        <v>134</v>
      </c>
      <c r="G190">
        <v>1</v>
      </c>
      <c r="H190" s="1" t="s">
        <v>18</v>
      </c>
      <c r="I190">
        <v>10</v>
      </c>
      <c r="J190">
        <v>2</v>
      </c>
      <c r="K190">
        <v>10</v>
      </c>
      <c r="L190">
        <v>9</v>
      </c>
      <c r="M190">
        <v>1</v>
      </c>
      <c r="N190">
        <v>9</v>
      </c>
      <c r="O190" s="1" t="s">
        <v>19</v>
      </c>
      <c r="P190" s="1" t="s">
        <v>137</v>
      </c>
      <c r="Q190">
        <v>1069</v>
      </c>
      <c r="R190" s="1" t="s">
        <v>63</v>
      </c>
      <c r="S190">
        <v>2</v>
      </c>
      <c r="T190">
        <v>1</v>
      </c>
      <c r="U190">
        <v>4</v>
      </c>
      <c r="V190">
        <v>45</v>
      </c>
      <c r="W190">
        <v>2</v>
      </c>
      <c r="X190">
        <v>2</v>
      </c>
      <c r="Y190" s="1" t="s">
        <v>7</v>
      </c>
      <c r="Z190">
        <v>3</v>
      </c>
      <c r="AA190">
        <v>9547</v>
      </c>
      <c r="AB190">
        <v>14074</v>
      </c>
      <c r="AC190" s="1" t="s">
        <v>19</v>
      </c>
      <c r="AD190">
        <v>17</v>
      </c>
      <c r="AE190">
        <v>3</v>
      </c>
      <c r="AF190">
        <v>3</v>
      </c>
      <c r="AG190">
        <v>80</v>
      </c>
      <c r="AH190">
        <v>0</v>
      </c>
      <c r="AI190">
        <v>2</v>
      </c>
      <c r="AJ190">
        <v>0</v>
      </c>
      <c r="AK190" s="1" t="s">
        <v>136</v>
      </c>
    </row>
    <row r="191" spans="1:37" x14ac:dyDescent="0.25">
      <c r="A191">
        <v>258</v>
      </c>
      <c r="B191">
        <v>51</v>
      </c>
      <c r="C191" s="1" t="s">
        <v>24</v>
      </c>
      <c r="D191" s="1" t="s">
        <v>71</v>
      </c>
      <c r="E191">
        <v>3</v>
      </c>
      <c r="F191" s="1" t="s">
        <v>139</v>
      </c>
      <c r="G191">
        <v>3</v>
      </c>
      <c r="H191" s="1" t="s">
        <v>18</v>
      </c>
      <c r="I191">
        <v>21</v>
      </c>
      <c r="J191">
        <v>6</v>
      </c>
      <c r="K191">
        <v>7</v>
      </c>
      <c r="L191">
        <v>7</v>
      </c>
      <c r="M191">
        <v>1</v>
      </c>
      <c r="N191">
        <v>0</v>
      </c>
      <c r="O191" s="1" t="s">
        <v>19</v>
      </c>
      <c r="P191" s="1" t="s">
        <v>135</v>
      </c>
      <c r="Q191">
        <v>313</v>
      </c>
      <c r="R191" s="1" t="s">
        <v>63</v>
      </c>
      <c r="S191">
        <v>3</v>
      </c>
      <c r="T191">
        <v>1</v>
      </c>
      <c r="U191">
        <v>4</v>
      </c>
      <c r="V191">
        <v>98</v>
      </c>
      <c r="W191">
        <v>3</v>
      </c>
      <c r="X191">
        <v>4</v>
      </c>
      <c r="Y191" s="1" t="s">
        <v>8</v>
      </c>
      <c r="Z191">
        <v>2</v>
      </c>
      <c r="AA191">
        <v>13734</v>
      </c>
      <c r="AB191">
        <v>7192</v>
      </c>
      <c r="AC191" s="1" t="s">
        <v>19</v>
      </c>
      <c r="AD191">
        <v>18</v>
      </c>
      <c r="AE191">
        <v>3</v>
      </c>
      <c r="AF191">
        <v>3</v>
      </c>
      <c r="AG191">
        <v>80</v>
      </c>
      <c r="AH191">
        <v>0</v>
      </c>
      <c r="AI191">
        <v>3</v>
      </c>
      <c r="AJ191">
        <v>0</v>
      </c>
      <c r="AK191" s="1" t="s">
        <v>140</v>
      </c>
    </row>
    <row r="192" spans="1:37" x14ac:dyDescent="0.25">
      <c r="A192">
        <v>259</v>
      </c>
      <c r="B192">
        <v>52</v>
      </c>
      <c r="C192" s="1" t="s">
        <v>25</v>
      </c>
      <c r="D192" s="1" t="s">
        <v>70</v>
      </c>
      <c r="E192">
        <v>4</v>
      </c>
      <c r="F192" s="1" t="s">
        <v>134</v>
      </c>
      <c r="G192">
        <v>0</v>
      </c>
      <c r="H192" s="1" t="s">
        <v>18</v>
      </c>
      <c r="I192">
        <v>34</v>
      </c>
      <c r="J192">
        <v>5</v>
      </c>
      <c r="K192">
        <v>33</v>
      </c>
      <c r="L192">
        <v>18</v>
      </c>
      <c r="M192">
        <v>11</v>
      </c>
      <c r="N192">
        <v>9</v>
      </c>
      <c r="O192" s="1" t="s">
        <v>19</v>
      </c>
      <c r="P192" s="1" t="s">
        <v>135</v>
      </c>
      <c r="Q192">
        <v>699</v>
      </c>
      <c r="R192" s="1" t="s">
        <v>63</v>
      </c>
      <c r="S192">
        <v>1</v>
      </c>
      <c r="T192">
        <v>1</v>
      </c>
      <c r="U192">
        <v>3</v>
      </c>
      <c r="V192">
        <v>65</v>
      </c>
      <c r="W192">
        <v>2</v>
      </c>
      <c r="X192">
        <v>5</v>
      </c>
      <c r="Y192" s="1" t="s">
        <v>9</v>
      </c>
      <c r="Z192">
        <v>3</v>
      </c>
      <c r="AA192">
        <v>19999</v>
      </c>
      <c r="AB192">
        <v>5678</v>
      </c>
      <c r="AC192" s="1" t="s">
        <v>19</v>
      </c>
      <c r="AD192">
        <v>14</v>
      </c>
      <c r="AE192">
        <v>3</v>
      </c>
      <c r="AF192">
        <v>1</v>
      </c>
      <c r="AG192">
        <v>80</v>
      </c>
      <c r="AH192">
        <v>1</v>
      </c>
      <c r="AI192">
        <v>3</v>
      </c>
      <c r="AJ192">
        <v>0</v>
      </c>
      <c r="AK192" s="1" t="s">
        <v>140</v>
      </c>
    </row>
    <row r="193" spans="1:37" x14ac:dyDescent="0.25">
      <c r="A193">
        <v>260</v>
      </c>
      <c r="B193">
        <v>27</v>
      </c>
      <c r="C193" s="1" t="s">
        <v>24</v>
      </c>
      <c r="D193" s="1" t="s">
        <v>71</v>
      </c>
      <c r="E193">
        <v>3</v>
      </c>
      <c r="F193" s="1" t="s">
        <v>139</v>
      </c>
      <c r="G193">
        <v>1</v>
      </c>
      <c r="H193" s="1" t="s">
        <v>18</v>
      </c>
      <c r="I193">
        <v>7</v>
      </c>
      <c r="J193">
        <v>2</v>
      </c>
      <c r="K193">
        <v>7</v>
      </c>
      <c r="L193">
        <v>7</v>
      </c>
      <c r="M193">
        <v>0</v>
      </c>
      <c r="N193">
        <v>3</v>
      </c>
      <c r="O193" s="1" t="s">
        <v>19</v>
      </c>
      <c r="P193" s="1" t="s">
        <v>135</v>
      </c>
      <c r="Q193">
        <v>894</v>
      </c>
      <c r="R193" s="1" t="s">
        <v>63</v>
      </c>
      <c r="S193">
        <v>9</v>
      </c>
      <c r="T193">
        <v>1</v>
      </c>
      <c r="U193">
        <v>4</v>
      </c>
      <c r="V193">
        <v>99</v>
      </c>
      <c r="W193">
        <v>3</v>
      </c>
      <c r="X193">
        <v>1</v>
      </c>
      <c r="Y193" s="1" t="s">
        <v>5</v>
      </c>
      <c r="Z193">
        <v>2</v>
      </c>
      <c r="AA193">
        <v>2279</v>
      </c>
      <c r="AB193">
        <v>11781</v>
      </c>
      <c r="AC193" s="1" t="s">
        <v>19</v>
      </c>
      <c r="AD193">
        <v>16</v>
      </c>
      <c r="AE193">
        <v>3</v>
      </c>
      <c r="AF193">
        <v>4</v>
      </c>
      <c r="AG193">
        <v>80</v>
      </c>
      <c r="AH193">
        <v>0</v>
      </c>
      <c r="AI193">
        <v>2</v>
      </c>
      <c r="AJ193">
        <v>0</v>
      </c>
      <c r="AK193" s="1" t="s">
        <v>136</v>
      </c>
    </row>
    <row r="194" spans="1:37" x14ac:dyDescent="0.25">
      <c r="A194">
        <v>261</v>
      </c>
      <c r="B194">
        <v>35</v>
      </c>
      <c r="C194" s="1" t="s">
        <v>25</v>
      </c>
      <c r="D194" s="1" t="s">
        <v>70</v>
      </c>
      <c r="E194">
        <v>2</v>
      </c>
      <c r="F194" s="1" t="s">
        <v>134</v>
      </c>
      <c r="G194">
        <v>3</v>
      </c>
      <c r="H194" s="1" t="s">
        <v>18</v>
      </c>
      <c r="I194">
        <v>8</v>
      </c>
      <c r="J194">
        <v>1</v>
      </c>
      <c r="K194">
        <v>1</v>
      </c>
      <c r="L194">
        <v>0</v>
      </c>
      <c r="M194">
        <v>0</v>
      </c>
      <c r="N194">
        <v>1</v>
      </c>
      <c r="O194" s="1" t="s">
        <v>18</v>
      </c>
      <c r="P194" s="1" t="s">
        <v>135</v>
      </c>
      <c r="Q194">
        <v>556</v>
      </c>
      <c r="R194" s="1" t="s">
        <v>63</v>
      </c>
      <c r="S194">
        <v>23</v>
      </c>
      <c r="T194">
        <v>1</v>
      </c>
      <c r="U194">
        <v>2</v>
      </c>
      <c r="V194">
        <v>50</v>
      </c>
      <c r="W194">
        <v>2</v>
      </c>
      <c r="X194">
        <v>2</v>
      </c>
      <c r="Y194" s="1" t="s">
        <v>7</v>
      </c>
      <c r="Z194">
        <v>3</v>
      </c>
      <c r="AA194">
        <v>5916</v>
      </c>
      <c r="AB194">
        <v>15497</v>
      </c>
      <c r="AC194" s="1" t="s">
        <v>18</v>
      </c>
      <c r="AD194">
        <v>13</v>
      </c>
      <c r="AE194">
        <v>3</v>
      </c>
      <c r="AF194">
        <v>1</v>
      </c>
      <c r="AG194">
        <v>80</v>
      </c>
      <c r="AH194">
        <v>0</v>
      </c>
      <c r="AI194">
        <v>3</v>
      </c>
      <c r="AJ194">
        <v>1</v>
      </c>
      <c r="AK194" s="1" t="s">
        <v>136</v>
      </c>
    </row>
    <row r="195" spans="1:37" x14ac:dyDescent="0.25">
      <c r="A195">
        <v>262</v>
      </c>
      <c r="B195">
        <v>43</v>
      </c>
      <c r="C195" s="1" t="s">
        <v>25</v>
      </c>
      <c r="D195" s="1" t="s">
        <v>69</v>
      </c>
      <c r="E195">
        <v>3</v>
      </c>
      <c r="F195" s="1" t="s">
        <v>139</v>
      </c>
      <c r="G195">
        <v>4</v>
      </c>
      <c r="H195" s="1" t="s">
        <v>18</v>
      </c>
      <c r="I195">
        <v>7</v>
      </c>
      <c r="J195">
        <v>3</v>
      </c>
      <c r="K195">
        <v>5</v>
      </c>
      <c r="L195">
        <v>4</v>
      </c>
      <c r="M195">
        <v>2</v>
      </c>
      <c r="N195">
        <v>2</v>
      </c>
      <c r="O195" s="1" t="s">
        <v>19</v>
      </c>
      <c r="P195" s="1" t="s">
        <v>141</v>
      </c>
      <c r="Q195">
        <v>1344</v>
      </c>
      <c r="R195" s="1" t="s">
        <v>63</v>
      </c>
      <c r="S195">
        <v>7</v>
      </c>
      <c r="T195">
        <v>1</v>
      </c>
      <c r="U195">
        <v>4</v>
      </c>
      <c r="V195">
        <v>37</v>
      </c>
      <c r="W195">
        <v>4</v>
      </c>
      <c r="X195">
        <v>1</v>
      </c>
      <c r="Y195" s="1" t="s">
        <v>5</v>
      </c>
      <c r="Z195">
        <v>4</v>
      </c>
      <c r="AA195">
        <v>2089</v>
      </c>
      <c r="AB195">
        <v>5228</v>
      </c>
      <c r="AC195" s="1" t="s">
        <v>19</v>
      </c>
      <c r="AD195">
        <v>14</v>
      </c>
      <c r="AE195">
        <v>3</v>
      </c>
      <c r="AF195">
        <v>4</v>
      </c>
      <c r="AG195">
        <v>80</v>
      </c>
      <c r="AH195">
        <v>3</v>
      </c>
      <c r="AI195">
        <v>4</v>
      </c>
      <c r="AJ195">
        <v>0</v>
      </c>
      <c r="AK195" s="1" t="s">
        <v>136</v>
      </c>
    </row>
    <row r="196" spans="1:37" x14ac:dyDescent="0.25">
      <c r="A196">
        <v>264</v>
      </c>
      <c r="B196">
        <v>45</v>
      </c>
      <c r="C196" s="1" t="s">
        <v>25</v>
      </c>
      <c r="D196" s="1" t="s">
        <v>70</v>
      </c>
      <c r="E196">
        <v>2</v>
      </c>
      <c r="F196" s="1" t="s">
        <v>139</v>
      </c>
      <c r="G196">
        <v>9</v>
      </c>
      <c r="H196" s="1" t="s">
        <v>18</v>
      </c>
      <c r="I196">
        <v>22</v>
      </c>
      <c r="J196">
        <v>1</v>
      </c>
      <c r="K196">
        <v>20</v>
      </c>
      <c r="L196">
        <v>8</v>
      </c>
      <c r="M196">
        <v>11</v>
      </c>
      <c r="N196">
        <v>8</v>
      </c>
      <c r="O196" s="1" t="s">
        <v>19</v>
      </c>
      <c r="P196" s="1" t="s">
        <v>141</v>
      </c>
      <c r="Q196">
        <v>1195</v>
      </c>
      <c r="R196" s="1" t="s">
        <v>63</v>
      </c>
      <c r="S196">
        <v>2</v>
      </c>
      <c r="T196">
        <v>1</v>
      </c>
      <c r="U196">
        <v>1</v>
      </c>
      <c r="V196">
        <v>65</v>
      </c>
      <c r="W196">
        <v>2</v>
      </c>
      <c r="X196">
        <v>4</v>
      </c>
      <c r="Y196" s="1" t="s">
        <v>9</v>
      </c>
      <c r="Z196">
        <v>4</v>
      </c>
      <c r="AA196">
        <v>16792</v>
      </c>
      <c r="AB196">
        <v>20462</v>
      </c>
      <c r="AC196" s="1" t="s">
        <v>19</v>
      </c>
      <c r="AD196">
        <v>23</v>
      </c>
      <c r="AE196">
        <v>4</v>
      </c>
      <c r="AF196">
        <v>4</v>
      </c>
      <c r="AG196">
        <v>80</v>
      </c>
      <c r="AH196">
        <v>1</v>
      </c>
      <c r="AI196">
        <v>3</v>
      </c>
      <c r="AJ196">
        <v>0</v>
      </c>
      <c r="AK196" s="1" t="s">
        <v>136</v>
      </c>
    </row>
    <row r="197" spans="1:37" x14ac:dyDescent="0.25">
      <c r="A197">
        <v>267</v>
      </c>
      <c r="B197">
        <v>37</v>
      </c>
      <c r="C197" s="1" t="s">
        <v>25</v>
      </c>
      <c r="D197" s="1" t="s">
        <v>70</v>
      </c>
      <c r="E197">
        <v>3</v>
      </c>
      <c r="F197" s="1" t="s">
        <v>134</v>
      </c>
      <c r="G197">
        <v>1</v>
      </c>
      <c r="H197" s="1" t="s">
        <v>18</v>
      </c>
      <c r="I197">
        <v>8</v>
      </c>
      <c r="J197">
        <v>3</v>
      </c>
      <c r="K197">
        <v>8</v>
      </c>
      <c r="L197">
        <v>7</v>
      </c>
      <c r="M197">
        <v>1</v>
      </c>
      <c r="N197">
        <v>7</v>
      </c>
      <c r="O197" s="1" t="s">
        <v>19</v>
      </c>
      <c r="P197" s="1" t="s">
        <v>135</v>
      </c>
      <c r="Q197">
        <v>290</v>
      </c>
      <c r="R197" s="1" t="s">
        <v>63</v>
      </c>
      <c r="S197">
        <v>21</v>
      </c>
      <c r="T197">
        <v>1</v>
      </c>
      <c r="U197">
        <v>2</v>
      </c>
      <c r="V197">
        <v>65</v>
      </c>
      <c r="W197">
        <v>4</v>
      </c>
      <c r="X197">
        <v>1</v>
      </c>
      <c r="Y197" s="1" t="s">
        <v>5</v>
      </c>
      <c r="Z197">
        <v>1</v>
      </c>
      <c r="AA197">
        <v>3564</v>
      </c>
      <c r="AB197">
        <v>22977</v>
      </c>
      <c r="AC197" s="1" t="s">
        <v>18</v>
      </c>
      <c r="AD197">
        <v>12</v>
      </c>
      <c r="AE197">
        <v>3</v>
      </c>
      <c r="AF197">
        <v>1</v>
      </c>
      <c r="AG197">
        <v>80</v>
      </c>
      <c r="AH197">
        <v>1</v>
      </c>
      <c r="AI197">
        <v>2</v>
      </c>
      <c r="AJ197">
        <v>0</v>
      </c>
      <c r="AK197" s="1" t="s">
        <v>136</v>
      </c>
    </row>
    <row r="198" spans="1:37" x14ac:dyDescent="0.25">
      <c r="A198">
        <v>269</v>
      </c>
      <c r="B198">
        <v>35</v>
      </c>
      <c r="C198" s="1" t="s">
        <v>24</v>
      </c>
      <c r="D198" s="1" t="s">
        <v>71</v>
      </c>
      <c r="E198">
        <v>3</v>
      </c>
      <c r="F198" s="1" t="s">
        <v>139</v>
      </c>
      <c r="G198">
        <v>5</v>
      </c>
      <c r="H198" s="1" t="s">
        <v>18</v>
      </c>
      <c r="I198">
        <v>10</v>
      </c>
      <c r="J198">
        <v>5</v>
      </c>
      <c r="K198">
        <v>6</v>
      </c>
      <c r="L198">
        <v>2</v>
      </c>
      <c r="M198">
        <v>1</v>
      </c>
      <c r="N198">
        <v>2</v>
      </c>
      <c r="O198" s="1" t="s">
        <v>19</v>
      </c>
      <c r="P198" s="1" t="s">
        <v>137</v>
      </c>
      <c r="Q198">
        <v>138</v>
      </c>
      <c r="R198" s="1" t="s">
        <v>63</v>
      </c>
      <c r="S198">
        <v>2</v>
      </c>
      <c r="T198">
        <v>1</v>
      </c>
      <c r="U198">
        <v>2</v>
      </c>
      <c r="V198">
        <v>37</v>
      </c>
      <c r="W198">
        <v>3</v>
      </c>
      <c r="X198">
        <v>2</v>
      </c>
      <c r="Y198" s="1" t="s">
        <v>6</v>
      </c>
      <c r="Z198">
        <v>2</v>
      </c>
      <c r="AA198">
        <v>4425</v>
      </c>
      <c r="AB198">
        <v>15986</v>
      </c>
      <c r="AC198" s="1" t="s">
        <v>19</v>
      </c>
      <c r="AD198">
        <v>11</v>
      </c>
      <c r="AE198">
        <v>3</v>
      </c>
      <c r="AF198">
        <v>4</v>
      </c>
      <c r="AG198">
        <v>80</v>
      </c>
      <c r="AH198">
        <v>0</v>
      </c>
      <c r="AI198">
        <v>3</v>
      </c>
      <c r="AJ198">
        <v>0</v>
      </c>
      <c r="AK198" s="1" t="s">
        <v>136</v>
      </c>
    </row>
    <row r="199" spans="1:37" x14ac:dyDescent="0.25">
      <c r="A199">
        <v>270</v>
      </c>
      <c r="B199">
        <v>42</v>
      </c>
      <c r="C199" s="1" t="s">
        <v>24</v>
      </c>
      <c r="D199" s="1" t="s">
        <v>69</v>
      </c>
      <c r="E199">
        <v>2</v>
      </c>
      <c r="F199" s="1" t="s">
        <v>139</v>
      </c>
      <c r="G199">
        <v>2</v>
      </c>
      <c r="H199" s="1" t="s">
        <v>18</v>
      </c>
      <c r="I199">
        <v>11</v>
      </c>
      <c r="J199">
        <v>5</v>
      </c>
      <c r="K199">
        <v>5</v>
      </c>
      <c r="L199">
        <v>3</v>
      </c>
      <c r="M199">
        <v>0</v>
      </c>
      <c r="N199">
        <v>2</v>
      </c>
      <c r="O199" s="1" t="s">
        <v>19</v>
      </c>
      <c r="P199" s="1" t="s">
        <v>141</v>
      </c>
      <c r="Q199">
        <v>926</v>
      </c>
      <c r="R199" s="1" t="s">
        <v>63</v>
      </c>
      <c r="S199">
        <v>21</v>
      </c>
      <c r="T199">
        <v>1</v>
      </c>
      <c r="U199">
        <v>3</v>
      </c>
      <c r="V199">
        <v>36</v>
      </c>
      <c r="W199">
        <v>3</v>
      </c>
      <c r="X199">
        <v>2</v>
      </c>
      <c r="Y199" s="1" t="s">
        <v>7</v>
      </c>
      <c r="Z199">
        <v>3</v>
      </c>
      <c r="AA199">
        <v>5265</v>
      </c>
      <c r="AB199">
        <v>16439</v>
      </c>
      <c r="AC199" s="1" t="s">
        <v>19</v>
      </c>
      <c r="AD199">
        <v>16</v>
      </c>
      <c r="AE199">
        <v>3</v>
      </c>
      <c r="AF199">
        <v>2</v>
      </c>
      <c r="AG199">
        <v>80</v>
      </c>
      <c r="AH199">
        <v>1</v>
      </c>
      <c r="AI199">
        <v>3</v>
      </c>
      <c r="AJ199">
        <v>0</v>
      </c>
      <c r="AK199" s="1" t="s">
        <v>136</v>
      </c>
    </row>
    <row r="200" spans="1:37" x14ac:dyDescent="0.25">
      <c r="A200">
        <v>271</v>
      </c>
      <c r="B200">
        <v>38</v>
      </c>
      <c r="C200" s="1" t="s">
        <v>25</v>
      </c>
      <c r="D200" s="1" t="s">
        <v>70</v>
      </c>
      <c r="E200">
        <v>4</v>
      </c>
      <c r="F200" s="1" t="s">
        <v>134</v>
      </c>
      <c r="G200">
        <v>9</v>
      </c>
      <c r="H200" s="1" t="s">
        <v>18</v>
      </c>
      <c r="I200">
        <v>14</v>
      </c>
      <c r="J200">
        <v>3</v>
      </c>
      <c r="K200">
        <v>1</v>
      </c>
      <c r="L200">
        <v>0</v>
      </c>
      <c r="M200">
        <v>0</v>
      </c>
      <c r="N200">
        <v>0</v>
      </c>
      <c r="O200" s="1" t="s">
        <v>19</v>
      </c>
      <c r="P200" s="1" t="s">
        <v>135</v>
      </c>
      <c r="Q200">
        <v>1261</v>
      </c>
      <c r="R200" s="1" t="s">
        <v>63</v>
      </c>
      <c r="S200">
        <v>2</v>
      </c>
      <c r="T200">
        <v>1</v>
      </c>
      <c r="U200">
        <v>4</v>
      </c>
      <c r="V200">
        <v>88</v>
      </c>
      <c r="W200">
        <v>3</v>
      </c>
      <c r="X200">
        <v>2</v>
      </c>
      <c r="Y200" s="1" t="s">
        <v>7</v>
      </c>
      <c r="Z200">
        <v>3</v>
      </c>
      <c r="AA200">
        <v>6553</v>
      </c>
      <c r="AB200">
        <v>7259</v>
      </c>
      <c r="AC200" s="1" t="s">
        <v>19</v>
      </c>
      <c r="AD200">
        <v>14</v>
      </c>
      <c r="AE200">
        <v>3</v>
      </c>
      <c r="AF200">
        <v>2</v>
      </c>
      <c r="AG200">
        <v>80</v>
      </c>
      <c r="AH200">
        <v>0</v>
      </c>
      <c r="AI200">
        <v>3</v>
      </c>
      <c r="AJ200">
        <v>0</v>
      </c>
      <c r="AK200" s="1" t="s">
        <v>136</v>
      </c>
    </row>
    <row r="201" spans="1:37" x14ac:dyDescent="0.25">
      <c r="A201">
        <v>273</v>
      </c>
      <c r="B201">
        <v>38</v>
      </c>
      <c r="C201" s="1" t="s">
        <v>25</v>
      </c>
      <c r="D201" s="1" t="s">
        <v>70</v>
      </c>
      <c r="E201">
        <v>3</v>
      </c>
      <c r="F201" s="1" t="s">
        <v>143</v>
      </c>
      <c r="G201">
        <v>3</v>
      </c>
      <c r="H201" s="1" t="s">
        <v>18</v>
      </c>
      <c r="I201">
        <v>9</v>
      </c>
      <c r="J201">
        <v>3</v>
      </c>
      <c r="K201">
        <v>7</v>
      </c>
      <c r="L201">
        <v>7</v>
      </c>
      <c r="M201">
        <v>1</v>
      </c>
      <c r="N201">
        <v>7</v>
      </c>
      <c r="O201" s="1" t="s">
        <v>19</v>
      </c>
      <c r="P201" s="1" t="s">
        <v>135</v>
      </c>
      <c r="Q201">
        <v>1084</v>
      </c>
      <c r="R201" s="1" t="s">
        <v>63</v>
      </c>
      <c r="S201">
        <v>29</v>
      </c>
      <c r="T201">
        <v>1</v>
      </c>
      <c r="U201">
        <v>4</v>
      </c>
      <c r="V201">
        <v>54</v>
      </c>
      <c r="W201">
        <v>3</v>
      </c>
      <c r="X201">
        <v>2</v>
      </c>
      <c r="Y201" s="1" t="s">
        <v>7</v>
      </c>
      <c r="Z201">
        <v>4</v>
      </c>
      <c r="AA201">
        <v>6261</v>
      </c>
      <c r="AB201">
        <v>4185</v>
      </c>
      <c r="AC201" s="1" t="s">
        <v>19</v>
      </c>
      <c r="AD201">
        <v>18</v>
      </c>
      <c r="AE201">
        <v>3</v>
      </c>
      <c r="AF201">
        <v>1</v>
      </c>
      <c r="AG201">
        <v>80</v>
      </c>
      <c r="AH201">
        <v>1</v>
      </c>
      <c r="AI201">
        <v>1</v>
      </c>
      <c r="AJ201">
        <v>0</v>
      </c>
      <c r="AK201" s="1" t="s">
        <v>136</v>
      </c>
    </row>
    <row r="202" spans="1:37" x14ac:dyDescent="0.25">
      <c r="A202">
        <v>274</v>
      </c>
      <c r="B202">
        <v>27</v>
      </c>
      <c r="C202" s="1" t="s">
        <v>25</v>
      </c>
      <c r="D202" s="1" t="s">
        <v>70</v>
      </c>
      <c r="E202">
        <v>1</v>
      </c>
      <c r="F202" s="1" t="s">
        <v>143</v>
      </c>
      <c r="G202">
        <v>5</v>
      </c>
      <c r="H202" s="1" t="s">
        <v>18</v>
      </c>
      <c r="I202">
        <v>6</v>
      </c>
      <c r="J202">
        <v>1</v>
      </c>
      <c r="K202">
        <v>2</v>
      </c>
      <c r="L202">
        <v>2</v>
      </c>
      <c r="M202">
        <v>2</v>
      </c>
      <c r="N202">
        <v>0</v>
      </c>
      <c r="O202" s="1" t="s">
        <v>19</v>
      </c>
      <c r="P202" s="1" t="s">
        <v>137</v>
      </c>
      <c r="Q202">
        <v>472</v>
      </c>
      <c r="R202" s="1" t="s">
        <v>63</v>
      </c>
      <c r="S202">
        <v>1</v>
      </c>
      <c r="T202">
        <v>1</v>
      </c>
      <c r="U202">
        <v>3</v>
      </c>
      <c r="V202">
        <v>60</v>
      </c>
      <c r="W202">
        <v>2</v>
      </c>
      <c r="X202">
        <v>2</v>
      </c>
      <c r="Y202" s="1" t="s">
        <v>7</v>
      </c>
      <c r="Z202">
        <v>1</v>
      </c>
      <c r="AA202">
        <v>4298</v>
      </c>
      <c r="AB202">
        <v>9679</v>
      </c>
      <c r="AC202" s="1" t="s">
        <v>19</v>
      </c>
      <c r="AD202">
        <v>19</v>
      </c>
      <c r="AE202">
        <v>3</v>
      </c>
      <c r="AF202">
        <v>3</v>
      </c>
      <c r="AG202">
        <v>80</v>
      </c>
      <c r="AH202">
        <v>1</v>
      </c>
      <c r="AI202">
        <v>3</v>
      </c>
      <c r="AJ202">
        <v>0</v>
      </c>
      <c r="AK202" s="1" t="s">
        <v>136</v>
      </c>
    </row>
    <row r="203" spans="1:37" x14ac:dyDescent="0.25">
      <c r="A203">
        <v>275</v>
      </c>
      <c r="B203">
        <v>49</v>
      </c>
      <c r="C203" s="1" t="s">
        <v>25</v>
      </c>
      <c r="D203" s="1" t="s">
        <v>69</v>
      </c>
      <c r="E203">
        <v>4</v>
      </c>
      <c r="F203" s="1" t="s">
        <v>134</v>
      </c>
      <c r="G203">
        <v>1</v>
      </c>
      <c r="H203" s="1" t="s">
        <v>18</v>
      </c>
      <c r="I203">
        <v>7</v>
      </c>
      <c r="J203">
        <v>0</v>
      </c>
      <c r="K203">
        <v>7</v>
      </c>
      <c r="L203">
        <v>7</v>
      </c>
      <c r="M203">
        <v>1</v>
      </c>
      <c r="N203">
        <v>7</v>
      </c>
      <c r="O203" s="1" t="s">
        <v>19</v>
      </c>
      <c r="P203" s="1" t="s">
        <v>141</v>
      </c>
      <c r="Q203">
        <v>1002</v>
      </c>
      <c r="R203" s="1" t="s">
        <v>63</v>
      </c>
      <c r="S203">
        <v>18</v>
      </c>
      <c r="T203">
        <v>1</v>
      </c>
      <c r="U203">
        <v>4</v>
      </c>
      <c r="V203">
        <v>92</v>
      </c>
      <c r="W203">
        <v>3</v>
      </c>
      <c r="X203">
        <v>2</v>
      </c>
      <c r="Y203" s="1" t="s">
        <v>7</v>
      </c>
      <c r="Z203">
        <v>4</v>
      </c>
      <c r="AA203">
        <v>6804</v>
      </c>
      <c r="AB203">
        <v>23793</v>
      </c>
      <c r="AC203" s="1" t="s">
        <v>18</v>
      </c>
      <c r="AD203">
        <v>15</v>
      </c>
      <c r="AE203">
        <v>3</v>
      </c>
      <c r="AF203">
        <v>1</v>
      </c>
      <c r="AG203">
        <v>80</v>
      </c>
      <c r="AH203">
        <v>2</v>
      </c>
      <c r="AI203">
        <v>3</v>
      </c>
      <c r="AJ203">
        <v>0</v>
      </c>
      <c r="AK203" s="1" t="s">
        <v>136</v>
      </c>
    </row>
    <row r="204" spans="1:37" x14ac:dyDescent="0.25">
      <c r="A204">
        <v>277</v>
      </c>
      <c r="B204">
        <v>34</v>
      </c>
      <c r="C204" s="1" t="s">
        <v>25</v>
      </c>
      <c r="D204" s="1" t="s">
        <v>69</v>
      </c>
      <c r="E204">
        <v>4</v>
      </c>
      <c r="F204" s="1" t="s">
        <v>139</v>
      </c>
      <c r="G204">
        <v>1</v>
      </c>
      <c r="H204" s="1" t="s">
        <v>18</v>
      </c>
      <c r="I204">
        <v>5</v>
      </c>
      <c r="J204">
        <v>4</v>
      </c>
      <c r="K204">
        <v>5</v>
      </c>
      <c r="L204">
        <v>3</v>
      </c>
      <c r="M204">
        <v>2</v>
      </c>
      <c r="N204">
        <v>0</v>
      </c>
      <c r="O204" s="1" t="s">
        <v>19</v>
      </c>
      <c r="P204" s="1" t="s">
        <v>137</v>
      </c>
      <c r="Q204">
        <v>878</v>
      </c>
      <c r="R204" s="1" t="s">
        <v>63</v>
      </c>
      <c r="S204">
        <v>10</v>
      </c>
      <c r="T204">
        <v>1</v>
      </c>
      <c r="U204">
        <v>4</v>
      </c>
      <c r="V204">
        <v>43</v>
      </c>
      <c r="W204">
        <v>3</v>
      </c>
      <c r="X204">
        <v>1</v>
      </c>
      <c r="Y204" s="1" t="s">
        <v>5</v>
      </c>
      <c r="Z204">
        <v>3</v>
      </c>
      <c r="AA204">
        <v>3815</v>
      </c>
      <c r="AB204">
        <v>5972</v>
      </c>
      <c r="AC204" s="1" t="s">
        <v>18</v>
      </c>
      <c r="AD204">
        <v>17</v>
      </c>
      <c r="AE204">
        <v>3</v>
      </c>
      <c r="AF204">
        <v>4</v>
      </c>
      <c r="AG204">
        <v>80</v>
      </c>
      <c r="AH204">
        <v>1</v>
      </c>
      <c r="AI204">
        <v>4</v>
      </c>
      <c r="AJ204">
        <v>0</v>
      </c>
      <c r="AK204" s="1" t="s">
        <v>136</v>
      </c>
    </row>
    <row r="205" spans="1:37" x14ac:dyDescent="0.25">
      <c r="A205">
        <v>281</v>
      </c>
      <c r="B205">
        <v>40</v>
      </c>
      <c r="C205" s="1" t="s">
        <v>25</v>
      </c>
      <c r="D205" s="1" t="s">
        <v>70</v>
      </c>
      <c r="E205">
        <v>2</v>
      </c>
      <c r="F205" s="1" t="s">
        <v>139</v>
      </c>
      <c r="G205">
        <v>8</v>
      </c>
      <c r="H205" s="1" t="s">
        <v>18</v>
      </c>
      <c r="I205">
        <v>15</v>
      </c>
      <c r="J205">
        <v>2</v>
      </c>
      <c r="K205">
        <v>7</v>
      </c>
      <c r="L205">
        <v>2</v>
      </c>
      <c r="M205">
        <v>3</v>
      </c>
      <c r="N205">
        <v>7</v>
      </c>
      <c r="O205" s="1" t="s">
        <v>19</v>
      </c>
      <c r="P205" s="1" t="s">
        <v>135</v>
      </c>
      <c r="Q205">
        <v>905</v>
      </c>
      <c r="R205" s="1" t="s">
        <v>63</v>
      </c>
      <c r="S205">
        <v>19</v>
      </c>
      <c r="T205">
        <v>1</v>
      </c>
      <c r="U205">
        <v>3</v>
      </c>
      <c r="V205">
        <v>99</v>
      </c>
      <c r="W205">
        <v>3</v>
      </c>
      <c r="X205">
        <v>2</v>
      </c>
      <c r="Y205" s="1" t="s">
        <v>6</v>
      </c>
      <c r="Z205">
        <v>4</v>
      </c>
      <c r="AA205">
        <v>2741</v>
      </c>
      <c r="AB205">
        <v>16523</v>
      </c>
      <c r="AC205" s="1" t="s">
        <v>18</v>
      </c>
      <c r="AD205">
        <v>15</v>
      </c>
      <c r="AE205">
        <v>3</v>
      </c>
      <c r="AF205">
        <v>3</v>
      </c>
      <c r="AG205">
        <v>80</v>
      </c>
      <c r="AH205">
        <v>1</v>
      </c>
      <c r="AI205">
        <v>4</v>
      </c>
      <c r="AJ205">
        <v>0</v>
      </c>
      <c r="AK205" s="1" t="s">
        <v>136</v>
      </c>
    </row>
    <row r="206" spans="1:37" x14ac:dyDescent="0.25">
      <c r="A206">
        <v>282</v>
      </c>
      <c r="B206">
        <v>38</v>
      </c>
      <c r="C206" s="1" t="s">
        <v>25</v>
      </c>
      <c r="D206" s="1" t="s">
        <v>70</v>
      </c>
      <c r="E206">
        <v>1</v>
      </c>
      <c r="F206" s="1" t="s">
        <v>139</v>
      </c>
      <c r="G206">
        <v>7</v>
      </c>
      <c r="H206" s="1" t="s">
        <v>18</v>
      </c>
      <c r="I206">
        <v>17</v>
      </c>
      <c r="J206">
        <v>2</v>
      </c>
      <c r="K206">
        <v>1</v>
      </c>
      <c r="L206">
        <v>0</v>
      </c>
      <c r="M206">
        <v>0</v>
      </c>
      <c r="N206">
        <v>0</v>
      </c>
      <c r="O206" s="1" t="s">
        <v>18</v>
      </c>
      <c r="P206" s="1" t="s">
        <v>135</v>
      </c>
      <c r="Q206">
        <v>1180</v>
      </c>
      <c r="R206" s="1" t="s">
        <v>63</v>
      </c>
      <c r="S206">
        <v>29</v>
      </c>
      <c r="T206">
        <v>1</v>
      </c>
      <c r="U206">
        <v>2</v>
      </c>
      <c r="V206">
        <v>70</v>
      </c>
      <c r="W206">
        <v>3</v>
      </c>
      <c r="X206">
        <v>2</v>
      </c>
      <c r="Y206" s="1" t="s">
        <v>8</v>
      </c>
      <c r="Z206">
        <v>1</v>
      </c>
      <c r="AA206">
        <v>6673</v>
      </c>
      <c r="AB206">
        <v>11354</v>
      </c>
      <c r="AC206" s="1" t="s">
        <v>18</v>
      </c>
      <c r="AD206">
        <v>19</v>
      </c>
      <c r="AE206">
        <v>3</v>
      </c>
      <c r="AF206">
        <v>2</v>
      </c>
      <c r="AG206">
        <v>80</v>
      </c>
      <c r="AH206">
        <v>0</v>
      </c>
      <c r="AI206">
        <v>3</v>
      </c>
      <c r="AJ206">
        <v>1</v>
      </c>
      <c r="AK206" s="1" t="s">
        <v>136</v>
      </c>
    </row>
    <row r="207" spans="1:37" x14ac:dyDescent="0.25">
      <c r="A207">
        <v>283</v>
      </c>
      <c r="B207">
        <v>29</v>
      </c>
      <c r="C207" s="1" t="s">
        <v>24</v>
      </c>
      <c r="D207" s="1" t="s">
        <v>70</v>
      </c>
      <c r="E207">
        <v>3</v>
      </c>
      <c r="F207" s="1" t="s">
        <v>142</v>
      </c>
      <c r="G207">
        <v>1</v>
      </c>
      <c r="H207" s="1" t="s">
        <v>18</v>
      </c>
      <c r="I207">
        <v>10</v>
      </c>
      <c r="J207">
        <v>3</v>
      </c>
      <c r="K207">
        <v>10</v>
      </c>
      <c r="L207">
        <v>4</v>
      </c>
      <c r="M207">
        <v>1</v>
      </c>
      <c r="N207">
        <v>9</v>
      </c>
      <c r="O207" s="1" t="s">
        <v>18</v>
      </c>
      <c r="P207" s="1" t="s">
        <v>135</v>
      </c>
      <c r="Q207">
        <v>121</v>
      </c>
      <c r="R207" s="1" t="s">
        <v>64</v>
      </c>
      <c r="S207">
        <v>27</v>
      </c>
      <c r="T207">
        <v>1</v>
      </c>
      <c r="U207">
        <v>2</v>
      </c>
      <c r="V207">
        <v>35</v>
      </c>
      <c r="W207">
        <v>3</v>
      </c>
      <c r="X207">
        <v>3</v>
      </c>
      <c r="Y207" s="1" t="s">
        <v>4</v>
      </c>
      <c r="Z207">
        <v>4</v>
      </c>
      <c r="AA207">
        <v>7639</v>
      </c>
      <c r="AB207">
        <v>24525</v>
      </c>
      <c r="AC207" s="1" t="s">
        <v>19</v>
      </c>
      <c r="AD207">
        <v>22</v>
      </c>
      <c r="AE207">
        <v>4</v>
      </c>
      <c r="AF207">
        <v>4</v>
      </c>
      <c r="AG207">
        <v>80</v>
      </c>
      <c r="AH207">
        <v>3</v>
      </c>
      <c r="AI207">
        <v>2</v>
      </c>
      <c r="AJ207">
        <v>1</v>
      </c>
      <c r="AK207" s="1" t="s">
        <v>136</v>
      </c>
    </row>
    <row r="208" spans="1:37" x14ac:dyDescent="0.25">
      <c r="A208">
        <v>284</v>
      </c>
      <c r="B208">
        <v>22</v>
      </c>
      <c r="C208" s="1" t="s">
        <v>25</v>
      </c>
      <c r="D208" s="1" t="s">
        <v>69</v>
      </c>
      <c r="E208">
        <v>3</v>
      </c>
      <c r="F208" s="1" t="s">
        <v>134</v>
      </c>
      <c r="G208">
        <v>1</v>
      </c>
      <c r="H208" s="1" t="s">
        <v>18</v>
      </c>
      <c r="I208">
        <v>4</v>
      </c>
      <c r="J208">
        <v>2</v>
      </c>
      <c r="K208">
        <v>4</v>
      </c>
      <c r="L208">
        <v>2</v>
      </c>
      <c r="M208">
        <v>2</v>
      </c>
      <c r="N208">
        <v>2</v>
      </c>
      <c r="O208" s="1" t="s">
        <v>19</v>
      </c>
      <c r="P208" s="1" t="s">
        <v>135</v>
      </c>
      <c r="Q208">
        <v>1136</v>
      </c>
      <c r="R208" s="1" t="s">
        <v>63</v>
      </c>
      <c r="S208">
        <v>5</v>
      </c>
      <c r="T208">
        <v>1</v>
      </c>
      <c r="U208">
        <v>4</v>
      </c>
      <c r="V208">
        <v>60</v>
      </c>
      <c r="W208">
        <v>4</v>
      </c>
      <c r="X208">
        <v>1</v>
      </c>
      <c r="Y208" s="1" t="s">
        <v>5</v>
      </c>
      <c r="Z208">
        <v>2</v>
      </c>
      <c r="AA208">
        <v>2328</v>
      </c>
      <c r="AB208">
        <v>12392</v>
      </c>
      <c r="AC208" s="1" t="s">
        <v>18</v>
      </c>
      <c r="AD208">
        <v>16</v>
      </c>
      <c r="AE208">
        <v>3</v>
      </c>
      <c r="AF208">
        <v>1</v>
      </c>
      <c r="AG208">
        <v>80</v>
      </c>
      <c r="AH208">
        <v>1</v>
      </c>
      <c r="AI208">
        <v>2</v>
      </c>
      <c r="AJ208">
        <v>0</v>
      </c>
      <c r="AK208" s="1" t="s">
        <v>136</v>
      </c>
    </row>
    <row r="209" spans="1:37" x14ac:dyDescent="0.25">
      <c r="A209">
        <v>286</v>
      </c>
      <c r="B209">
        <v>36</v>
      </c>
      <c r="C209" s="1" t="s">
        <v>24</v>
      </c>
      <c r="D209" s="1" t="s">
        <v>71</v>
      </c>
      <c r="E209">
        <v>1</v>
      </c>
      <c r="F209" s="1" t="s">
        <v>139</v>
      </c>
      <c r="G209">
        <v>1</v>
      </c>
      <c r="H209" s="1" t="s">
        <v>18</v>
      </c>
      <c r="I209">
        <v>8</v>
      </c>
      <c r="J209">
        <v>2</v>
      </c>
      <c r="K209">
        <v>8</v>
      </c>
      <c r="L209">
        <v>1</v>
      </c>
      <c r="M209">
        <v>1</v>
      </c>
      <c r="N209">
        <v>7</v>
      </c>
      <c r="O209" s="1" t="s">
        <v>19</v>
      </c>
      <c r="P209" s="1" t="s">
        <v>137</v>
      </c>
      <c r="Q209">
        <v>635</v>
      </c>
      <c r="R209" s="1" t="s">
        <v>63</v>
      </c>
      <c r="S209">
        <v>18</v>
      </c>
      <c r="T209">
        <v>1</v>
      </c>
      <c r="U209">
        <v>2</v>
      </c>
      <c r="V209">
        <v>73</v>
      </c>
      <c r="W209">
        <v>3</v>
      </c>
      <c r="X209">
        <v>1</v>
      </c>
      <c r="Y209" s="1" t="s">
        <v>6</v>
      </c>
      <c r="Z209">
        <v>4</v>
      </c>
      <c r="AA209">
        <v>2153</v>
      </c>
      <c r="AB209">
        <v>7703</v>
      </c>
      <c r="AC209" s="1" t="s">
        <v>19</v>
      </c>
      <c r="AD209">
        <v>13</v>
      </c>
      <c r="AE209">
        <v>3</v>
      </c>
      <c r="AF209">
        <v>1</v>
      </c>
      <c r="AG209">
        <v>80</v>
      </c>
      <c r="AH209">
        <v>0</v>
      </c>
      <c r="AI209">
        <v>3</v>
      </c>
      <c r="AJ209">
        <v>0</v>
      </c>
      <c r="AK209" s="1" t="s">
        <v>136</v>
      </c>
    </row>
    <row r="210" spans="1:37" x14ac:dyDescent="0.25">
      <c r="A210">
        <v>287</v>
      </c>
      <c r="B210">
        <v>40</v>
      </c>
      <c r="C210" s="1" t="s">
        <v>25</v>
      </c>
      <c r="D210" s="1" t="s">
        <v>70</v>
      </c>
      <c r="E210">
        <v>5</v>
      </c>
      <c r="F210" s="1" t="s">
        <v>134</v>
      </c>
      <c r="G210">
        <v>9</v>
      </c>
      <c r="H210" s="1" t="s">
        <v>18</v>
      </c>
      <c r="I210">
        <v>5</v>
      </c>
      <c r="J210">
        <v>5</v>
      </c>
      <c r="K210">
        <v>3</v>
      </c>
      <c r="L210">
        <v>2</v>
      </c>
      <c r="M210">
        <v>0</v>
      </c>
      <c r="N210">
        <v>2</v>
      </c>
      <c r="O210" s="1" t="s">
        <v>19</v>
      </c>
      <c r="P210" s="1" t="s">
        <v>141</v>
      </c>
      <c r="Q210">
        <v>1151</v>
      </c>
      <c r="R210" s="1" t="s">
        <v>63</v>
      </c>
      <c r="S210">
        <v>9</v>
      </c>
      <c r="T210">
        <v>1</v>
      </c>
      <c r="U210">
        <v>4</v>
      </c>
      <c r="V210">
        <v>63</v>
      </c>
      <c r="W210">
        <v>2</v>
      </c>
      <c r="X210">
        <v>2</v>
      </c>
      <c r="Y210" s="1" t="s">
        <v>8</v>
      </c>
      <c r="Z210">
        <v>4</v>
      </c>
      <c r="AA210">
        <v>4876</v>
      </c>
      <c r="AB210">
        <v>14242</v>
      </c>
      <c r="AC210" s="1" t="s">
        <v>19</v>
      </c>
      <c r="AD210">
        <v>14</v>
      </c>
      <c r="AE210">
        <v>3</v>
      </c>
      <c r="AF210">
        <v>4</v>
      </c>
      <c r="AG210">
        <v>80</v>
      </c>
      <c r="AH210">
        <v>1</v>
      </c>
      <c r="AI210">
        <v>1</v>
      </c>
      <c r="AJ210">
        <v>0</v>
      </c>
      <c r="AK210" s="1" t="s">
        <v>136</v>
      </c>
    </row>
    <row r="211" spans="1:37" x14ac:dyDescent="0.25">
      <c r="A211">
        <v>288</v>
      </c>
      <c r="B211">
        <v>46</v>
      </c>
      <c r="C211" s="1" t="s">
        <v>25</v>
      </c>
      <c r="D211" s="1" t="s">
        <v>69</v>
      </c>
      <c r="E211">
        <v>4</v>
      </c>
      <c r="F211" s="1" t="s">
        <v>139</v>
      </c>
      <c r="G211">
        <v>7</v>
      </c>
      <c r="H211" s="1" t="s">
        <v>18</v>
      </c>
      <c r="I211">
        <v>17</v>
      </c>
      <c r="J211">
        <v>3</v>
      </c>
      <c r="K211">
        <v>4</v>
      </c>
      <c r="L211">
        <v>2</v>
      </c>
      <c r="M211">
        <v>0</v>
      </c>
      <c r="N211">
        <v>3</v>
      </c>
      <c r="O211" s="1" t="s">
        <v>19</v>
      </c>
      <c r="P211" s="1" t="s">
        <v>135</v>
      </c>
      <c r="Q211">
        <v>644</v>
      </c>
      <c r="R211" s="1" t="s">
        <v>63</v>
      </c>
      <c r="S211">
        <v>1</v>
      </c>
      <c r="T211">
        <v>1</v>
      </c>
      <c r="U211">
        <v>4</v>
      </c>
      <c r="V211">
        <v>97</v>
      </c>
      <c r="W211">
        <v>3</v>
      </c>
      <c r="X211">
        <v>3</v>
      </c>
      <c r="Y211" s="1" t="s">
        <v>8</v>
      </c>
      <c r="Z211">
        <v>1</v>
      </c>
      <c r="AA211">
        <v>9396</v>
      </c>
      <c r="AB211">
        <v>12368</v>
      </c>
      <c r="AC211" s="1" t="s">
        <v>19</v>
      </c>
      <c r="AD211">
        <v>16</v>
      </c>
      <c r="AE211">
        <v>3</v>
      </c>
      <c r="AF211">
        <v>3</v>
      </c>
      <c r="AG211">
        <v>80</v>
      </c>
      <c r="AH211">
        <v>1</v>
      </c>
      <c r="AI211">
        <v>3</v>
      </c>
      <c r="AJ211">
        <v>0</v>
      </c>
      <c r="AK211" s="1" t="s">
        <v>136</v>
      </c>
    </row>
    <row r="212" spans="1:37" x14ac:dyDescent="0.25">
      <c r="A212">
        <v>291</v>
      </c>
      <c r="B212">
        <v>32</v>
      </c>
      <c r="C212" s="1" t="s">
        <v>25</v>
      </c>
      <c r="D212" s="1" t="s">
        <v>70</v>
      </c>
      <c r="E212">
        <v>4</v>
      </c>
      <c r="F212" s="1" t="s">
        <v>139</v>
      </c>
      <c r="G212">
        <v>1</v>
      </c>
      <c r="H212" s="1" t="s">
        <v>18</v>
      </c>
      <c r="I212">
        <v>14</v>
      </c>
      <c r="J212">
        <v>2</v>
      </c>
      <c r="K212">
        <v>14</v>
      </c>
      <c r="L212">
        <v>8</v>
      </c>
      <c r="M212">
        <v>9</v>
      </c>
      <c r="N212">
        <v>8</v>
      </c>
      <c r="O212" s="1" t="s">
        <v>18</v>
      </c>
      <c r="P212" s="1" t="s">
        <v>135</v>
      </c>
      <c r="Q212">
        <v>1045</v>
      </c>
      <c r="R212" s="1" t="s">
        <v>64</v>
      </c>
      <c r="S212">
        <v>4</v>
      </c>
      <c r="T212">
        <v>1</v>
      </c>
      <c r="U212">
        <v>4</v>
      </c>
      <c r="V212">
        <v>32</v>
      </c>
      <c r="W212">
        <v>1</v>
      </c>
      <c r="X212">
        <v>3</v>
      </c>
      <c r="Y212" s="1" t="s">
        <v>4</v>
      </c>
      <c r="Z212">
        <v>4</v>
      </c>
      <c r="AA212">
        <v>10400</v>
      </c>
      <c r="AB212">
        <v>25812</v>
      </c>
      <c r="AC212" s="1" t="s">
        <v>19</v>
      </c>
      <c r="AD212">
        <v>11</v>
      </c>
      <c r="AE212">
        <v>3</v>
      </c>
      <c r="AF212">
        <v>3</v>
      </c>
      <c r="AG212">
        <v>80</v>
      </c>
      <c r="AH212">
        <v>0</v>
      </c>
      <c r="AI212">
        <v>2</v>
      </c>
      <c r="AJ212">
        <v>1</v>
      </c>
      <c r="AK212" s="1" t="s">
        <v>136</v>
      </c>
    </row>
    <row r="213" spans="1:37" x14ac:dyDescent="0.25">
      <c r="A213">
        <v>292</v>
      </c>
      <c r="B213">
        <v>30</v>
      </c>
      <c r="C213" s="1" t="s">
        <v>25</v>
      </c>
      <c r="D213" s="1" t="s">
        <v>71</v>
      </c>
      <c r="E213">
        <v>1</v>
      </c>
      <c r="F213" s="1" t="s">
        <v>134</v>
      </c>
      <c r="G213">
        <v>1</v>
      </c>
      <c r="H213" s="1" t="s">
        <v>18</v>
      </c>
      <c r="I213">
        <v>12</v>
      </c>
      <c r="J213">
        <v>2</v>
      </c>
      <c r="K213">
        <v>11</v>
      </c>
      <c r="L213">
        <v>8</v>
      </c>
      <c r="M213">
        <v>5</v>
      </c>
      <c r="N213">
        <v>8</v>
      </c>
      <c r="O213" s="1" t="s">
        <v>19</v>
      </c>
      <c r="P213" s="1" t="s">
        <v>141</v>
      </c>
      <c r="Q213">
        <v>829</v>
      </c>
      <c r="R213" s="1" t="s">
        <v>63</v>
      </c>
      <c r="S213">
        <v>1</v>
      </c>
      <c r="T213">
        <v>1</v>
      </c>
      <c r="U213">
        <v>3</v>
      </c>
      <c r="V213">
        <v>88</v>
      </c>
      <c r="W213">
        <v>2</v>
      </c>
      <c r="X213">
        <v>3</v>
      </c>
      <c r="Y213" s="1" t="s">
        <v>7</v>
      </c>
      <c r="Z213">
        <v>3</v>
      </c>
      <c r="AA213">
        <v>8474</v>
      </c>
      <c r="AB213">
        <v>20925</v>
      </c>
      <c r="AC213" s="1" t="s">
        <v>19</v>
      </c>
      <c r="AD213">
        <v>22</v>
      </c>
      <c r="AE213">
        <v>4</v>
      </c>
      <c r="AF213">
        <v>3</v>
      </c>
      <c r="AG213">
        <v>80</v>
      </c>
      <c r="AH213">
        <v>0</v>
      </c>
      <c r="AI213">
        <v>3</v>
      </c>
      <c r="AJ213">
        <v>0</v>
      </c>
      <c r="AK213" s="1" t="s">
        <v>136</v>
      </c>
    </row>
    <row r="214" spans="1:37" x14ac:dyDescent="0.25">
      <c r="A214">
        <v>293</v>
      </c>
      <c r="B214">
        <v>27</v>
      </c>
      <c r="C214" s="1" t="s">
        <v>24</v>
      </c>
      <c r="D214" s="1" t="s">
        <v>71</v>
      </c>
      <c r="E214">
        <v>3</v>
      </c>
      <c r="F214" s="1" t="s">
        <v>134</v>
      </c>
      <c r="G214">
        <v>1</v>
      </c>
      <c r="H214" s="1" t="s">
        <v>18</v>
      </c>
      <c r="I214">
        <v>7</v>
      </c>
      <c r="J214">
        <v>2</v>
      </c>
      <c r="K214">
        <v>7</v>
      </c>
      <c r="L214">
        <v>7</v>
      </c>
      <c r="M214">
        <v>0</v>
      </c>
      <c r="N214">
        <v>7</v>
      </c>
      <c r="O214" s="1" t="s">
        <v>19</v>
      </c>
      <c r="P214" s="1" t="s">
        <v>137</v>
      </c>
      <c r="Q214">
        <v>1242</v>
      </c>
      <c r="R214" s="1" t="s">
        <v>64</v>
      </c>
      <c r="S214">
        <v>20</v>
      </c>
      <c r="T214">
        <v>1</v>
      </c>
      <c r="U214">
        <v>4</v>
      </c>
      <c r="V214">
        <v>90</v>
      </c>
      <c r="W214">
        <v>3</v>
      </c>
      <c r="X214">
        <v>2</v>
      </c>
      <c r="Y214" s="1" t="s">
        <v>4</v>
      </c>
      <c r="Z214">
        <v>3</v>
      </c>
      <c r="AA214">
        <v>9981</v>
      </c>
      <c r="AB214">
        <v>12916</v>
      </c>
      <c r="AC214" s="1" t="s">
        <v>19</v>
      </c>
      <c r="AD214">
        <v>14</v>
      </c>
      <c r="AE214">
        <v>3</v>
      </c>
      <c r="AF214">
        <v>4</v>
      </c>
      <c r="AG214">
        <v>80</v>
      </c>
      <c r="AH214">
        <v>0</v>
      </c>
      <c r="AI214">
        <v>3</v>
      </c>
      <c r="AJ214">
        <v>0</v>
      </c>
      <c r="AK214" s="1" t="s">
        <v>136</v>
      </c>
    </row>
    <row r="215" spans="1:37" x14ac:dyDescent="0.25">
      <c r="A215">
        <v>296</v>
      </c>
      <c r="B215">
        <v>51</v>
      </c>
      <c r="C215" s="1" t="s">
        <v>25</v>
      </c>
      <c r="D215" s="1" t="s">
        <v>70</v>
      </c>
      <c r="E215">
        <v>4</v>
      </c>
      <c r="F215" s="1" t="s">
        <v>134</v>
      </c>
      <c r="G215">
        <v>5</v>
      </c>
      <c r="H215" s="1" t="s">
        <v>18</v>
      </c>
      <c r="I215">
        <v>16</v>
      </c>
      <c r="J215">
        <v>5</v>
      </c>
      <c r="K215">
        <v>10</v>
      </c>
      <c r="L215">
        <v>9</v>
      </c>
      <c r="M215">
        <v>4</v>
      </c>
      <c r="N215">
        <v>7</v>
      </c>
      <c r="O215" s="1" t="s">
        <v>19</v>
      </c>
      <c r="P215" s="1" t="s">
        <v>135</v>
      </c>
      <c r="Q215">
        <v>1469</v>
      </c>
      <c r="R215" s="1" t="s">
        <v>63</v>
      </c>
      <c r="S215">
        <v>8</v>
      </c>
      <c r="T215">
        <v>1</v>
      </c>
      <c r="U215">
        <v>2</v>
      </c>
      <c r="V215">
        <v>81</v>
      </c>
      <c r="W215">
        <v>2</v>
      </c>
      <c r="X215">
        <v>3</v>
      </c>
      <c r="Y215" s="1" t="s">
        <v>11</v>
      </c>
      <c r="Z215">
        <v>2</v>
      </c>
      <c r="AA215">
        <v>12490</v>
      </c>
      <c r="AB215">
        <v>15736</v>
      </c>
      <c r="AC215" s="1" t="s">
        <v>19</v>
      </c>
      <c r="AD215">
        <v>16</v>
      </c>
      <c r="AE215">
        <v>3</v>
      </c>
      <c r="AF215">
        <v>4</v>
      </c>
      <c r="AG215">
        <v>80</v>
      </c>
      <c r="AH215">
        <v>2</v>
      </c>
      <c r="AI215">
        <v>1</v>
      </c>
      <c r="AJ215">
        <v>0</v>
      </c>
      <c r="AK215" s="1" t="s">
        <v>140</v>
      </c>
    </row>
    <row r="216" spans="1:37" x14ac:dyDescent="0.25">
      <c r="A216">
        <v>297</v>
      </c>
      <c r="B216">
        <v>30</v>
      </c>
      <c r="C216" s="1" t="s">
        <v>24</v>
      </c>
      <c r="D216" s="1" t="s">
        <v>71</v>
      </c>
      <c r="E216">
        <v>3</v>
      </c>
      <c r="F216" s="1" t="s">
        <v>143</v>
      </c>
      <c r="G216">
        <v>5</v>
      </c>
      <c r="H216" s="1" t="s">
        <v>18</v>
      </c>
      <c r="I216">
        <v>8</v>
      </c>
      <c r="J216">
        <v>5</v>
      </c>
      <c r="K216">
        <v>5</v>
      </c>
      <c r="L216">
        <v>2</v>
      </c>
      <c r="M216">
        <v>0</v>
      </c>
      <c r="N216">
        <v>4</v>
      </c>
      <c r="O216" s="1" t="s">
        <v>18</v>
      </c>
      <c r="P216" s="1" t="s">
        <v>135</v>
      </c>
      <c r="Q216">
        <v>1005</v>
      </c>
      <c r="R216" s="1" t="s">
        <v>63</v>
      </c>
      <c r="S216">
        <v>3</v>
      </c>
      <c r="T216">
        <v>1</v>
      </c>
      <c r="U216">
        <v>4</v>
      </c>
      <c r="V216">
        <v>88</v>
      </c>
      <c r="W216">
        <v>3</v>
      </c>
      <c r="X216">
        <v>1</v>
      </c>
      <c r="Y216" s="1" t="s">
        <v>5</v>
      </c>
      <c r="Z216">
        <v>1</v>
      </c>
      <c r="AA216">
        <v>2657</v>
      </c>
      <c r="AB216">
        <v>8556</v>
      </c>
      <c r="AC216" s="1" t="s">
        <v>18</v>
      </c>
      <c r="AD216">
        <v>11</v>
      </c>
      <c r="AE216">
        <v>3</v>
      </c>
      <c r="AF216">
        <v>3</v>
      </c>
      <c r="AG216">
        <v>80</v>
      </c>
      <c r="AH216">
        <v>0</v>
      </c>
      <c r="AI216">
        <v>3</v>
      </c>
      <c r="AJ216">
        <v>1</v>
      </c>
      <c r="AK216" s="1" t="s">
        <v>136</v>
      </c>
    </row>
    <row r="217" spans="1:37" x14ac:dyDescent="0.25">
      <c r="A217">
        <v>298</v>
      </c>
      <c r="B217">
        <v>41</v>
      </c>
      <c r="C217" s="1" t="s">
        <v>24</v>
      </c>
      <c r="D217" s="1" t="s">
        <v>71</v>
      </c>
      <c r="E217">
        <v>3</v>
      </c>
      <c r="F217" s="1" t="s">
        <v>134</v>
      </c>
      <c r="G217">
        <v>3</v>
      </c>
      <c r="H217" s="1" t="s">
        <v>18</v>
      </c>
      <c r="I217">
        <v>16</v>
      </c>
      <c r="J217">
        <v>3</v>
      </c>
      <c r="K217">
        <v>1</v>
      </c>
      <c r="L217">
        <v>0</v>
      </c>
      <c r="M217">
        <v>0</v>
      </c>
      <c r="N217">
        <v>0</v>
      </c>
      <c r="O217" s="1" t="s">
        <v>19</v>
      </c>
      <c r="P217" s="1" t="s">
        <v>135</v>
      </c>
      <c r="Q217">
        <v>896</v>
      </c>
      <c r="R217" s="1" t="s">
        <v>64</v>
      </c>
      <c r="S217">
        <v>6</v>
      </c>
      <c r="T217">
        <v>1</v>
      </c>
      <c r="U217">
        <v>4</v>
      </c>
      <c r="V217">
        <v>75</v>
      </c>
      <c r="W217">
        <v>3</v>
      </c>
      <c r="X217">
        <v>3</v>
      </c>
      <c r="Y217" s="1" t="s">
        <v>9</v>
      </c>
      <c r="Z217">
        <v>4</v>
      </c>
      <c r="AA217">
        <v>13591</v>
      </c>
      <c r="AB217">
        <v>14674</v>
      </c>
      <c r="AC217" s="1" t="s">
        <v>18</v>
      </c>
      <c r="AD217">
        <v>18</v>
      </c>
      <c r="AE217">
        <v>3</v>
      </c>
      <c r="AF217">
        <v>3</v>
      </c>
      <c r="AG217">
        <v>80</v>
      </c>
      <c r="AH217">
        <v>0</v>
      </c>
      <c r="AI217">
        <v>3</v>
      </c>
      <c r="AJ217">
        <v>0</v>
      </c>
      <c r="AK217" s="1" t="s">
        <v>136</v>
      </c>
    </row>
    <row r="218" spans="1:37" x14ac:dyDescent="0.25">
      <c r="A218">
        <v>299</v>
      </c>
      <c r="B218">
        <v>30</v>
      </c>
      <c r="C218" s="1" t="s">
        <v>24</v>
      </c>
      <c r="D218" s="1" t="s">
        <v>71</v>
      </c>
      <c r="E218">
        <v>4</v>
      </c>
      <c r="F218" s="1" t="s">
        <v>142</v>
      </c>
      <c r="G218">
        <v>5</v>
      </c>
      <c r="H218" s="1" t="s">
        <v>18</v>
      </c>
      <c r="I218">
        <v>9</v>
      </c>
      <c r="J218">
        <v>5</v>
      </c>
      <c r="K218">
        <v>6</v>
      </c>
      <c r="L218">
        <v>3</v>
      </c>
      <c r="M218">
        <v>0</v>
      </c>
      <c r="N218">
        <v>1</v>
      </c>
      <c r="O218" s="1" t="s">
        <v>18</v>
      </c>
      <c r="P218" s="1" t="s">
        <v>137</v>
      </c>
      <c r="Q218">
        <v>334</v>
      </c>
      <c r="R218" s="1" t="s">
        <v>64</v>
      </c>
      <c r="S218">
        <v>26</v>
      </c>
      <c r="T218">
        <v>1</v>
      </c>
      <c r="U218">
        <v>3</v>
      </c>
      <c r="V218">
        <v>52</v>
      </c>
      <c r="W218">
        <v>2</v>
      </c>
      <c r="X218">
        <v>2</v>
      </c>
      <c r="Y218" s="1" t="s">
        <v>4</v>
      </c>
      <c r="Z218">
        <v>1</v>
      </c>
      <c r="AA218">
        <v>6696</v>
      </c>
      <c r="AB218">
        <v>22967</v>
      </c>
      <c r="AC218" s="1" t="s">
        <v>19</v>
      </c>
      <c r="AD218">
        <v>15</v>
      </c>
      <c r="AE218">
        <v>3</v>
      </c>
      <c r="AF218">
        <v>3</v>
      </c>
      <c r="AG218">
        <v>80</v>
      </c>
      <c r="AH218">
        <v>0</v>
      </c>
      <c r="AI218">
        <v>2</v>
      </c>
      <c r="AJ218">
        <v>1</v>
      </c>
      <c r="AK218" s="1" t="s">
        <v>136</v>
      </c>
    </row>
    <row r="219" spans="1:37" x14ac:dyDescent="0.25">
      <c r="A219">
        <v>300</v>
      </c>
      <c r="B219">
        <v>29</v>
      </c>
      <c r="C219" s="1" t="s">
        <v>25</v>
      </c>
      <c r="D219" s="1" t="s">
        <v>71</v>
      </c>
      <c r="E219">
        <v>3</v>
      </c>
      <c r="F219" s="1" t="s">
        <v>143</v>
      </c>
      <c r="G219">
        <v>0</v>
      </c>
      <c r="H219" s="1" t="s">
        <v>18</v>
      </c>
      <c r="I219">
        <v>7</v>
      </c>
      <c r="J219">
        <v>1</v>
      </c>
      <c r="K219">
        <v>6</v>
      </c>
      <c r="L219">
        <v>2</v>
      </c>
      <c r="M219">
        <v>1</v>
      </c>
      <c r="N219">
        <v>5</v>
      </c>
      <c r="O219" s="1" t="s">
        <v>18</v>
      </c>
      <c r="P219" s="1" t="s">
        <v>135</v>
      </c>
      <c r="Q219">
        <v>992</v>
      </c>
      <c r="R219" s="1" t="s">
        <v>63</v>
      </c>
      <c r="S219">
        <v>1</v>
      </c>
      <c r="T219">
        <v>1</v>
      </c>
      <c r="U219">
        <v>3</v>
      </c>
      <c r="V219">
        <v>85</v>
      </c>
      <c r="W219">
        <v>3</v>
      </c>
      <c r="X219">
        <v>1</v>
      </c>
      <c r="Y219" s="1" t="s">
        <v>5</v>
      </c>
      <c r="Z219">
        <v>3</v>
      </c>
      <c r="AA219">
        <v>2058</v>
      </c>
      <c r="AB219">
        <v>19757</v>
      </c>
      <c r="AC219" s="1" t="s">
        <v>19</v>
      </c>
      <c r="AD219">
        <v>14</v>
      </c>
      <c r="AE219">
        <v>3</v>
      </c>
      <c r="AF219">
        <v>4</v>
      </c>
      <c r="AG219">
        <v>80</v>
      </c>
      <c r="AH219">
        <v>0</v>
      </c>
      <c r="AI219">
        <v>2</v>
      </c>
      <c r="AJ219">
        <v>1</v>
      </c>
      <c r="AK219" s="1" t="s">
        <v>136</v>
      </c>
    </row>
    <row r="220" spans="1:37" x14ac:dyDescent="0.25">
      <c r="A220">
        <v>302</v>
      </c>
      <c r="B220">
        <v>45</v>
      </c>
      <c r="C220" s="1" t="s">
        <v>24</v>
      </c>
      <c r="D220" s="1" t="s">
        <v>71</v>
      </c>
      <c r="E220">
        <v>3</v>
      </c>
      <c r="F220" s="1" t="s">
        <v>139</v>
      </c>
      <c r="G220">
        <v>6</v>
      </c>
      <c r="H220" s="1" t="s">
        <v>18</v>
      </c>
      <c r="I220">
        <v>23</v>
      </c>
      <c r="J220">
        <v>2</v>
      </c>
      <c r="K220">
        <v>19</v>
      </c>
      <c r="L220">
        <v>7</v>
      </c>
      <c r="M220">
        <v>12</v>
      </c>
      <c r="N220">
        <v>8</v>
      </c>
      <c r="O220" s="1" t="s">
        <v>19</v>
      </c>
      <c r="P220" s="1" t="s">
        <v>141</v>
      </c>
      <c r="Q220">
        <v>1052</v>
      </c>
      <c r="R220" s="1" t="s">
        <v>64</v>
      </c>
      <c r="S220">
        <v>6</v>
      </c>
      <c r="T220">
        <v>1</v>
      </c>
      <c r="U220">
        <v>4</v>
      </c>
      <c r="V220">
        <v>57</v>
      </c>
      <c r="W220">
        <v>2</v>
      </c>
      <c r="X220">
        <v>3</v>
      </c>
      <c r="Y220" s="1" t="s">
        <v>4</v>
      </c>
      <c r="Z220">
        <v>4</v>
      </c>
      <c r="AA220">
        <v>8865</v>
      </c>
      <c r="AB220">
        <v>16840</v>
      </c>
      <c r="AC220" s="1" t="s">
        <v>19</v>
      </c>
      <c r="AD220">
        <v>12</v>
      </c>
      <c r="AE220">
        <v>3</v>
      </c>
      <c r="AF220">
        <v>4</v>
      </c>
      <c r="AG220">
        <v>80</v>
      </c>
      <c r="AH220">
        <v>0</v>
      </c>
      <c r="AI220">
        <v>3</v>
      </c>
      <c r="AJ220">
        <v>0</v>
      </c>
      <c r="AK220" s="1" t="s">
        <v>136</v>
      </c>
    </row>
    <row r="221" spans="1:37" x14ac:dyDescent="0.25">
      <c r="A221">
        <v>303</v>
      </c>
      <c r="B221">
        <v>54</v>
      </c>
      <c r="C221" s="1" t="s">
        <v>24</v>
      </c>
      <c r="D221" s="1" t="s">
        <v>70</v>
      </c>
      <c r="E221">
        <v>3</v>
      </c>
      <c r="F221" s="1" t="s">
        <v>142</v>
      </c>
      <c r="G221">
        <v>2</v>
      </c>
      <c r="H221" s="1" t="s">
        <v>18</v>
      </c>
      <c r="I221">
        <v>16</v>
      </c>
      <c r="J221">
        <v>4</v>
      </c>
      <c r="K221">
        <v>6</v>
      </c>
      <c r="L221">
        <v>2</v>
      </c>
      <c r="M221">
        <v>0</v>
      </c>
      <c r="N221">
        <v>5</v>
      </c>
      <c r="O221" s="1" t="s">
        <v>19</v>
      </c>
      <c r="P221" s="1" t="s">
        <v>135</v>
      </c>
      <c r="Q221">
        <v>1147</v>
      </c>
      <c r="R221" s="1" t="s">
        <v>64</v>
      </c>
      <c r="S221">
        <v>3</v>
      </c>
      <c r="T221">
        <v>1</v>
      </c>
      <c r="U221">
        <v>4</v>
      </c>
      <c r="V221">
        <v>52</v>
      </c>
      <c r="W221">
        <v>3</v>
      </c>
      <c r="X221">
        <v>2</v>
      </c>
      <c r="Y221" s="1" t="s">
        <v>4</v>
      </c>
      <c r="Z221">
        <v>1</v>
      </c>
      <c r="AA221">
        <v>5940</v>
      </c>
      <c r="AB221">
        <v>17011</v>
      </c>
      <c r="AC221" s="1" t="s">
        <v>19</v>
      </c>
      <c r="AD221">
        <v>14</v>
      </c>
      <c r="AE221">
        <v>3</v>
      </c>
      <c r="AF221">
        <v>4</v>
      </c>
      <c r="AG221">
        <v>80</v>
      </c>
      <c r="AH221">
        <v>1</v>
      </c>
      <c r="AI221">
        <v>3</v>
      </c>
      <c r="AJ221">
        <v>0</v>
      </c>
      <c r="AK221" s="1" t="s">
        <v>140</v>
      </c>
    </row>
    <row r="222" spans="1:37" x14ac:dyDescent="0.25">
      <c r="A222">
        <v>304</v>
      </c>
      <c r="B222">
        <v>36</v>
      </c>
      <c r="C222" s="1" t="s">
        <v>25</v>
      </c>
      <c r="D222" s="1" t="s">
        <v>71</v>
      </c>
      <c r="E222">
        <v>2</v>
      </c>
      <c r="F222" s="1" t="s">
        <v>134</v>
      </c>
      <c r="G222">
        <v>8</v>
      </c>
      <c r="H222" s="1" t="s">
        <v>18</v>
      </c>
      <c r="I222">
        <v>16</v>
      </c>
      <c r="J222">
        <v>3</v>
      </c>
      <c r="K222">
        <v>13</v>
      </c>
      <c r="L222">
        <v>11</v>
      </c>
      <c r="M222">
        <v>3</v>
      </c>
      <c r="N222">
        <v>7</v>
      </c>
      <c r="O222" s="1" t="s">
        <v>19</v>
      </c>
      <c r="P222" s="1" t="s">
        <v>135</v>
      </c>
      <c r="Q222">
        <v>1396</v>
      </c>
      <c r="R222" s="1" t="s">
        <v>63</v>
      </c>
      <c r="S222">
        <v>5</v>
      </c>
      <c r="T222">
        <v>1</v>
      </c>
      <c r="U222">
        <v>4</v>
      </c>
      <c r="V222">
        <v>62</v>
      </c>
      <c r="W222">
        <v>3</v>
      </c>
      <c r="X222">
        <v>2</v>
      </c>
      <c r="Y222" s="1" t="s">
        <v>6</v>
      </c>
      <c r="Z222">
        <v>2</v>
      </c>
      <c r="AA222">
        <v>5914</v>
      </c>
      <c r="AB222">
        <v>9945</v>
      </c>
      <c r="AC222" s="1" t="s">
        <v>19</v>
      </c>
      <c r="AD222">
        <v>16</v>
      </c>
      <c r="AE222">
        <v>3</v>
      </c>
      <c r="AF222">
        <v>4</v>
      </c>
      <c r="AG222">
        <v>80</v>
      </c>
      <c r="AH222">
        <v>0</v>
      </c>
      <c r="AI222">
        <v>4</v>
      </c>
      <c r="AJ222">
        <v>0</v>
      </c>
      <c r="AK222" s="1" t="s">
        <v>136</v>
      </c>
    </row>
    <row r="223" spans="1:37" x14ac:dyDescent="0.25">
      <c r="A223">
        <v>305</v>
      </c>
      <c r="B223">
        <v>33</v>
      </c>
      <c r="C223" s="1" t="s">
        <v>24</v>
      </c>
      <c r="D223" s="1" t="s">
        <v>70</v>
      </c>
      <c r="E223">
        <v>4</v>
      </c>
      <c r="F223" s="1" t="s">
        <v>139</v>
      </c>
      <c r="G223">
        <v>6</v>
      </c>
      <c r="H223" s="1" t="s">
        <v>18</v>
      </c>
      <c r="I223">
        <v>7</v>
      </c>
      <c r="J223">
        <v>3</v>
      </c>
      <c r="K223">
        <v>3</v>
      </c>
      <c r="L223">
        <v>2</v>
      </c>
      <c r="M223">
        <v>1</v>
      </c>
      <c r="N223">
        <v>1</v>
      </c>
      <c r="O223" s="1" t="s">
        <v>19</v>
      </c>
      <c r="P223" s="1" t="s">
        <v>135</v>
      </c>
      <c r="Q223">
        <v>147</v>
      </c>
      <c r="R223" s="1" t="s">
        <v>63</v>
      </c>
      <c r="S223">
        <v>4</v>
      </c>
      <c r="T223">
        <v>1</v>
      </c>
      <c r="U223">
        <v>3</v>
      </c>
      <c r="V223">
        <v>47</v>
      </c>
      <c r="W223">
        <v>2</v>
      </c>
      <c r="X223">
        <v>1</v>
      </c>
      <c r="Y223" s="1" t="s">
        <v>5</v>
      </c>
      <c r="Z223">
        <v>2</v>
      </c>
      <c r="AA223">
        <v>2622</v>
      </c>
      <c r="AB223">
        <v>13248</v>
      </c>
      <c r="AC223" s="1" t="s">
        <v>19</v>
      </c>
      <c r="AD223">
        <v>21</v>
      </c>
      <c r="AE223">
        <v>4</v>
      </c>
      <c r="AF223">
        <v>4</v>
      </c>
      <c r="AG223">
        <v>80</v>
      </c>
      <c r="AH223">
        <v>0</v>
      </c>
      <c r="AI223">
        <v>3</v>
      </c>
      <c r="AJ223">
        <v>0</v>
      </c>
      <c r="AK223" s="1" t="s">
        <v>136</v>
      </c>
    </row>
    <row r="224" spans="1:37" x14ac:dyDescent="0.25">
      <c r="A224">
        <v>306</v>
      </c>
      <c r="B224">
        <v>37</v>
      </c>
      <c r="C224" s="1" t="s">
        <v>25</v>
      </c>
      <c r="D224" s="1" t="s">
        <v>69</v>
      </c>
      <c r="E224">
        <v>3</v>
      </c>
      <c r="F224" s="1" t="s">
        <v>138</v>
      </c>
      <c r="G224">
        <v>1</v>
      </c>
      <c r="H224" s="1" t="s">
        <v>18</v>
      </c>
      <c r="I224">
        <v>10</v>
      </c>
      <c r="J224">
        <v>1</v>
      </c>
      <c r="K224">
        <v>10</v>
      </c>
      <c r="L224">
        <v>8</v>
      </c>
      <c r="M224">
        <v>0</v>
      </c>
      <c r="N224">
        <v>7</v>
      </c>
      <c r="O224" s="1" t="s">
        <v>19</v>
      </c>
      <c r="P224" s="1" t="s">
        <v>137</v>
      </c>
      <c r="Q224">
        <v>663</v>
      </c>
      <c r="R224" s="1" t="s">
        <v>63</v>
      </c>
      <c r="S224">
        <v>11</v>
      </c>
      <c r="T224">
        <v>1</v>
      </c>
      <c r="U224">
        <v>2</v>
      </c>
      <c r="V224">
        <v>47</v>
      </c>
      <c r="W224">
        <v>3</v>
      </c>
      <c r="X224">
        <v>3</v>
      </c>
      <c r="Y224" s="1" t="s">
        <v>11</v>
      </c>
      <c r="Z224">
        <v>4</v>
      </c>
      <c r="AA224">
        <v>12185</v>
      </c>
      <c r="AB224">
        <v>10056</v>
      </c>
      <c r="AC224" s="1" t="s">
        <v>18</v>
      </c>
      <c r="AD224">
        <v>14</v>
      </c>
      <c r="AE224">
        <v>3</v>
      </c>
      <c r="AF224">
        <v>3</v>
      </c>
      <c r="AG224">
        <v>80</v>
      </c>
      <c r="AH224">
        <v>3</v>
      </c>
      <c r="AI224">
        <v>3</v>
      </c>
      <c r="AJ224">
        <v>0</v>
      </c>
      <c r="AK224" s="1" t="s">
        <v>136</v>
      </c>
    </row>
    <row r="225" spans="1:37" x14ac:dyDescent="0.25">
      <c r="A225">
        <v>307</v>
      </c>
      <c r="B225">
        <v>38</v>
      </c>
      <c r="C225" s="1" t="s">
        <v>25</v>
      </c>
      <c r="D225" s="1" t="s">
        <v>69</v>
      </c>
      <c r="E225">
        <v>3</v>
      </c>
      <c r="F225" s="1" t="s">
        <v>134</v>
      </c>
      <c r="G225">
        <v>0</v>
      </c>
      <c r="H225" s="1" t="s">
        <v>18</v>
      </c>
      <c r="I225">
        <v>17</v>
      </c>
      <c r="J225">
        <v>6</v>
      </c>
      <c r="K225">
        <v>16</v>
      </c>
      <c r="L225">
        <v>10</v>
      </c>
      <c r="M225">
        <v>5</v>
      </c>
      <c r="N225">
        <v>13</v>
      </c>
      <c r="O225" s="1" t="s">
        <v>19</v>
      </c>
      <c r="P225" s="1" t="s">
        <v>135</v>
      </c>
      <c r="Q225">
        <v>119</v>
      </c>
      <c r="R225" s="1" t="s">
        <v>64</v>
      </c>
      <c r="S225">
        <v>3</v>
      </c>
      <c r="T225">
        <v>1</v>
      </c>
      <c r="U225">
        <v>1</v>
      </c>
      <c r="V225">
        <v>76</v>
      </c>
      <c r="W225">
        <v>3</v>
      </c>
      <c r="X225">
        <v>3</v>
      </c>
      <c r="Y225" s="1" t="s">
        <v>4</v>
      </c>
      <c r="Z225">
        <v>3</v>
      </c>
      <c r="AA225">
        <v>10609</v>
      </c>
      <c r="AB225">
        <v>9647</v>
      </c>
      <c r="AC225" s="1" t="s">
        <v>19</v>
      </c>
      <c r="AD225">
        <v>12</v>
      </c>
      <c r="AE225">
        <v>3</v>
      </c>
      <c r="AF225">
        <v>3</v>
      </c>
      <c r="AG225">
        <v>80</v>
      </c>
      <c r="AH225">
        <v>2</v>
      </c>
      <c r="AI225">
        <v>2</v>
      </c>
      <c r="AJ225">
        <v>0</v>
      </c>
      <c r="AK225" s="1" t="s">
        <v>136</v>
      </c>
    </row>
    <row r="226" spans="1:37" x14ac:dyDescent="0.25">
      <c r="A226">
        <v>308</v>
      </c>
      <c r="B226">
        <v>31</v>
      </c>
      <c r="C226" s="1" t="s">
        <v>25</v>
      </c>
      <c r="D226" s="1" t="s">
        <v>70</v>
      </c>
      <c r="E226">
        <v>4</v>
      </c>
      <c r="F226" s="1" t="s">
        <v>139</v>
      </c>
      <c r="G226">
        <v>0</v>
      </c>
      <c r="H226" s="1" t="s">
        <v>18</v>
      </c>
      <c r="I226">
        <v>6</v>
      </c>
      <c r="J226">
        <v>2</v>
      </c>
      <c r="K226">
        <v>5</v>
      </c>
      <c r="L226">
        <v>4</v>
      </c>
      <c r="M226">
        <v>1</v>
      </c>
      <c r="N226">
        <v>4</v>
      </c>
      <c r="O226" s="1" t="s">
        <v>19</v>
      </c>
      <c r="P226" s="1" t="s">
        <v>141</v>
      </c>
      <c r="Q226">
        <v>979</v>
      </c>
      <c r="R226" s="1" t="s">
        <v>63</v>
      </c>
      <c r="S226">
        <v>1</v>
      </c>
      <c r="T226">
        <v>1</v>
      </c>
      <c r="U226">
        <v>3</v>
      </c>
      <c r="V226">
        <v>90</v>
      </c>
      <c r="W226">
        <v>1</v>
      </c>
      <c r="X226">
        <v>2</v>
      </c>
      <c r="Y226" s="1" t="s">
        <v>7</v>
      </c>
      <c r="Z226">
        <v>3</v>
      </c>
      <c r="AA226">
        <v>4345</v>
      </c>
      <c r="AB226">
        <v>4381</v>
      </c>
      <c r="AC226" s="1" t="s">
        <v>19</v>
      </c>
      <c r="AD226">
        <v>12</v>
      </c>
      <c r="AE226">
        <v>3</v>
      </c>
      <c r="AF226">
        <v>4</v>
      </c>
      <c r="AG226">
        <v>80</v>
      </c>
      <c r="AH226">
        <v>1</v>
      </c>
      <c r="AI226">
        <v>3</v>
      </c>
      <c r="AJ226">
        <v>0</v>
      </c>
      <c r="AK226" s="1" t="s">
        <v>136</v>
      </c>
    </row>
    <row r="227" spans="1:37" x14ac:dyDescent="0.25">
      <c r="A227">
        <v>309</v>
      </c>
      <c r="B227">
        <v>59</v>
      </c>
      <c r="C227" s="1" t="s">
        <v>25</v>
      </c>
      <c r="D227" s="1" t="s">
        <v>70</v>
      </c>
      <c r="E227">
        <v>3</v>
      </c>
      <c r="F227" s="1" t="s">
        <v>134</v>
      </c>
      <c r="G227">
        <v>3</v>
      </c>
      <c r="H227" s="1" t="s">
        <v>18</v>
      </c>
      <c r="I227">
        <v>7</v>
      </c>
      <c r="J227">
        <v>6</v>
      </c>
      <c r="K227">
        <v>1</v>
      </c>
      <c r="L227">
        <v>0</v>
      </c>
      <c r="M227">
        <v>0</v>
      </c>
      <c r="N227">
        <v>0</v>
      </c>
      <c r="O227" s="1" t="s">
        <v>19</v>
      </c>
      <c r="P227" s="1" t="s">
        <v>135</v>
      </c>
      <c r="Q227">
        <v>142</v>
      </c>
      <c r="R227" s="1" t="s">
        <v>63</v>
      </c>
      <c r="S227">
        <v>3</v>
      </c>
      <c r="T227">
        <v>1</v>
      </c>
      <c r="U227">
        <v>3</v>
      </c>
      <c r="V227">
        <v>70</v>
      </c>
      <c r="W227">
        <v>2</v>
      </c>
      <c r="X227">
        <v>1</v>
      </c>
      <c r="Y227" s="1" t="s">
        <v>5</v>
      </c>
      <c r="Z227">
        <v>4</v>
      </c>
      <c r="AA227">
        <v>2177</v>
      </c>
      <c r="AB227">
        <v>8456</v>
      </c>
      <c r="AC227" s="1" t="s">
        <v>19</v>
      </c>
      <c r="AD227">
        <v>17</v>
      </c>
      <c r="AE227">
        <v>3</v>
      </c>
      <c r="AF227">
        <v>1</v>
      </c>
      <c r="AG227">
        <v>80</v>
      </c>
      <c r="AH227">
        <v>1</v>
      </c>
      <c r="AI227">
        <v>3</v>
      </c>
      <c r="AJ227">
        <v>0</v>
      </c>
      <c r="AK227" s="1" t="s">
        <v>140</v>
      </c>
    </row>
    <row r="228" spans="1:37" x14ac:dyDescent="0.25">
      <c r="A228">
        <v>311</v>
      </c>
      <c r="B228">
        <v>37</v>
      </c>
      <c r="C228" s="1" t="s">
        <v>25</v>
      </c>
      <c r="D228" s="1" t="s">
        <v>69</v>
      </c>
      <c r="E228">
        <v>4</v>
      </c>
      <c r="F228" s="1" t="s">
        <v>142</v>
      </c>
      <c r="G228">
        <v>4</v>
      </c>
      <c r="H228" s="1" t="s">
        <v>18</v>
      </c>
      <c r="I228">
        <v>13</v>
      </c>
      <c r="J228">
        <v>2</v>
      </c>
      <c r="K228">
        <v>9</v>
      </c>
      <c r="L228">
        <v>8</v>
      </c>
      <c r="M228">
        <v>5</v>
      </c>
      <c r="N228">
        <v>8</v>
      </c>
      <c r="O228" s="1" t="s">
        <v>19</v>
      </c>
      <c r="P228" s="1" t="s">
        <v>137</v>
      </c>
      <c r="Q228">
        <v>319</v>
      </c>
      <c r="R228" s="1" t="s">
        <v>64</v>
      </c>
      <c r="S228">
        <v>4</v>
      </c>
      <c r="T228">
        <v>1</v>
      </c>
      <c r="U228">
        <v>1</v>
      </c>
      <c r="V228">
        <v>41</v>
      </c>
      <c r="W228">
        <v>3</v>
      </c>
      <c r="X228">
        <v>1</v>
      </c>
      <c r="Y228" s="1" t="s">
        <v>10</v>
      </c>
      <c r="Z228">
        <v>4</v>
      </c>
      <c r="AA228">
        <v>2793</v>
      </c>
      <c r="AB228">
        <v>2539</v>
      </c>
      <c r="AC228" s="1" t="s">
        <v>19</v>
      </c>
      <c r="AD228">
        <v>17</v>
      </c>
      <c r="AE228">
        <v>3</v>
      </c>
      <c r="AF228">
        <v>3</v>
      </c>
      <c r="AG228">
        <v>80</v>
      </c>
      <c r="AH228">
        <v>1</v>
      </c>
      <c r="AI228">
        <v>3</v>
      </c>
      <c r="AJ228">
        <v>0</v>
      </c>
      <c r="AK228" s="1" t="s">
        <v>136</v>
      </c>
    </row>
    <row r="229" spans="1:37" x14ac:dyDescent="0.25">
      <c r="A229">
        <v>312</v>
      </c>
      <c r="B229">
        <v>29</v>
      </c>
      <c r="C229" s="1" t="s">
        <v>24</v>
      </c>
      <c r="D229" s="1" t="s">
        <v>70</v>
      </c>
      <c r="E229">
        <v>1</v>
      </c>
      <c r="F229" s="1" t="s">
        <v>139</v>
      </c>
      <c r="G229">
        <v>1</v>
      </c>
      <c r="H229" s="1" t="s">
        <v>18</v>
      </c>
      <c r="I229">
        <v>11</v>
      </c>
      <c r="J229">
        <v>5</v>
      </c>
      <c r="K229">
        <v>11</v>
      </c>
      <c r="L229">
        <v>10</v>
      </c>
      <c r="M229">
        <v>4</v>
      </c>
      <c r="N229">
        <v>1</v>
      </c>
      <c r="O229" s="1" t="s">
        <v>19</v>
      </c>
      <c r="P229" s="1" t="s">
        <v>137</v>
      </c>
      <c r="Q229">
        <v>1413</v>
      </c>
      <c r="R229" s="1" t="s">
        <v>64</v>
      </c>
      <c r="S229">
        <v>1</v>
      </c>
      <c r="T229">
        <v>1</v>
      </c>
      <c r="U229">
        <v>2</v>
      </c>
      <c r="V229">
        <v>42</v>
      </c>
      <c r="W229">
        <v>3</v>
      </c>
      <c r="X229">
        <v>3</v>
      </c>
      <c r="Y229" s="1" t="s">
        <v>4</v>
      </c>
      <c r="Z229">
        <v>4</v>
      </c>
      <c r="AA229">
        <v>7918</v>
      </c>
      <c r="AB229">
        <v>6599</v>
      </c>
      <c r="AC229" s="1" t="s">
        <v>19</v>
      </c>
      <c r="AD229">
        <v>14</v>
      </c>
      <c r="AE229">
        <v>3</v>
      </c>
      <c r="AF229">
        <v>4</v>
      </c>
      <c r="AG229">
        <v>80</v>
      </c>
      <c r="AH229">
        <v>1</v>
      </c>
      <c r="AI229">
        <v>3</v>
      </c>
      <c r="AJ229">
        <v>0</v>
      </c>
      <c r="AK229" s="1" t="s">
        <v>136</v>
      </c>
    </row>
    <row r="230" spans="1:37" x14ac:dyDescent="0.25">
      <c r="A230">
        <v>314</v>
      </c>
      <c r="B230">
        <v>35</v>
      </c>
      <c r="C230" s="1" t="s">
        <v>24</v>
      </c>
      <c r="D230" s="1" t="s">
        <v>71</v>
      </c>
      <c r="E230">
        <v>3</v>
      </c>
      <c r="F230" s="1" t="s">
        <v>142</v>
      </c>
      <c r="G230">
        <v>1</v>
      </c>
      <c r="H230" s="1" t="s">
        <v>18</v>
      </c>
      <c r="I230">
        <v>10</v>
      </c>
      <c r="J230">
        <v>3</v>
      </c>
      <c r="K230">
        <v>10</v>
      </c>
      <c r="L230">
        <v>7</v>
      </c>
      <c r="M230">
        <v>0</v>
      </c>
      <c r="N230">
        <v>8</v>
      </c>
      <c r="O230" s="1" t="s">
        <v>19</v>
      </c>
      <c r="P230" s="1" t="s">
        <v>137</v>
      </c>
      <c r="Q230">
        <v>944</v>
      </c>
      <c r="R230" s="1" t="s">
        <v>64</v>
      </c>
      <c r="S230">
        <v>1</v>
      </c>
      <c r="T230">
        <v>1</v>
      </c>
      <c r="U230">
        <v>3</v>
      </c>
      <c r="V230">
        <v>92</v>
      </c>
      <c r="W230">
        <v>3</v>
      </c>
      <c r="X230">
        <v>3</v>
      </c>
      <c r="Y230" s="1" t="s">
        <v>4</v>
      </c>
      <c r="Z230">
        <v>3</v>
      </c>
      <c r="AA230">
        <v>8789</v>
      </c>
      <c r="AB230">
        <v>9096</v>
      </c>
      <c r="AC230" s="1" t="s">
        <v>19</v>
      </c>
      <c r="AD230">
        <v>14</v>
      </c>
      <c r="AE230">
        <v>3</v>
      </c>
      <c r="AF230">
        <v>1</v>
      </c>
      <c r="AG230">
        <v>80</v>
      </c>
      <c r="AH230">
        <v>0</v>
      </c>
      <c r="AI230">
        <v>4</v>
      </c>
      <c r="AJ230">
        <v>0</v>
      </c>
      <c r="AK230" s="1" t="s">
        <v>136</v>
      </c>
    </row>
    <row r="231" spans="1:37" x14ac:dyDescent="0.25">
      <c r="A231">
        <v>315</v>
      </c>
      <c r="B231">
        <v>29</v>
      </c>
      <c r="C231" s="1" t="s">
        <v>25</v>
      </c>
      <c r="D231" s="1" t="s">
        <v>71</v>
      </c>
      <c r="E231">
        <v>1</v>
      </c>
      <c r="F231" s="1" t="s">
        <v>139</v>
      </c>
      <c r="G231">
        <v>1</v>
      </c>
      <c r="H231" s="1" t="s">
        <v>18</v>
      </c>
      <c r="I231">
        <v>4</v>
      </c>
      <c r="J231">
        <v>3</v>
      </c>
      <c r="K231">
        <v>4</v>
      </c>
      <c r="L231">
        <v>3</v>
      </c>
      <c r="M231">
        <v>0</v>
      </c>
      <c r="N231">
        <v>1</v>
      </c>
      <c r="O231" s="1" t="s">
        <v>18</v>
      </c>
      <c r="P231" s="1" t="s">
        <v>135</v>
      </c>
      <c r="Q231">
        <v>896</v>
      </c>
      <c r="R231" s="1" t="s">
        <v>63</v>
      </c>
      <c r="S231">
        <v>18</v>
      </c>
      <c r="T231">
        <v>1</v>
      </c>
      <c r="U231">
        <v>3</v>
      </c>
      <c r="V231">
        <v>86</v>
      </c>
      <c r="W231">
        <v>2</v>
      </c>
      <c r="X231">
        <v>1</v>
      </c>
      <c r="Y231" s="1" t="s">
        <v>5</v>
      </c>
      <c r="Z231">
        <v>4</v>
      </c>
      <c r="AA231">
        <v>2389</v>
      </c>
      <c r="AB231">
        <v>14961</v>
      </c>
      <c r="AC231" s="1" t="s">
        <v>18</v>
      </c>
      <c r="AD231">
        <v>13</v>
      </c>
      <c r="AE231">
        <v>3</v>
      </c>
      <c r="AF231">
        <v>3</v>
      </c>
      <c r="AG231">
        <v>80</v>
      </c>
      <c r="AH231">
        <v>0</v>
      </c>
      <c r="AI231">
        <v>2</v>
      </c>
      <c r="AJ231">
        <v>1</v>
      </c>
      <c r="AK231" s="1" t="s">
        <v>136</v>
      </c>
    </row>
    <row r="232" spans="1:37" x14ac:dyDescent="0.25">
      <c r="A232">
        <v>316</v>
      </c>
      <c r="B232">
        <v>52</v>
      </c>
      <c r="C232" s="1" t="s">
        <v>24</v>
      </c>
      <c r="D232" s="1" t="s">
        <v>71</v>
      </c>
      <c r="E232">
        <v>3</v>
      </c>
      <c r="F232" s="1" t="s">
        <v>134</v>
      </c>
      <c r="G232">
        <v>7</v>
      </c>
      <c r="H232" s="1" t="s">
        <v>18</v>
      </c>
      <c r="I232">
        <v>6</v>
      </c>
      <c r="J232">
        <v>3</v>
      </c>
      <c r="K232">
        <v>2</v>
      </c>
      <c r="L232">
        <v>2</v>
      </c>
      <c r="M232">
        <v>2</v>
      </c>
      <c r="N232">
        <v>2</v>
      </c>
      <c r="O232" s="1" t="s">
        <v>19</v>
      </c>
      <c r="P232" s="1" t="s">
        <v>135</v>
      </c>
      <c r="Q232">
        <v>1323</v>
      </c>
      <c r="R232" s="1" t="s">
        <v>63</v>
      </c>
      <c r="S232">
        <v>2</v>
      </c>
      <c r="T232">
        <v>1</v>
      </c>
      <c r="U232">
        <v>3</v>
      </c>
      <c r="V232">
        <v>89</v>
      </c>
      <c r="W232">
        <v>2</v>
      </c>
      <c r="X232">
        <v>1</v>
      </c>
      <c r="Y232" s="1" t="s">
        <v>6</v>
      </c>
      <c r="Z232">
        <v>4</v>
      </c>
      <c r="AA232">
        <v>3212</v>
      </c>
      <c r="AB232">
        <v>3300</v>
      </c>
      <c r="AC232" s="1" t="s">
        <v>19</v>
      </c>
      <c r="AD232">
        <v>15</v>
      </c>
      <c r="AE232">
        <v>3</v>
      </c>
      <c r="AF232">
        <v>2</v>
      </c>
      <c r="AG232">
        <v>80</v>
      </c>
      <c r="AH232">
        <v>0</v>
      </c>
      <c r="AI232">
        <v>2</v>
      </c>
      <c r="AJ232">
        <v>0</v>
      </c>
      <c r="AK232" s="1" t="s">
        <v>140</v>
      </c>
    </row>
    <row r="233" spans="1:37" x14ac:dyDescent="0.25">
      <c r="A233">
        <v>319</v>
      </c>
      <c r="B233">
        <v>42</v>
      </c>
      <c r="C233" s="1" t="s">
        <v>25</v>
      </c>
      <c r="D233" s="1" t="s">
        <v>70</v>
      </c>
      <c r="E233">
        <v>2</v>
      </c>
      <c r="F233" s="1" t="s">
        <v>143</v>
      </c>
      <c r="G233">
        <v>1</v>
      </c>
      <c r="H233" s="1" t="s">
        <v>18</v>
      </c>
      <c r="I233">
        <v>22</v>
      </c>
      <c r="J233">
        <v>3</v>
      </c>
      <c r="K233">
        <v>22</v>
      </c>
      <c r="L233">
        <v>17</v>
      </c>
      <c r="M233">
        <v>11</v>
      </c>
      <c r="N233">
        <v>15</v>
      </c>
      <c r="O233" s="1" t="s">
        <v>19</v>
      </c>
      <c r="P233" s="1" t="s">
        <v>135</v>
      </c>
      <c r="Q233">
        <v>532</v>
      </c>
      <c r="R233" s="1" t="s">
        <v>63</v>
      </c>
      <c r="S233">
        <v>4</v>
      </c>
      <c r="T233">
        <v>1</v>
      </c>
      <c r="U233">
        <v>3</v>
      </c>
      <c r="V233">
        <v>58</v>
      </c>
      <c r="W233">
        <v>3</v>
      </c>
      <c r="X233">
        <v>5</v>
      </c>
      <c r="Y233" s="1" t="s">
        <v>9</v>
      </c>
      <c r="Z233">
        <v>4</v>
      </c>
      <c r="AA233">
        <v>19232</v>
      </c>
      <c r="AB233">
        <v>4933</v>
      </c>
      <c r="AC233" s="1" t="s">
        <v>19</v>
      </c>
      <c r="AD233">
        <v>11</v>
      </c>
      <c r="AE233">
        <v>3</v>
      </c>
      <c r="AF233">
        <v>4</v>
      </c>
      <c r="AG233">
        <v>80</v>
      </c>
      <c r="AH233">
        <v>0</v>
      </c>
      <c r="AI233">
        <v>3</v>
      </c>
      <c r="AJ233">
        <v>0</v>
      </c>
      <c r="AK233" s="1" t="s">
        <v>136</v>
      </c>
    </row>
    <row r="234" spans="1:37" x14ac:dyDescent="0.25">
      <c r="A234">
        <v>321</v>
      </c>
      <c r="B234">
        <v>59</v>
      </c>
      <c r="C234" s="1" t="s">
        <v>25</v>
      </c>
      <c r="D234" s="1" t="s">
        <v>70</v>
      </c>
      <c r="E234">
        <v>2</v>
      </c>
      <c r="F234" s="1" t="s">
        <v>139</v>
      </c>
      <c r="G234">
        <v>8</v>
      </c>
      <c r="H234" s="1" t="s">
        <v>18</v>
      </c>
      <c r="I234">
        <v>7</v>
      </c>
      <c r="J234">
        <v>2</v>
      </c>
      <c r="K234">
        <v>2</v>
      </c>
      <c r="L234">
        <v>2</v>
      </c>
      <c r="M234">
        <v>2</v>
      </c>
      <c r="N234">
        <v>2</v>
      </c>
      <c r="O234" s="1" t="s">
        <v>19</v>
      </c>
      <c r="P234" s="1" t="s">
        <v>135</v>
      </c>
      <c r="Q234">
        <v>818</v>
      </c>
      <c r="R234" s="1" t="s">
        <v>12</v>
      </c>
      <c r="S234">
        <v>6</v>
      </c>
      <c r="T234">
        <v>1</v>
      </c>
      <c r="U234">
        <v>2</v>
      </c>
      <c r="V234">
        <v>52</v>
      </c>
      <c r="W234">
        <v>3</v>
      </c>
      <c r="X234">
        <v>1</v>
      </c>
      <c r="Y234" s="1" t="s">
        <v>12</v>
      </c>
      <c r="Z234">
        <v>3</v>
      </c>
      <c r="AA234">
        <v>2267</v>
      </c>
      <c r="AB234">
        <v>25657</v>
      </c>
      <c r="AC234" s="1" t="s">
        <v>19</v>
      </c>
      <c r="AD234">
        <v>17</v>
      </c>
      <c r="AE234">
        <v>3</v>
      </c>
      <c r="AF234">
        <v>4</v>
      </c>
      <c r="AG234">
        <v>80</v>
      </c>
      <c r="AH234">
        <v>0</v>
      </c>
      <c r="AI234">
        <v>2</v>
      </c>
      <c r="AJ234">
        <v>0</v>
      </c>
      <c r="AK234" s="1" t="s">
        <v>140</v>
      </c>
    </row>
    <row r="235" spans="1:37" x14ac:dyDescent="0.25">
      <c r="A235">
        <v>323</v>
      </c>
      <c r="B235">
        <v>50</v>
      </c>
      <c r="C235" s="1" t="s">
        <v>24</v>
      </c>
      <c r="D235" s="1" t="s">
        <v>69</v>
      </c>
      <c r="E235">
        <v>4</v>
      </c>
      <c r="F235" s="1" t="s">
        <v>139</v>
      </c>
      <c r="G235">
        <v>3</v>
      </c>
      <c r="H235" s="1" t="s">
        <v>18</v>
      </c>
      <c r="I235">
        <v>32</v>
      </c>
      <c r="J235">
        <v>3</v>
      </c>
      <c r="K235">
        <v>7</v>
      </c>
      <c r="L235">
        <v>0</v>
      </c>
      <c r="M235">
        <v>0</v>
      </c>
      <c r="N235">
        <v>6</v>
      </c>
      <c r="O235" s="1" t="s">
        <v>19</v>
      </c>
      <c r="P235" s="1" t="s">
        <v>135</v>
      </c>
      <c r="Q235">
        <v>854</v>
      </c>
      <c r="R235" s="1" t="s">
        <v>64</v>
      </c>
      <c r="S235">
        <v>1</v>
      </c>
      <c r="T235">
        <v>1</v>
      </c>
      <c r="U235">
        <v>4</v>
      </c>
      <c r="V235">
        <v>68</v>
      </c>
      <c r="W235">
        <v>3</v>
      </c>
      <c r="X235">
        <v>5</v>
      </c>
      <c r="Y235" s="1" t="s">
        <v>9</v>
      </c>
      <c r="Z235">
        <v>4</v>
      </c>
      <c r="AA235">
        <v>19517</v>
      </c>
      <c r="AB235">
        <v>24118</v>
      </c>
      <c r="AC235" s="1" t="s">
        <v>19</v>
      </c>
      <c r="AD235">
        <v>11</v>
      </c>
      <c r="AE235">
        <v>3</v>
      </c>
      <c r="AF235">
        <v>3</v>
      </c>
      <c r="AG235">
        <v>80</v>
      </c>
      <c r="AH235">
        <v>1</v>
      </c>
      <c r="AI235">
        <v>2</v>
      </c>
      <c r="AJ235">
        <v>0</v>
      </c>
      <c r="AK235" s="1" t="s">
        <v>140</v>
      </c>
    </row>
    <row r="236" spans="1:37" x14ac:dyDescent="0.25">
      <c r="A236">
        <v>325</v>
      </c>
      <c r="B236">
        <v>33</v>
      </c>
      <c r="C236" s="1" t="s">
        <v>25</v>
      </c>
      <c r="D236" s="1" t="s">
        <v>70</v>
      </c>
      <c r="E236">
        <v>3</v>
      </c>
      <c r="F236" s="1" t="s">
        <v>139</v>
      </c>
      <c r="G236">
        <v>5</v>
      </c>
      <c r="H236" s="1" t="s">
        <v>18</v>
      </c>
      <c r="I236">
        <v>8</v>
      </c>
      <c r="J236">
        <v>2</v>
      </c>
      <c r="K236">
        <v>5</v>
      </c>
      <c r="L236">
        <v>4</v>
      </c>
      <c r="M236">
        <v>0</v>
      </c>
      <c r="N236">
        <v>4</v>
      </c>
      <c r="O236" s="1" t="s">
        <v>18</v>
      </c>
      <c r="P236" s="1" t="s">
        <v>135</v>
      </c>
      <c r="Q236">
        <v>813</v>
      </c>
      <c r="R236" s="1" t="s">
        <v>63</v>
      </c>
      <c r="S236">
        <v>14</v>
      </c>
      <c r="T236">
        <v>1</v>
      </c>
      <c r="U236">
        <v>3</v>
      </c>
      <c r="V236">
        <v>58</v>
      </c>
      <c r="W236">
        <v>3</v>
      </c>
      <c r="X236">
        <v>1</v>
      </c>
      <c r="Y236" s="1" t="s">
        <v>6</v>
      </c>
      <c r="Z236">
        <v>4</v>
      </c>
      <c r="AA236">
        <v>2436</v>
      </c>
      <c r="AB236">
        <v>22149</v>
      </c>
      <c r="AC236" s="1" t="s">
        <v>18</v>
      </c>
      <c r="AD236">
        <v>13</v>
      </c>
      <c r="AE236">
        <v>3</v>
      </c>
      <c r="AF236">
        <v>3</v>
      </c>
      <c r="AG236">
        <v>80</v>
      </c>
      <c r="AH236">
        <v>1</v>
      </c>
      <c r="AI236">
        <v>1</v>
      </c>
      <c r="AJ236">
        <v>1</v>
      </c>
      <c r="AK236" s="1" t="s">
        <v>136</v>
      </c>
    </row>
    <row r="237" spans="1:37" x14ac:dyDescent="0.25">
      <c r="A237">
        <v>327</v>
      </c>
      <c r="B237">
        <v>43</v>
      </c>
      <c r="C237" s="1" t="s">
        <v>24</v>
      </c>
      <c r="D237" s="1" t="s">
        <v>70</v>
      </c>
      <c r="E237">
        <v>3</v>
      </c>
      <c r="F237" s="1" t="s">
        <v>142</v>
      </c>
      <c r="G237">
        <v>5</v>
      </c>
      <c r="H237" s="1" t="s">
        <v>18</v>
      </c>
      <c r="I237">
        <v>22</v>
      </c>
      <c r="J237">
        <v>3</v>
      </c>
      <c r="K237">
        <v>17</v>
      </c>
      <c r="L237">
        <v>13</v>
      </c>
      <c r="M237">
        <v>1</v>
      </c>
      <c r="N237">
        <v>9</v>
      </c>
      <c r="O237" s="1" t="s">
        <v>19</v>
      </c>
      <c r="P237" s="1" t="s">
        <v>135</v>
      </c>
      <c r="Q237">
        <v>1034</v>
      </c>
      <c r="R237" s="1" t="s">
        <v>64</v>
      </c>
      <c r="S237">
        <v>16</v>
      </c>
      <c r="T237">
        <v>1</v>
      </c>
      <c r="U237">
        <v>4</v>
      </c>
      <c r="V237">
        <v>80</v>
      </c>
      <c r="W237">
        <v>3</v>
      </c>
      <c r="X237">
        <v>4</v>
      </c>
      <c r="Y237" s="1" t="s">
        <v>9</v>
      </c>
      <c r="Z237">
        <v>4</v>
      </c>
      <c r="AA237">
        <v>16064</v>
      </c>
      <c r="AB237">
        <v>7744</v>
      </c>
      <c r="AC237" s="1" t="s">
        <v>18</v>
      </c>
      <c r="AD237">
        <v>22</v>
      </c>
      <c r="AE237">
        <v>4</v>
      </c>
      <c r="AF237">
        <v>3</v>
      </c>
      <c r="AG237">
        <v>80</v>
      </c>
      <c r="AH237">
        <v>1</v>
      </c>
      <c r="AI237">
        <v>3</v>
      </c>
      <c r="AJ237">
        <v>0</v>
      </c>
      <c r="AK237" s="1" t="s">
        <v>136</v>
      </c>
    </row>
    <row r="238" spans="1:37" x14ac:dyDescent="0.25">
      <c r="A238">
        <v>328</v>
      </c>
      <c r="B238">
        <v>33</v>
      </c>
      <c r="C238" s="1" t="s">
        <v>24</v>
      </c>
      <c r="D238" s="1" t="s">
        <v>70</v>
      </c>
      <c r="E238">
        <v>2</v>
      </c>
      <c r="F238" s="1" t="s">
        <v>134</v>
      </c>
      <c r="G238">
        <v>7</v>
      </c>
      <c r="H238" s="1" t="s">
        <v>18</v>
      </c>
      <c r="I238">
        <v>13</v>
      </c>
      <c r="J238">
        <v>3</v>
      </c>
      <c r="K238">
        <v>9</v>
      </c>
      <c r="L238">
        <v>7</v>
      </c>
      <c r="M238">
        <v>1</v>
      </c>
      <c r="N238">
        <v>7</v>
      </c>
      <c r="O238" s="1" t="s">
        <v>18</v>
      </c>
      <c r="P238" s="1" t="s">
        <v>135</v>
      </c>
      <c r="Q238">
        <v>465</v>
      </c>
      <c r="R238" s="1" t="s">
        <v>63</v>
      </c>
      <c r="S238">
        <v>2</v>
      </c>
      <c r="T238">
        <v>1</v>
      </c>
      <c r="U238">
        <v>1</v>
      </c>
      <c r="V238">
        <v>39</v>
      </c>
      <c r="W238">
        <v>3</v>
      </c>
      <c r="X238">
        <v>1</v>
      </c>
      <c r="Y238" s="1" t="s">
        <v>6</v>
      </c>
      <c r="Z238">
        <v>1</v>
      </c>
      <c r="AA238">
        <v>2707</v>
      </c>
      <c r="AB238">
        <v>21509</v>
      </c>
      <c r="AC238" s="1" t="s">
        <v>19</v>
      </c>
      <c r="AD238">
        <v>20</v>
      </c>
      <c r="AE238">
        <v>4</v>
      </c>
      <c r="AF238">
        <v>1</v>
      </c>
      <c r="AG238">
        <v>80</v>
      </c>
      <c r="AH238">
        <v>0</v>
      </c>
      <c r="AI238">
        <v>4</v>
      </c>
      <c r="AJ238">
        <v>1</v>
      </c>
      <c r="AK238" s="1" t="s">
        <v>136</v>
      </c>
    </row>
    <row r="239" spans="1:37" x14ac:dyDescent="0.25">
      <c r="A239">
        <v>329</v>
      </c>
      <c r="B239">
        <v>52</v>
      </c>
      <c r="C239" s="1" t="s">
        <v>25</v>
      </c>
      <c r="D239" s="1" t="s">
        <v>71</v>
      </c>
      <c r="E239">
        <v>4</v>
      </c>
      <c r="F239" s="1" t="s">
        <v>134</v>
      </c>
      <c r="G239">
        <v>1</v>
      </c>
      <c r="H239" s="1" t="s">
        <v>18</v>
      </c>
      <c r="I239">
        <v>33</v>
      </c>
      <c r="J239">
        <v>2</v>
      </c>
      <c r="K239">
        <v>33</v>
      </c>
      <c r="L239">
        <v>7</v>
      </c>
      <c r="M239">
        <v>15</v>
      </c>
      <c r="N239">
        <v>12</v>
      </c>
      <c r="O239" s="1" t="s">
        <v>19</v>
      </c>
      <c r="P239" s="1" t="s">
        <v>141</v>
      </c>
      <c r="Q239">
        <v>771</v>
      </c>
      <c r="R239" s="1" t="s">
        <v>64</v>
      </c>
      <c r="S239">
        <v>2</v>
      </c>
      <c r="T239">
        <v>1</v>
      </c>
      <c r="U239">
        <v>1</v>
      </c>
      <c r="V239">
        <v>79</v>
      </c>
      <c r="W239">
        <v>2</v>
      </c>
      <c r="X239">
        <v>5</v>
      </c>
      <c r="Y239" s="1" t="s">
        <v>9</v>
      </c>
      <c r="Z239">
        <v>3</v>
      </c>
      <c r="AA239">
        <v>19068</v>
      </c>
      <c r="AB239">
        <v>21030</v>
      </c>
      <c r="AC239" s="1" t="s">
        <v>18</v>
      </c>
      <c r="AD239">
        <v>18</v>
      </c>
      <c r="AE239">
        <v>3</v>
      </c>
      <c r="AF239">
        <v>4</v>
      </c>
      <c r="AG239">
        <v>80</v>
      </c>
      <c r="AH239">
        <v>0</v>
      </c>
      <c r="AI239">
        <v>4</v>
      </c>
      <c r="AJ239">
        <v>0</v>
      </c>
      <c r="AK239" s="1" t="s">
        <v>140</v>
      </c>
    </row>
    <row r="240" spans="1:37" x14ac:dyDescent="0.25">
      <c r="A240">
        <v>330</v>
      </c>
      <c r="B240">
        <v>32</v>
      </c>
      <c r="C240" s="1" t="s">
        <v>24</v>
      </c>
      <c r="D240" s="1" t="s">
        <v>70</v>
      </c>
      <c r="E240">
        <v>2</v>
      </c>
      <c r="F240" s="1" t="s">
        <v>134</v>
      </c>
      <c r="G240">
        <v>2</v>
      </c>
      <c r="H240" s="1" t="s">
        <v>18</v>
      </c>
      <c r="I240">
        <v>6</v>
      </c>
      <c r="J240">
        <v>5</v>
      </c>
      <c r="K240">
        <v>4</v>
      </c>
      <c r="L240">
        <v>3</v>
      </c>
      <c r="M240">
        <v>1</v>
      </c>
      <c r="N240">
        <v>2</v>
      </c>
      <c r="O240" s="1" t="s">
        <v>19</v>
      </c>
      <c r="P240" s="1" t="s">
        <v>135</v>
      </c>
      <c r="Q240">
        <v>1401</v>
      </c>
      <c r="R240" s="1" t="s">
        <v>64</v>
      </c>
      <c r="S240">
        <v>4</v>
      </c>
      <c r="T240">
        <v>1</v>
      </c>
      <c r="U240">
        <v>3</v>
      </c>
      <c r="V240">
        <v>56</v>
      </c>
      <c r="W240">
        <v>3</v>
      </c>
      <c r="X240">
        <v>1</v>
      </c>
      <c r="Y240" s="1" t="s">
        <v>10</v>
      </c>
      <c r="Z240">
        <v>2</v>
      </c>
      <c r="AA240">
        <v>3931</v>
      </c>
      <c r="AB240">
        <v>20990</v>
      </c>
      <c r="AC240" s="1" t="s">
        <v>19</v>
      </c>
      <c r="AD240">
        <v>11</v>
      </c>
      <c r="AE240">
        <v>3</v>
      </c>
      <c r="AF240">
        <v>1</v>
      </c>
      <c r="AG240">
        <v>80</v>
      </c>
      <c r="AH240">
        <v>1</v>
      </c>
      <c r="AI240">
        <v>3</v>
      </c>
      <c r="AJ240">
        <v>0</v>
      </c>
      <c r="AK240" s="1" t="s">
        <v>136</v>
      </c>
    </row>
    <row r="241" spans="1:37" x14ac:dyDescent="0.25">
      <c r="A241">
        <v>331</v>
      </c>
      <c r="B241">
        <v>32</v>
      </c>
      <c r="C241" s="1" t="s">
        <v>25</v>
      </c>
      <c r="D241" s="1" t="s">
        <v>71</v>
      </c>
      <c r="E241">
        <v>3</v>
      </c>
      <c r="F241" s="1" t="s">
        <v>134</v>
      </c>
      <c r="G241">
        <v>0</v>
      </c>
      <c r="H241" s="1" t="s">
        <v>18</v>
      </c>
      <c r="I241">
        <v>4</v>
      </c>
      <c r="J241">
        <v>2</v>
      </c>
      <c r="K241">
        <v>3</v>
      </c>
      <c r="L241">
        <v>2</v>
      </c>
      <c r="M241">
        <v>1</v>
      </c>
      <c r="N241">
        <v>2</v>
      </c>
      <c r="O241" s="1" t="s">
        <v>18</v>
      </c>
      <c r="P241" s="1" t="s">
        <v>135</v>
      </c>
      <c r="Q241">
        <v>515</v>
      </c>
      <c r="R241" s="1" t="s">
        <v>63</v>
      </c>
      <c r="S241">
        <v>1</v>
      </c>
      <c r="T241">
        <v>1</v>
      </c>
      <c r="U241">
        <v>4</v>
      </c>
      <c r="V241">
        <v>62</v>
      </c>
      <c r="W241">
        <v>2</v>
      </c>
      <c r="X241">
        <v>1</v>
      </c>
      <c r="Y241" s="1" t="s">
        <v>6</v>
      </c>
      <c r="Z241">
        <v>3</v>
      </c>
      <c r="AA241">
        <v>3730</v>
      </c>
      <c r="AB241">
        <v>9571</v>
      </c>
      <c r="AC241" s="1" t="s">
        <v>18</v>
      </c>
      <c r="AD241">
        <v>14</v>
      </c>
      <c r="AE241">
        <v>3</v>
      </c>
      <c r="AF241">
        <v>4</v>
      </c>
      <c r="AG241">
        <v>80</v>
      </c>
      <c r="AH241">
        <v>0</v>
      </c>
      <c r="AI241">
        <v>1</v>
      </c>
      <c r="AJ241">
        <v>1</v>
      </c>
      <c r="AK241" s="1" t="s">
        <v>136</v>
      </c>
    </row>
    <row r="242" spans="1:37" x14ac:dyDescent="0.25">
      <c r="A242">
        <v>332</v>
      </c>
      <c r="B242">
        <v>39</v>
      </c>
      <c r="C242" s="1" t="s">
        <v>24</v>
      </c>
      <c r="D242" s="1" t="s">
        <v>69</v>
      </c>
      <c r="E242">
        <v>4</v>
      </c>
      <c r="F242" s="1" t="s">
        <v>139</v>
      </c>
      <c r="G242">
        <v>7</v>
      </c>
      <c r="H242" s="1" t="s">
        <v>18</v>
      </c>
      <c r="I242">
        <v>7</v>
      </c>
      <c r="J242">
        <v>1</v>
      </c>
      <c r="K242">
        <v>3</v>
      </c>
      <c r="L242">
        <v>2</v>
      </c>
      <c r="M242">
        <v>1</v>
      </c>
      <c r="N242">
        <v>2</v>
      </c>
      <c r="O242" s="1" t="s">
        <v>19</v>
      </c>
      <c r="P242" s="1" t="s">
        <v>135</v>
      </c>
      <c r="Q242">
        <v>1431</v>
      </c>
      <c r="R242" s="1" t="s">
        <v>63</v>
      </c>
      <c r="S242">
        <v>1</v>
      </c>
      <c r="T242">
        <v>1</v>
      </c>
      <c r="U242">
        <v>3</v>
      </c>
      <c r="V242">
        <v>96</v>
      </c>
      <c r="W242">
        <v>3</v>
      </c>
      <c r="X242">
        <v>1</v>
      </c>
      <c r="Y242" s="1" t="s">
        <v>6</v>
      </c>
      <c r="Z242">
        <v>3</v>
      </c>
      <c r="AA242">
        <v>2232</v>
      </c>
      <c r="AB242">
        <v>15417</v>
      </c>
      <c r="AC242" s="1" t="s">
        <v>19</v>
      </c>
      <c r="AD242">
        <v>14</v>
      </c>
      <c r="AE242">
        <v>3</v>
      </c>
      <c r="AF242">
        <v>3</v>
      </c>
      <c r="AG242">
        <v>80</v>
      </c>
      <c r="AH242">
        <v>3</v>
      </c>
      <c r="AI242">
        <v>3</v>
      </c>
      <c r="AJ242">
        <v>0</v>
      </c>
      <c r="AK242" s="1" t="s">
        <v>136</v>
      </c>
    </row>
    <row r="243" spans="1:37" x14ac:dyDescent="0.25">
      <c r="A243">
        <v>333</v>
      </c>
      <c r="B243">
        <v>32</v>
      </c>
      <c r="C243" s="1" t="s">
        <v>25</v>
      </c>
      <c r="D243" s="1" t="s">
        <v>70</v>
      </c>
      <c r="E243">
        <v>4</v>
      </c>
      <c r="F243" s="1" t="s">
        <v>142</v>
      </c>
      <c r="G243">
        <v>0</v>
      </c>
      <c r="H243" s="1" t="s">
        <v>18</v>
      </c>
      <c r="I243">
        <v>4</v>
      </c>
      <c r="J243">
        <v>2</v>
      </c>
      <c r="K243">
        <v>3</v>
      </c>
      <c r="L243">
        <v>2</v>
      </c>
      <c r="M243">
        <v>2</v>
      </c>
      <c r="N243">
        <v>2</v>
      </c>
      <c r="O243" s="1" t="s">
        <v>19</v>
      </c>
      <c r="P243" s="1" t="s">
        <v>141</v>
      </c>
      <c r="Q243">
        <v>976</v>
      </c>
      <c r="R243" s="1" t="s">
        <v>64</v>
      </c>
      <c r="S243">
        <v>26</v>
      </c>
      <c r="T243">
        <v>1</v>
      </c>
      <c r="U243">
        <v>3</v>
      </c>
      <c r="V243">
        <v>100</v>
      </c>
      <c r="W243">
        <v>3</v>
      </c>
      <c r="X243">
        <v>2</v>
      </c>
      <c r="Y243" s="1" t="s">
        <v>4</v>
      </c>
      <c r="Z243">
        <v>4</v>
      </c>
      <c r="AA243">
        <v>4465</v>
      </c>
      <c r="AB243">
        <v>12069</v>
      </c>
      <c r="AC243" s="1" t="s">
        <v>19</v>
      </c>
      <c r="AD243">
        <v>18</v>
      </c>
      <c r="AE243">
        <v>3</v>
      </c>
      <c r="AF243">
        <v>1</v>
      </c>
      <c r="AG243">
        <v>80</v>
      </c>
      <c r="AH243">
        <v>0</v>
      </c>
      <c r="AI243">
        <v>3</v>
      </c>
      <c r="AJ243">
        <v>0</v>
      </c>
      <c r="AK243" s="1" t="s">
        <v>136</v>
      </c>
    </row>
    <row r="244" spans="1:37" x14ac:dyDescent="0.25">
      <c r="A244">
        <v>334</v>
      </c>
      <c r="B244">
        <v>41</v>
      </c>
      <c r="C244" s="1" t="s">
        <v>25</v>
      </c>
      <c r="D244" s="1" t="s">
        <v>69</v>
      </c>
      <c r="E244">
        <v>2</v>
      </c>
      <c r="F244" s="1" t="s">
        <v>134</v>
      </c>
      <c r="G244">
        <v>2</v>
      </c>
      <c r="H244" s="1" t="s">
        <v>18</v>
      </c>
      <c r="I244">
        <v>17</v>
      </c>
      <c r="J244">
        <v>2</v>
      </c>
      <c r="K244">
        <v>1</v>
      </c>
      <c r="L244">
        <v>0</v>
      </c>
      <c r="M244">
        <v>0</v>
      </c>
      <c r="N244">
        <v>0</v>
      </c>
      <c r="O244" s="1" t="s">
        <v>19</v>
      </c>
      <c r="P244" s="1" t="s">
        <v>135</v>
      </c>
      <c r="Q244">
        <v>1411</v>
      </c>
      <c r="R244" s="1" t="s">
        <v>63</v>
      </c>
      <c r="S244">
        <v>19</v>
      </c>
      <c r="T244">
        <v>1</v>
      </c>
      <c r="U244">
        <v>3</v>
      </c>
      <c r="V244">
        <v>36</v>
      </c>
      <c r="W244">
        <v>3</v>
      </c>
      <c r="X244">
        <v>2</v>
      </c>
      <c r="Y244" s="1" t="s">
        <v>5</v>
      </c>
      <c r="Z244">
        <v>1</v>
      </c>
      <c r="AA244">
        <v>3072</v>
      </c>
      <c r="AB244">
        <v>19877</v>
      </c>
      <c r="AC244" s="1" t="s">
        <v>19</v>
      </c>
      <c r="AD244">
        <v>16</v>
      </c>
      <c r="AE244">
        <v>3</v>
      </c>
      <c r="AF244">
        <v>1</v>
      </c>
      <c r="AG244">
        <v>80</v>
      </c>
      <c r="AH244">
        <v>2</v>
      </c>
      <c r="AI244">
        <v>2</v>
      </c>
      <c r="AJ244">
        <v>0</v>
      </c>
      <c r="AK244" s="1" t="s">
        <v>136</v>
      </c>
    </row>
    <row r="245" spans="1:37" x14ac:dyDescent="0.25">
      <c r="A245">
        <v>335</v>
      </c>
      <c r="B245">
        <v>40</v>
      </c>
      <c r="C245" s="1" t="s">
        <v>25</v>
      </c>
      <c r="D245" s="1" t="s">
        <v>69</v>
      </c>
      <c r="E245">
        <v>2</v>
      </c>
      <c r="F245" s="1" t="s">
        <v>143</v>
      </c>
      <c r="G245">
        <v>1</v>
      </c>
      <c r="H245" s="1" t="s">
        <v>18</v>
      </c>
      <c r="I245">
        <v>9</v>
      </c>
      <c r="J245">
        <v>3</v>
      </c>
      <c r="K245">
        <v>9</v>
      </c>
      <c r="L245">
        <v>8</v>
      </c>
      <c r="M245">
        <v>4</v>
      </c>
      <c r="N245">
        <v>7</v>
      </c>
      <c r="O245" s="1" t="s">
        <v>19</v>
      </c>
      <c r="P245" s="1" t="s">
        <v>135</v>
      </c>
      <c r="Q245">
        <v>1300</v>
      </c>
      <c r="R245" s="1" t="s">
        <v>63</v>
      </c>
      <c r="S245">
        <v>24</v>
      </c>
      <c r="T245">
        <v>1</v>
      </c>
      <c r="U245">
        <v>1</v>
      </c>
      <c r="V245">
        <v>62</v>
      </c>
      <c r="W245">
        <v>3</v>
      </c>
      <c r="X245">
        <v>2</v>
      </c>
      <c r="Y245" s="1" t="s">
        <v>5</v>
      </c>
      <c r="Z245">
        <v>4</v>
      </c>
      <c r="AA245">
        <v>3319</v>
      </c>
      <c r="AB245">
        <v>24447</v>
      </c>
      <c r="AC245" s="1" t="s">
        <v>19</v>
      </c>
      <c r="AD245">
        <v>17</v>
      </c>
      <c r="AE245">
        <v>3</v>
      </c>
      <c r="AF245">
        <v>1</v>
      </c>
      <c r="AG245">
        <v>80</v>
      </c>
      <c r="AH245">
        <v>2</v>
      </c>
      <c r="AI245">
        <v>3</v>
      </c>
      <c r="AJ245">
        <v>0</v>
      </c>
      <c r="AK245" s="1" t="s">
        <v>136</v>
      </c>
    </row>
    <row r="246" spans="1:37" x14ac:dyDescent="0.25">
      <c r="A246">
        <v>336</v>
      </c>
      <c r="B246">
        <v>45</v>
      </c>
      <c r="C246" s="1" t="s">
        <v>25</v>
      </c>
      <c r="D246" s="1" t="s">
        <v>70</v>
      </c>
      <c r="E246">
        <v>3</v>
      </c>
      <c r="F246" s="1" t="s">
        <v>138</v>
      </c>
      <c r="G246">
        <v>0</v>
      </c>
      <c r="H246" s="1" t="s">
        <v>18</v>
      </c>
      <c r="I246">
        <v>25</v>
      </c>
      <c r="J246">
        <v>2</v>
      </c>
      <c r="K246">
        <v>24</v>
      </c>
      <c r="L246">
        <v>0</v>
      </c>
      <c r="M246">
        <v>1</v>
      </c>
      <c r="N246">
        <v>7</v>
      </c>
      <c r="O246" s="1" t="s">
        <v>19</v>
      </c>
      <c r="P246" s="1" t="s">
        <v>135</v>
      </c>
      <c r="Q246">
        <v>252</v>
      </c>
      <c r="R246" s="1" t="s">
        <v>63</v>
      </c>
      <c r="S246">
        <v>1</v>
      </c>
      <c r="T246">
        <v>1</v>
      </c>
      <c r="U246">
        <v>3</v>
      </c>
      <c r="V246">
        <v>70</v>
      </c>
      <c r="W246">
        <v>4</v>
      </c>
      <c r="X246">
        <v>5</v>
      </c>
      <c r="Y246" s="1" t="s">
        <v>9</v>
      </c>
      <c r="Z246">
        <v>4</v>
      </c>
      <c r="AA246">
        <v>19202</v>
      </c>
      <c r="AB246">
        <v>15970</v>
      </c>
      <c r="AC246" s="1" t="s">
        <v>19</v>
      </c>
      <c r="AD246">
        <v>11</v>
      </c>
      <c r="AE246">
        <v>3</v>
      </c>
      <c r="AF246">
        <v>3</v>
      </c>
      <c r="AG246">
        <v>80</v>
      </c>
      <c r="AH246">
        <v>1</v>
      </c>
      <c r="AI246">
        <v>3</v>
      </c>
      <c r="AJ246">
        <v>0</v>
      </c>
      <c r="AK246" s="1" t="s">
        <v>136</v>
      </c>
    </row>
    <row r="247" spans="1:37" x14ac:dyDescent="0.25">
      <c r="A247">
        <v>337</v>
      </c>
      <c r="B247">
        <v>31</v>
      </c>
      <c r="C247" s="1" t="s">
        <v>25</v>
      </c>
      <c r="D247" s="1" t="s">
        <v>69</v>
      </c>
      <c r="E247">
        <v>4</v>
      </c>
      <c r="F247" s="1" t="s">
        <v>139</v>
      </c>
      <c r="G247">
        <v>9</v>
      </c>
      <c r="H247" s="1" t="s">
        <v>18</v>
      </c>
      <c r="I247">
        <v>9</v>
      </c>
      <c r="J247">
        <v>3</v>
      </c>
      <c r="K247">
        <v>2</v>
      </c>
      <c r="L247">
        <v>2</v>
      </c>
      <c r="M247">
        <v>2</v>
      </c>
      <c r="N247">
        <v>2</v>
      </c>
      <c r="O247" s="1" t="s">
        <v>19</v>
      </c>
      <c r="P247" s="1" t="s">
        <v>137</v>
      </c>
      <c r="Q247">
        <v>1327</v>
      </c>
      <c r="R247" s="1" t="s">
        <v>63</v>
      </c>
      <c r="S247">
        <v>3</v>
      </c>
      <c r="T247">
        <v>1</v>
      </c>
      <c r="U247">
        <v>2</v>
      </c>
      <c r="V247">
        <v>73</v>
      </c>
      <c r="W247">
        <v>3</v>
      </c>
      <c r="X247">
        <v>3</v>
      </c>
      <c r="Y247" s="1" t="s">
        <v>11</v>
      </c>
      <c r="Z247">
        <v>3</v>
      </c>
      <c r="AA247">
        <v>13675</v>
      </c>
      <c r="AB247">
        <v>13523</v>
      </c>
      <c r="AC247" s="1" t="s">
        <v>19</v>
      </c>
      <c r="AD247">
        <v>12</v>
      </c>
      <c r="AE247">
        <v>3</v>
      </c>
      <c r="AF247">
        <v>1</v>
      </c>
      <c r="AG247">
        <v>80</v>
      </c>
      <c r="AH247">
        <v>1</v>
      </c>
      <c r="AI247">
        <v>3</v>
      </c>
      <c r="AJ247">
        <v>0</v>
      </c>
      <c r="AK247" s="1" t="s">
        <v>136</v>
      </c>
    </row>
    <row r="248" spans="1:37" x14ac:dyDescent="0.25">
      <c r="A248">
        <v>338</v>
      </c>
      <c r="B248">
        <v>33</v>
      </c>
      <c r="C248" s="1" t="s">
        <v>24</v>
      </c>
      <c r="D248" s="1" t="s">
        <v>70</v>
      </c>
      <c r="E248">
        <v>4</v>
      </c>
      <c r="F248" s="1" t="s">
        <v>134</v>
      </c>
      <c r="G248">
        <v>1</v>
      </c>
      <c r="H248" s="1" t="s">
        <v>18</v>
      </c>
      <c r="I248">
        <v>2</v>
      </c>
      <c r="J248">
        <v>2</v>
      </c>
      <c r="K248">
        <v>2</v>
      </c>
      <c r="L248">
        <v>2</v>
      </c>
      <c r="M248">
        <v>0</v>
      </c>
      <c r="N248">
        <v>2</v>
      </c>
      <c r="O248" s="1" t="s">
        <v>19</v>
      </c>
      <c r="P248" s="1" t="s">
        <v>135</v>
      </c>
      <c r="Q248">
        <v>832</v>
      </c>
      <c r="R248" s="1" t="s">
        <v>63</v>
      </c>
      <c r="S248">
        <v>5</v>
      </c>
      <c r="T248">
        <v>1</v>
      </c>
      <c r="U248">
        <v>3</v>
      </c>
      <c r="V248">
        <v>63</v>
      </c>
      <c r="W248">
        <v>2</v>
      </c>
      <c r="X248">
        <v>1</v>
      </c>
      <c r="Y248" s="1" t="s">
        <v>5</v>
      </c>
      <c r="Z248">
        <v>4</v>
      </c>
      <c r="AA248">
        <v>2911</v>
      </c>
      <c r="AB248">
        <v>14776</v>
      </c>
      <c r="AC248" s="1" t="s">
        <v>19</v>
      </c>
      <c r="AD248">
        <v>13</v>
      </c>
      <c r="AE248">
        <v>3</v>
      </c>
      <c r="AF248">
        <v>3</v>
      </c>
      <c r="AG248">
        <v>80</v>
      </c>
      <c r="AH248">
        <v>1</v>
      </c>
      <c r="AI248">
        <v>2</v>
      </c>
      <c r="AJ248">
        <v>0</v>
      </c>
      <c r="AK248" s="1" t="s">
        <v>136</v>
      </c>
    </row>
    <row r="249" spans="1:37" x14ac:dyDescent="0.25">
      <c r="A249">
        <v>339</v>
      </c>
      <c r="B249">
        <v>34</v>
      </c>
      <c r="C249" s="1" t="s">
        <v>25</v>
      </c>
      <c r="D249" s="1" t="s">
        <v>70</v>
      </c>
      <c r="E249">
        <v>4</v>
      </c>
      <c r="F249" s="1" t="s">
        <v>134</v>
      </c>
      <c r="G249">
        <v>6</v>
      </c>
      <c r="H249" s="1" t="s">
        <v>18</v>
      </c>
      <c r="I249">
        <v>13</v>
      </c>
      <c r="J249">
        <v>3</v>
      </c>
      <c r="K249">
        <v>11</v>
      </c>
      <c r="L249">
        <v>9</v>
      </c>
      <c r="M249">
        <v>5</v>
      </c>
      <c r="N249">
        <v>9</v>
      </c>
      <c r="O249" s="1" t="s">
        <v>19</v>
      </c>
      <c r="P249" s="1" t="s">
        <v>135</v>
      </c>
      <c r="Q249">
        <v>470</v>
      </c>
      <c r="R249" s="1" t="s">
        <v>63</v>
      </c>
      <c r="S249">
        <v>2</v>
      </c>
      <c r="T249">
        <v>1</v>
      </c>
      <c r="U249">
        <v>4</v>
      </c>
      <c r="V249">
        <v>84</v>
      </c>
      <c r="W249">
        <v>2</v>
      </c>
      <c r="X249">
        <v>2</v>
      </c>
      <c r="Y249" s="1" t="s">
        <v>7</v>
      </c>
      <c r="Z249">
        <v>1</v>
      </c>
      <c r="AA249">
        <v>5957</v>
      </c>
      <c r="AB249">
        <v>23687</v>
      </c>
      <c r="AC249" s="1" t="s">
        <v>19</v>
      </c>
      <c r="AD249">
        <v>13</v>
      </c>
      <c r="AE249">
        <v>3</v>
      </c>
      <c r="AF249">
        <v>2</v>
      </c>
      <c r="AG249">
        <v>80</v>
      </c>
      <c r="AH249">
        <v>1</v>
      </c>
      <c r="AI249">
        <v>3</v>
      </c>
      <c r="AJ249">
        <v>0</v>
      </c>
      <c r="AK249" s="1" t="s">
        <v>136</v>
      </c>
    </row>
    <row r="250" spans="1:37" x14ac:dyDescent="0.25">
      <c r="A250">
        <v>340</v>
      </c>
      <c r="B250">
        <v>37</v>
      </c>
      <c r="C250" s="1" t="s">
        <v>24</v>
      </c>
      <c r="D250" s="1" t="s">
        <v>70</v>
      </c>
      <c r="E250">
        <v>2</v>
      </c>
      <c r="F250" s="1" t="s">
        <v>139</v>
      </c>
      <c r="G250">
        <v>2</v>
      </c>
      <c r="H250" s="1" t="s">
        <v>18</v>
      </c>
      <c r="I250">
        <v>17</v>
      </c>
      <c r="J250">
        <v>2</v>
      </c>
      <c r="K250">
        <v>3</v>
      </c>
      <c r="L250">
        <v>1</v>
      </c>
      <c r="M250">
        <v>0</v>
      </c>
      <c r="N250">
        <v>2</v>
      </c>
      <c r="O250" s="1" t="s">
        <v>19</v>
      </c>
      <c r="P250" s="1" t="s">
        <v>135</v>
      </c>
      <c r="Q250">
        <v>1017</v>
      </c>
      <c r="R250" s="1" t="s">
        <v>63</v>
      </c>
      <c r="S250">
        <v>1</v>
      </c>
      <c r="T250">
        <v>1</v>
      </c>
      <c r="U250">
        <v>3</v>
      </c>
      <c r="V250">
        <v>83</v>
      </c>
      <c r="W250">
        <v>2</v>
      </c>
      <c r="X250">
        <v>1</v>
      </c>
      <c r="Y250" s="1" t="s">
        <v>5</v>
      </c>
      <c r="Z250">
        <v>1</v>
      </c>
      <c r="AA250">
        <v>3920</v>
      </c>
      <c r="AB250">
        <v>18697</v>
      </c>
      <c r="AC250" s="1" t="s">
        <v>19</v>
      </c>
      <c r="AD250">
        <v>14</v>
      </c>
      <c r="AE250">
        <v>3</v>
      </c>
      <c r="AF250">
        <v>1</v>
      </c>
      <c r="AG250">
        <v>80</v>
      </c>
      <c r="AH250">
        <v>1</v>
      </c>
      <c r="AI250">
        <v>2</v>
      </c>
      <c r="AJ250">
        <v>0</v>
      </c>
      <c r="AK250" s="1" t="s">
        <v>136</v>
      </c>
    </row>
    <row r="251" spans="1:37" x14ac:dyDescent="0.25">
      <c r="A251">
        <v>341</v>
      </c>
      <c r="B251">
        <v>45</v>
      </c>
      <c r="C251" s="1" t="s">
        <v>25</v>
      </c>
      <c r="D251" s="1" t="s">
        <v>70</v>
      </c>
      <c r="E251">
        <v>4</v>
      </c>
      <c r="F251" s="1" t="s">
        <v>134</v>
      </c>
      <c r="G251">
        <v>4</v>
      </c>
      <c r="H251" s="1" t="s">
        <v>18</v>
      </c>
      <c r="I251">
        <v>9</v>
      </c>
      <c r="J251">
        <v>1</v>
      </c>
      <c r="K251">
        <v>3</v>
      </c>
      <c r="L251">
        <v>2</v>
      </c>
      <c r="M251">
        <v>0</v>
      </c>
      <c r="N251">
        <v>2</v>
      </c>
      <c r="O251" s="1" t="s">
        <v>19</v>
      </c>
      <c r="P251" s="1" t="s">
        <v>137</v>
      </c>
      <c r="Q251">
        <v>1199</v>
      </c>
      <c r="R251" s="1" t="s">
        <v>63</v>
      </c>
      <c r="S251">
        <v>7</v>
      </c>
      <c r="T251">
        <v>1</v>
      </c>
      <c r="U251">
        <v>1</v>
      </c>
      <c r="V251">
        <v>77</v>
      </c>
      <c r="W251">
        <v>4</v>
      </c>
      <c r="X251">
        <v>2</v>
      </c>
      <c r="Y251" s="1" t="s">
        <v>7</v>
      </c>
      <c r="Z251">
        <v>3</v>
      </c>
      <c r="AA251">
        <v>6434</v>
      </c>
      <c r="AB251">
        <v>5118</v>
      </c>
      <c r="AC251" s="1" t="s">
        <v>19</v>
      </c>
      <c r="AD251">
        <v>17</v>
      </c>
      <c r="AE251">
        <v>3</v>
      </c>
      <c r="AF251">
        <v>4</v>
      </c>
      <c r="AG251">
        <v>80</v>
      </c>
      <c r="AH251">
        <v>1</v>
      </c>
      <c r="AI251">
        <v>3</v>
      </c>
      <c r="AJ251">
        <v>0</v>
      </c>
      <c r="AK251" s="1" t="s">
        <v>136</v>
      </c>
    </row>
    <row r="252" spans="1:37" x14ac:dyDescent="0.25">
      <c r="A252">
        <v>342</v>
      </c>
      <c r="B252">
        <v>37</v>
      </c>
      <c r="C252" s="1" t="s">
        <v>25</v>
      </c>
      <c r="D252" s="1" t="s">
        <v>69</v>
      </c>
      <c r="E252">
        <v>3</v>
      </c>
      <c r="F252" s="1" t="s">
        <v>139</v>
      </c>
      <c r="G252">
        <v>6</v>
      </c>
      <c r="H252" s="1" t="s">
        <v>18</v>
      </c>
      <c r="I252">
        <v>17</v>
      </c>
      <c r="J252">
        <v>5</v>
      </c>
      <c r="K252">
        <v>1</v>
      </c>
      <c r="L252">
        <v>0</v>
      </c>
      <c r="M252">
        <v>0</v>
      </c>
      <c r="N252">
        <v>0</v>
      </c>
      <c r="O252" s="1" t="s">
        <v>18</v>
      </c>
      <c r="P252" s="1" t="s">
        <v>137</v>
      </c>
      <c r="Q252">
        <v>504</v>
      </c>
      <c r="R252" s="1" t="s">
        <v>63</v>
      </c>
      <c r="S252">
        <v>10</v>
      </c>
      <c r="T252">
        <v>1</v>
      </c>
      <c r="U252">
        <v>1</v>
      </c>
      <c r="V252">
        <v>61</v>
      </c>
      <c r="W252">
        <v>3</v>
      </c>
      <c r="X252">
        <v>3</v>
      </c>
      <c r="Y252" s="1" t="s">
        <v>7</v>
      </c>
      <c r="Z252">
        <v>3</v>
      </c>
      <c r="AA252">
        <v>10048</v>
      </c>
      <c r="AB252">
        <v>22573</v>
      </c>
      <c r="AC252" s="1" t="s">
        <v>19</v>
      </c>
      <c r="AD252">
        <v>11</v>
      </c>
      <c r="AE252">
        <v>3</v>
      </c>
      <c r="AF252">
        <v>2</v>
      </c>
      <c r="AG252">
        <v>80</v>
      </c>
      <c r="AH252">
        <v>2</v>
      </c>
      <c r="AI252">
        <v>3</v>
      </c>
      <c r="AJ252">
        <v>1</v>
      </c>
      <c r="AK252" s="1" t="s">
        <v>136</v>
      </c>
    </row>
    <row r="253" spans="1:37" x14ac:dyDescent="0.25">
      <c r="A253">
        <v>343</v>
      </c>
      <c r="B253">
        <v>39</v>
      </c>
      <c r="C253" s="1" t="s">
        <v>24</v>
      </c>
      <c r="D253" s="1" t="s">
        <v>71</v>
      </c>
      <c r="E253">
        <v>4</v>
      </c>
      <c r="F253" s="1" t="s">
        <v>143</v>
      </c>
      <c r="G253">
        <v>0</v>
      </c>
      <c r="H253" s="1" t="s">
        <v>18</v>
      </c>
      <c r="I253">
        <v>20</v>
      </c>
      <c r="J253">
        <v>1</v>
      </c>
      <c r="K253">
        <v>19</v>
      </c>
      <c r="L253">
        <v>6</v>
      </c>
      <c r="M253">
        <v>11</v>
      </c>
      <c r="N253">
        <v>8</v>
      </c>
      <c r="O253" s="1" t="s">
        <v>19</v>
      </c>
      <c r="P253" s="1" t="s">
        <v>137</v>
      </c>
      <c r="Q253">
        <v>505</v>
      </c>
      <c r="R253" s="1" t="s">
        <v>63</v>
      </c>
      <c r="S253">
        <v>2</v>
      </c>
      <c r="T253">
        <v>1</v>
      </c>
      <c r="U253">
        <v>3</v>
      </c>
      <c r="V253">
        <v>64</v>
      </c>
      <c r="W253">
        <v>3</v>
      </c>
      <c r="X253">
        <v>3</v>
      </c>
      <c r="Y253" s="1" t="s">
        <v>8</v>
      </c>
      <c r="Z253">
        <v>3</v>
      </c>
      <c r="AA253">
        <v>10938</v>
      </c>
      <c r="AB253">
        <v>6420</v>
      </c>
      <c r="AC253" s="1" t="s">
        <v>19</v>
      </c>
      <c r="AD253">
        <v>25</v>
      </c>
      <c r="AE253">
        <v>4</v>
      </c>
      <c r="AF253">
        <v>4</v>
      </c>
      <c r="AG253">
        <v>80</v>
      </c>
      <c r="AH253">
        <v>0</v>
      </c>
      <c r="AI253">
        <v>3</v>
      </c>
      <c r="AJ253">
        <v>0</v>
      </c>
      <c r="AK253" s="1" t="s">
        <v>136</v>
      </c>
    </row>
    <row r="254" spans="1:37" x14ac:dyDescent="0.25">
      <c r="A254">
        <v>346</v>
      </c>
      <c r="B254">
        <v>29</v>
      </c>
      <c r="C254" s="1" t="s">
        <v>25</v>
      </c>
      <c r="D254" s="1" t="s">
        <v>71</v>
      </c>
      <c r="E254">
        <v>3</v>
      </c>
      <c r="F254" s="1" t="s">
        <v>134</v>
      </c>
      <c r="G254">
        <v>1</v>
      </c>
      <c r="H254" s="1" t="s">
        <v>18</v>
      </c>
      <c r="I254">
        <v>6</v>
      </c>
      <c r="J254">
        <v>1</v>
      </c>
      <c r="K254">
        <v>6</v>
      </c>
      <c r="L254">
        <v>5</v>
      </c>
      <c r="M254">
        <v>1</v>
      </c>
      <c r="N254">
        <v>5</v>
      </c>
      <c r="O254" s="1" t="s">
        <v>19</v>
      </c>
      <c r="P254" s="1" t="s">
        <v>135</v>
      </c>
      <c r="Q254">
        <v>665</v>
      </c>
      <c r="R254" s="1" t="s">
        <v>63</v>
      </c>
      <c r="S254">
        <v>15</v>
      </c>
      <c r="T254">
        <v>1</v>
      </c>
      <c r="U254">
        <v>3</v>
      </c>
      <c r="V254">
        <v>60</v>
      </c>
      <c r="W254">
        <v>3</v>
      </c>
      <c r="X254">
        <v>1</v>
      </c>
      <c r="Y254" s="1" t="s">
        <v>5</v>
      </c>
      <c r="Z254">
        <v>4</v>
      </c>
      <c r="AA254">
        <v>2340</v>
      </c>
      <c r="AB254">
        <v>22673</v>
      </c>
      <c r="AC254" s="1" t="s">
        <v>19</v>
      </c>
      <c r="AD254">
        <v>19</v>
      </c>
      <c r="AE254">
        <v>3</v>
      </c>
      <c r="AF254">
        <v>1</v>
      </c>
      <c r="AG254">
        <v>80</v>
      </c>
      <c r="AH254">
        <v>0</v>
      </c>
      <c r="AI254">
        <v>3</v>
      </c>
      <c r="AJ254">
        <v>0</v>
      </c>
      <c r="AK254" s="1" t="s">
        <v>136</v>
      </c>
    </row>
    <row r="255" spans="1:37" x14ac:dyDescent="0.25">
      <c r="A255">
        <v>347</v>
      </c>
      <c r="B255">
        <v>42</v>
      </c>
      <c r="C255" s="1" t="s">
        <v>24</v>
      </c>
      <c r="D255" s="1" t="s">
        <v>71</v>
      </c>
      <c r="E255">
        <v>2</v>
      </c>
      <c r="F255" s="1" t="s">
        <v>134</v>
      </c>
      <c r="G255">
        <v>3</v>
      </c>
      <c r="H255" s="1" t="s">
        <v>18</v>
      </c>
      <c r="I255">
        <v>10</v>
      </c>
      <c r="J255">
        <v>1</v>
      </c>
      <c r="K255">
        <v>3</v>
      </c>
      <c r="L255">
        <v>2</v>
      </c>
      <c r="M255">
        <v>0</v>
      </c>
      <c r="N255">
        <v>2</v>
      </c>
      <c r="O255" s="1" t="s">
        <v>19</v>
      </c>
      <c r="P255" s="1" t="s">
        <v>135</v>
      </c>
      <c r="Q255">
        <v>916</v>
      </c>
      <c r="R255" s="1" t="s">
        <v>63</v>
      </c>
      <c r="S255">
        <v>17</v>
      </c>
      <c r="T255">
        <v>1</v>
      </c>
      <c r="U255">
        <v>4</v>
      </c>
      <c r="V255">
        <v>82</v>
      </c>
      <c r="W255">
        <v>4</v>
      </c>
      <c r="X255">
        <v>2</v>
      </c>
      <c r="Y255" s="1" t="s">
        <v>5</v>
      </c>
      <c r="Z255">
        <v>1</v>
      </c>
      <c r="AA255">
        <v>6545</v>
      </c>
      <c r="AB255">
        <v>23016</v>
      </c>
      <c r="AC255" s="1" t="s">
        <v>18</v>
      </c>
      <c r="AD255">
        <v>13</v>
      </c>
      <c r="AE255">
        <v>3</v>
      </c>
      <c r="AF255">
        <v>3</v>
      </c>
      <c r="AG255">
        <v>80</v>
      </c>
      <c r="AH255">
        <v>0</v>
      </c>
      <c r="AI255">
        <v>3</v>
      </c>
      <c r="AJ255">
        <v>0</v>
      </c>
      <c r="AK255" s="1" t="s">
        <v>136</v>
      </c>
    </row>
    <row r="256" spans="1:37" x14ac:dyDescent="0.25">
      <c r="A256">
        <v>349</v>
      </c>
      <c r="B256">
        <v>29</v>
      </c>
      <c r="C256" s="1" t="s">
        <v>25</v>
      </c>
      <c r="D256" s="1" t="s">
        <v>69</v>
      </c>
      <c r="E256">
        <v>2</v>
      </c>
      <c r="F256" s="1" t="s">
        <v>142</v>
      </c>
      <c r="G256">
        <v>2</v>
      </c>
      <c r="H256" s="1" t="s">
        <v>18</v>
      </c>
      <c r="I256">
        <v>10</v>
      </c>
      <c r="J256">
        <v>2</v>
      </c>
      <c r="K256">
        <v>3</v>
      </c>
      <c r="L256">
        <v>2</v>
      </c>
      <c r="M256">
        <v>0</v>
      </c>
      <c r="N256">
        <v>2</v>
      </c>
      <c r="O256" s="1" t="s">
        <v>19</v>
      </c>
      <c r="P256" s="1" t="s">
        <v>135</v>
      </c>
      <c r="Q256">
        <v>1247</v>
      </c>
      <c r="R256" s="1" t="s">
        <v>64</v>
      </c>
      <c r="S256">
        <v>20</v>
      </c>
      <c r="T256">
        <v>1</v>
      </c>
      <c r="U256">
        <v>4</v>
      </c>
      <c r="V256">
        <v>45</v>
      </c>
      <c r="W256">
        <v>3</v>
      </c>
      <c r="X256">
        <v>2</v>
      </c>
      <c r="Y256" s="1" t="s">
        <v>4</v>
      </c>
      <c r="Z256">
        <v>4</v>
      </c>
      <c r="AA256">
        <v>6931</v>
      </c>
      <c r="AB256">
        <v>10732</v>
      </c>
      <c r="AC256" s="1" t="s">
        <v>19</v>
      </c>
      <c r="AD256">
        <v>14</v>
      </c>
      <c r="AE256">
        <v>3</v>
      </c>
      <c r="AF256">
        <v>4</v>
      </c>
      <c r="AG256">
        <v>80</v>
      </c>
      <c r="AH256">
        <v>1</v>
      </c>
      <c r="AI256">
        <v>3</v>
      </c>
      <c r="AJ256">
        <v>0</v>
      </c>
      <c r="AK256" s="1" t="s">
        <v>136</v>
      </c>
    </row>
    <row r="257" spans="1:37" x14ac:dyDescent="0.25">
      <c r="A257">
        <v>350</v>
      </c>
      <c r="B257">
        <v>25</v>
      </c>
      <c r="C257" s="1" t="s">
        <v>24</v>
      </c>
      <c r="D257" s="1" t="s">
        <v>70</v>
      </c>
      <c r="E257">
        <v>3</v>
      </c>
      <c r="F257" s="1" t="s">
        <v>134</v>
      </c>
      <c r="G257">
        <v>0</v>
      </c>
      <c r="H257" s="1" t="s">
        <v>18</v>
      </c>
      <c r="I257">
        <v>5</v>
      </c>
      <c r="J257">
        <v>3</v>
      </c>
      <c r="K257">
        <v>4</v>
      </c>
      <c r="L257">
        <v>2</v>
      </c>
      <c r="M257">
        <v>1</v>
      </c>
      <c r="N257">
        <v>2</v>
      </c>
      <c r="O257" s="1" t="s">
        <v>19</v>
      </c>
      <c r="P257" s="1" t="s">
        <v>135</v>
      </c>
      <c r="Q257">
        <v>685</v>
      </c>
      <c r="R257" s="1" t="s">
        <v>63</v>
      </c>
      <c r="S257">
        <v>1</v>
      </c>
      <c r="T257">
        <v>1</v>
      </c>
      <c r="U257">
        <v>1</v>
      </c>
      <c r="V257">
        <v>62</v>
      </c>
      <c r="W257">
        <v>3</v>
      </c>
      <c r="X257">
        <v>2</v>
      </c>
      <c r="Y257" s="1" t="s">
        <v>7</v>
      </c>
      <c r="Z257">
        <v>3</v>
      </c>
      <c r="AA257">
        <v>4898</v>
      </c>
      <c r="AB257">
        <v>7505</v>
      </c>
      <c r="AC257" s="1" t="s">
        <v>19</v>
      </c>
      <c r="AD257">
        <v>12</v>
      </c>
      <c r="AE257">
        <v>3</v>
      </c>
      <c r="AF257">
        <v>4</v>
      </c>
      <c r="AG257">
        <v>80</v>
      </c>
      <c r="AH257">
        <v>2</v>
      </c>
      <c r="AI257">
        <v>3</v>
      </c>
      <c r="AJ257">
        <v>0</v>
      </c>
      <c r="AK257" s="1" t="s">
        <v>136</v>
      </c>
    </row>
    <row r="258" spans="1:37" x14ac:dyDescent="0.25">
      <c r="A258">
        <v>351</v>
      </c>
      <c r="B258">
        <v>42</v>
      </c>
      <c r="C258" s="1" t="s">
        <v>24</v>
      </c>
      <c r="D258" s="1" t="s">
        <v>69</v>
      </c>
      <c r="E258">
        <v>3</v>
      </c>
      <c r="F258" s="1" t="s">
        <v>139</v>
      </c>
      <c r="G258">
        <v>0</v>
      </c>
      <c r="H258" s="1" t="s">
        <v>18</v>
      </c>
      <c r="I258">
        <v>10</v>
      </c>
      <c r="J258">
        <v>4</v>
      </c>
      <c r="K258">
        <v>9</v>
      </c>
      <c r="L258">
        <v>6</v>
      </c>
      <c r="M258">
        <v>7</v>
      </c>
      <c r="N258">
        <v>8</v>
      </c>
      <c r="O258" s="1" t="s">
        <v>19</v>
      </c>
      <c r="P258" s="1" t="s">
        <v>135</v>
      </c>
      <c r="Q258">
        <v>269</v>
      </c>
      <c r="R258" s="1" t="s">
        <v>63</v>
      </c>
      <c r="S258">
        <v>2</v>
      </c>
      <c r="T258">
        <v>1</v>
      </c>
      <c r="U258">
        <v>4</v>
      </c>
      <c r="V258">
        <v>56</v>
      </c>
      <c r="W258">
        <v>2</v>
      </c>
      <c r="X258">
        <v>1</v>
      </c>
      <c r="Y258" s="1" t="s">
        <v>6</v>
      </c>
      <c r="Z258">
        <v>1</v>
      </c>
      <c r="AA258">
        <v>2593</v>
      </c>
      <c r="AB258">
        <v>8007</v>
      </c>
      <c r="AC258" s="1" t="s">
        <v>18</v>
      </c>
      <c r="AD258">
        <v>11</v>
      </c>
      <c r="AE258">
        <v>3</v>
      </c>
      <c r="AF258">
        <v>3</v>
      </c>
      <c r="AG258">
        <v>80</v>
      </c>
      <c r="AH258">
        <v>1</v>
      </c>
      <c r="AI258">
        <v>3</v>
      </c>
      <c r="AJ258">
        <v>0</v>
      </c>
      <c r="AK258" s="1" t="s">
        <v>136</v>
      </c>
    </row>
    <row r="259" spans="1:37" x14ac:dyDescent="0.25">
      <c r="A259">
        <v>352</v>
      </c>
      <c r="B259">
        <v>40</v>
      </c>
      <c r="C259" s="1" t="s">
        <v>25</v>
      </c>
      <c r="D259" s="1" t="s">
        <v>69</v>
      </c>
      <c r="E259">
        <v>2</v>
      </c>
      <c r="F259" s="1" t="s">
        <v>139</v>
      </c>
      <c r="G259">
        <v>0</v>
      </c>
      <c r="H259" s="1" t="s">
        <v>18</v>
      </c>
      <c r="I259">
        <v>22</v>
      </c>
      <c r="J259">
        <v>5</v>
      </c>
      <c r="K259">
        <v>21</v>
      </c>
      <c r="L259">
        <v>7</v>
      </c>
      <c r="M259">
        <v>3</v>
      </c>
      <c r="N259">
        <v>9</v>
      </c>
      <c r="O259" s="1" t="s">
        <v>19</v>
      </c>
      <c r="P259" s="1" t="s">
        <v>135</v>
      </c>
      <c r="Q259">
        <v>1416</v>
      </c>
      <c r="R259" s="1" t="s">
        <v>63</v>
      </c>
      <c r="S259">
        <v>2</v>
      </c>
      <c r="T259">
        <v>1</v>
      </c>
      <c r="U259">
        <v>1</v>
      </c>
      <c r="V259">
        <v>49</v>
      </c>
      <c r="W259">
        <v>3</v>
      </c>
      <c r="X259">
        <v>5</v>
      </c>
      <c r="Y259" s="1" t="s">
        <v>11</v>
      </c>
      <c r="Z259">
        <v>3</v>
      </c>
      <c r="AA259">
        <v>19436</v>
      </c>
      <c r="AB259">
        <v>5949</v>
      </c>
      <c r="AC259" s="1" t="s">
        <v>19</v>
      </c>
      <c r="AD259">
        <v>19</v>
      </c>
      <c r="AE259">
        <v>3</v>
      </c>
      <c r="AF259">
        <v>4</v>
      </c>
      <c r="AG259">
        <v>80</v>
      </c>
      <c r="AH259">
        <v>1</v>
      </c>
      <c r="AI259">
        <v>3</v>
      </c>
      <c r="AJ259">
        <v>0</v>
      </c>
      <c r="AK259" s="1" t="s">
        <v>136</v>
      </c>
    </row>
    <row r="260" spans="1:37" x14ac:dyDescent="0.25">
      <c r="A260">
        <v>353</v>
      </c>
      <c r="B260">
        <v>51</v>
      </c>
      <c r="C260" s="1" t="s">
        <v>25</v>
      </c>
      <c r="D260" s="1" t="s">
        <v>70</v>
      </c>
      <c r="E260">
        <v>3</v>
      </c>
      <c r="F260" s="1" t="s">
        <v>134</v>
      </c>
      <c r="G260">
        <v>1</v>
      </c>
      <c r="H260" s="1" t="s">
        <v>18</v>
      </c>
      <c r="I260">
        <v>1</v>
      </c>
      <c r="J260">
        <v>0</v>
      </c>
      <c r="K260">
        <v>1</v>
      </c>
      <c r="L260">
        <v>0</v>
      </c>
      <c r="M260">
        <v>0</v>
      </c>
      <c r="N260">
        <v>0</v>
      </c>
      <c r="O260" s="1" t="s">
        <v>19</v>
      </c>
      <c r="P260" s="1" t="s">
        <v>135</v>
      </c>
      <c r="Q260">
        <v>833</v>
      </c>
      <c r="R260" s="1" t="s">
        <v>63</v>
      </c>
      <c r="S260">
        <v>1</v>
      </c>
      <c r="T260">
        <v>1</v>
      </c>
      <c r="U260">
        <v>3</v>
      </c>
      <c r="V260">
        <v>96</v>
      </c>
      <c r="W260">
        <v>3</v>
      </c>
      <c r="X260">
        <v>1</v>
      </c>
      <c r="Y260" s="1" t="s">
        <v>5</v>
      </c>
      <c r="Z260">
        <v>4</v>
      </c>
      <c r="AA260">
        <v>2723</v>
      </c>
      <c r="AB260">
        <v>23231</v>
      </c>
      <c r="AC260" s="1" t="s">
        <v>19</v>
      </c>
      <c r="AD260">
        <v>11</v>
      </c>
      <c r="AE260">
        <v>3</v>
      </c>
      <c r="AF260">
        <v>2</v>
      </c>
      <c r="AG260">
        <v>80</v>
      </c>
      <c r="AH260">
        <v>0</v>
      </c>
      <c r="AI260">
        <v>2</v>
      </c>
      <c r="AJ260">
        <v>0</v>
      </c>
      <c r="AK260" s="1" t="s">
        <v>140</v>
      </c>
    </row>
    <row r="261" spans="1:37" x14ac:dyDescent="0.25">
      <c r="A261">
        <v>355</v>
      </c>
      <c r="B261">
        <v>31</v>
      </c>
      <c r="C261" s="1" t="s">
        <v>25</v>
      </c>
      <c r="D261" s="1" t="s">
        <v>71</v>
      </c>
      <c r="E261">
        <v>2</v>
      </c>
      <c r="F261" s="1" t="s">
        <v>139</v>
      </c>
      <c r="G261">
        <v>0</v>
      </c>
      <c r="H261" s="1" t="s">
        <v>18</v>
      </c>
      <c r="I261">
        <v>6</v>
      </c>
      <c r="J261">
        <v>2</v>
      </c>
      <c r="K261">
        <v>5</v>
      </c>
      <c r="L261">
        <v>4</v>
      </c>
      <c r="M261">
        <v>1</v>
      </c>
      <c r="N261">
        <v>4</v>
      </c>
      <c r="O261" s="1" t="s">
        <v>18</v>
      </c>
      <c r="P261" s="1" t="s">
        <v>137</v>
      </c>
      <c r="Q261">
        <v>307</v>
      </c>
      <c r="R261" s="1" t="s">
        <v>63</v>
      </c>
      <c r="S261">
        <v>29</v>
      </c>
      <c r="T261">
        <v>1</v>
      </c>
      <c r="U261">
        <v>3</v>
      </c>
      <c r="V261">
        <v>71</v>
      </c>
      <c r="W261">
        <v>2</v>
      </c>
      <c r="X261">
        <v>1</v>
      </c>
      <c r="Y261" s="1" t="s">
        <v>6</v>
      </c>
      <c r="Z261">
        <v>2</v>
      </c>
      <c r="AA261">
        <v>3479</v>
      </c>
      <c r="AB261">
        <v>11652</v>
      </c>
      <c r="AC261" s="1" t="s">
        <v>19</v>
      </c>
      <c r="AD261">
        <v>11</v>
      </c>
      <c r="AE261">
        <v>3</v>
      </c>
      <c r="AF261">
        <v>2</v>
      </c>
      <c r="AG261">
        <v>80</v>
      </c>
      <c r="AH261">
        <v>0</v>
      </c>
      <c r="AI261">
        <v>4</v>
      </c>
      <c r="AJ261">
        <v>1</v>
      </c>
      <c r="AK261" s="1" t="s">
        <v>136</v>
      </c>
    </row>
    <row r="262" spans="1:37" x14ac:dyDescent="0.25">
      <c r="A262">
        <v>359</v>
      </c>
      <c r="B262">
        <v>32</v>
      </c>
      <c r="C262" s="1" t="s">
        <v>25</v>
      </c>
      <c r="D262" s="1" t="s">
        <v>70</v>
      </c>
      <c r="E262">
        <v>3</v>
      </c>
      <c r="F262" s="1" t="s">
        <v>134</v>
      </c>
      <c r="G262">
        <v>1</v>
      </c>
      <c r="H262" s="1" t="s">
        <v>18</v>
      </c>
      <c r="I262">
        <v>5</v>
      </c>
      <c r="J262">
        <v>3</v>
      </c>
      <c r="K262">
        <v>5</v>
      </c>
      <c r="L262">
        <v>1</v>
      </c>
      <c r="M262">
        <v>0</v>
      </c>
      <c r="N262">
        <v>3</v>
      </c>
      <c r="O262" s="1" t="s">
        <v>19</v>
      </c>
      <c r="P262" s="1" t="s">
        <v>137</v>
      </c>
      <c r="Q262">
        <v>1311</v>
      </c>
      <c r="R262" s="1" t="s">
        <v>63</v>
      </c>
      <c r="S262">
        <v>7</v>
      </c>
      <c r="T262">
        <v>1</v>
      </c>
      <c r="U262">
        <v>2</v>
      </c>
      <c r="V262">
        <v>100</v>
      </c>
      <c r="W262">
        <v>4</v>
      </c>
      <c r="X262">
        <v>1</v>
      </c>
      <c r="Y262" s="1" t="s">
        <v>6</v>
      </c>
      <c r="Z262">
        <v>2</v>
      </c>
      <c r="AA262">
        <v>2794</v>
      </c>
      <c r="AB262">
        <v>26062</v>
      </c>
      <c r="AC262" s="1" t="s">
        <v>19</v>
      </c>
      <c r="AD262">
        <v>20</v>
      </c>
      <c r="AE262">
        <v>4</v>
      </c>
      <c r="AF262">
        <v>3</v>
      </c>
      <c r="AG262">
        <v>80</v>
      </c>
      <c r="AH262">
        <v>0</v>
      </c>
      <c r="AI262">
        <v>1</v>
      </c>
      <c r="AJ262">
        <v>0</v>
      </c>
      <c r="AK262" s="1" t="s">
        <v>136</v>
      </c>
    </row>
    <row r="263" spans="1:37" x14ac:dyDescent="0.25">
      <c r="A263">
        <v>361</v>
      </c>
      <c r="B263">
        <v>38</v>
      </c>
      <c r="C263" s="1" t="s">
        <v>25</v>
      </c>
      <c r="D263" s="1" t="s">
        <v>70</v>
      </c>
      <c r="E263">
        <v>2</v>
      </c>
      <c r="F263" s="1" t="s">
        <v>134</v>
      </c>
      <c r="G263">
        <v>3</v>
      </c>
      <c r="H263" s="1" t="s">
        <v>18</v>
      </c>
      <c r="I263">
        <v>13</v>
      </c>
      <c r="J263">
        <v>0</v>
      </c>
      <c r="K263">
        <v>8</v>
      </c>
      <c r="L263">
        <v>7</v>
      </c>
      <c r="M263">
        <v>7</v>
      </c>
      <c r="N263">
        <v>5</v>
      </c>
      <c r="O263" s="1" t="s">
        <v>19</v>
      </c>
      <c r="P263" s="1" t="s">
        <v>141</v>
      </c>
      <c r="Q263">
        <v>1327</v>
      </c>
      <c r="R263" s="1" t="s">
        <v>64</v>
      </c>
      <c r="S263">
        <v>2</v>
      </c>
      <c r="T263">
        <v>1</v>
      </c>
      <c r="U263">
        <v>4</v>
      </c>
      <c r="V263">
        <v>39</v>
      </c>
      <c r="W263">
        <v>2</v>
      </c>
      <c r="X263">
        <v>2</v>
      </c>
      <c r="Y263" s="1" t="s">
        <v>4</v>
      </c>
      <c r="Z263">
        <v>4</v>
      </c>
      <c r="AA263">
        <v>5249</v>
      </c>
      <c r="AB263">
        <v>19682</v>
      </c>
      <c r="AC263" s="1" t="s">
        <v>19</v>
      </c>
      <c r="AD263">
        <v>18</v>
      </c>
      <c r="AE263">
        <v>3</v>
      </c>
      <c r="AF263">
        <v>4</v>
      </c>
      <c r="AG263">
        <v>80</v>
      </c>
      <c r="AH263">
        <v>1</v>
      </c>
      <c r="AI263">
        <v>3</v>
      </c>
      <c r="AJ263">
        <v>0</v>
      </c>
      <c r="AK263" s="1" t="s">
        <v>136</v>
      </c>
    </row>
    <row r="264" spans="1:37" x14ac:dyDescent="0.25">
      <c r="A264">
        <v>362</v>
      </c>
      <c r="B264">
        <v>32</v>
      </c>
      <c r="C264" s="1" t="s">
        <v>25</v>
      </c>
      <c r="D264" s="1" t="s">
        <v>71</v>
      </c>
      <c r="E264">
        <v>1</v>
      </c>
      <c r="F264" s="1" t="s">
        <v>143</v>
      </c>
      <c r="G264">
        <v>4</v>
      </c>
      <c r="H264" s="1" t="s">
        <v>18</v>
      </c>
      <c r="I264">
        <v>9</v>
      </c>
      <c r="J264">
        <v>5</v>
      </c>
      <c r="K264">
        <v>6</v>
      </c>
      <c r="L264">
        <v>2</v>
      </c>
      <c r="M264">
        <v>0</v>
      </c>
      <c r="N264">
        <v>4</v>
      </c>
      <c r="O264" s="1" t="s">
        <v>19</v>
      </c>
      <c r="P264" s="1" t="s">
        <v>135</v>
      </c>
      <c r="Q264">
        <v>128</v>
      </c>
      <c r="R264" s="1" t="s">
        <v>63</v>
      </c>
      <c r="S264">
        <v>2</v>
      </c>
      <c r="T264">
        <v>1</v>
      </c>
      <c r="U264">
        <v>4</v>
      </c>
      <c r="V264">
        <v>84</v>
      </c>
      <c r="W264">
        <v>2</v>
      </c>
      <c r="X264">
        <v>2</v>
      </c>
      <c r="Y264" s="1" t="s">
        <v>6</v>
      </c>
      <c r="Z264">
        <v>1</v>
      </c>
      <c r="AA264">
        <v>2176</v>
      </c>
      <c r="AB264">
        <v>19737</v>
      </c>
      <c r="AC264" s="1" t="s">
        <v>19</v>
      </c>
      <c r="AD264">
        <v>13</v>
      </c>
      <c r="AE264">
        <v>3</v>
      </c>
      <c r="AF264">
        <v>4</v>
      </c>
      <c r="AG264">
        <v>80</v>
      </c>
      <c r="AH264">
        <v>0</v>
      </c>
      <c r="AI264">
        <v>3</v>
      </c>
      <c r="AJ264">
        <v>0</v>
      </c>
      <c r="AK264" s="1" t="s">
        <v>136</v>
      </c>
    </row>
    <row r="265" spans="1:37" x14ac:dyDescent="0.25">
      <c r="A265">
        <v>363</v>
      </c>
      <c r="B265">
        <v>46</v>
      </c>
      <c r="C265" s="1" t="s">
        <v>24</v>
      </c>
      <c r="D265" s="1" t="s">
        <v>70</v>
      </c>
      <c r="E265">
        <v>3</v>
      </c>
      <c r="F265" s="1" t="s">
        <v>143</v>
      </c>
      <c r="G265">
        <v>3</v>
      </c>
      <c r="H265" s="1" t="s">
        <v>18</v>
      </c>
      <c r="I265">
        <v>28</v>
      </c>
      <c r="J265">
        <v>2</v>
      </c>
      <c r="K265">
        <v>7</v>
      </c>
      <c r="L265">
        <v>7</v>
      </c>
      <c r="M265">
        <v>7</v>
      </c>
      <c r="N265">
        <v>7</v>
      </c>
      <c r="O265" s="1" t="s">
        <v>19</v>
      </c>
      <c r="P265" s="1" t="s">
        <v>135</v>
      </c>
      <c r="Q265">
        <v>488</v>
      </c>
      <c r="R265" s="1" t="s">
        <v>64</v>
      </c>
      <c r="S265">
        <v>2</v>
      </c>
      <c r="T265">
        <v>1</v>
      </c>
      <c r="U265">
        <v>3</v>
      </c>
      <c r="V265">
        <v>75</v>
      </c>
      <c r="W265">
        <v>1</v>
      </c>
      <c r="X265">
        <v>4</v>
      </c>
      <c r="Y265" s="1" t="s">
        <v>9</v>
      </c>
      <c r="Z265">
        <v>2</v>
      </c>
      <c r="AA265">
        <v>16872</v>
      </c>
      <c r="AB265">
        <v>14977</v>
      </c>
      <c r="AC265" s="1" t="s">
        <v>18</v>
      </c>
      <c r="AD265">
        <v>12</v>
      </c>
      <c r="AE265">
        <v>3</v>
      </c>
      <c r="AF265">
        <v>2</v>
      </c>
      <c r="AG265">
        <v>80</v>
      </c>
      <c r="AH265">
        <v>1</v>
      </c>
      <c r="AI265">
        <v>2</v>
      </c>
      <c r="AJ265">
        <v>0</v>
      </c>
      <c r="AK265" s="1" t="s">
        <v>136</v>
      </c>
    </row>
    <row r="266" spans="1:37" x14ac:dyDescent="0.25">
      <c r="A266">
        <v>364</v>
      </c>
      <c r="B266">
        <v>28</v>
      </c>
      <c r="C266" s="1" t="s">
        <v>25</v>
      </c>
      <c r="D266" s="1" t="s">
        <v>71</v>
      </c>
      <c r="E266">
        <v>4</v>
      </c>
      <c r="F266" s="1" t="s">
        <v>134</v>
      </c>
      <c r="G266">
        <v>2</v>
      </c>
      <c r="H266" s="1" t="s">
        <v>18</v>
      </c>
      <c r="I266">
        <v>5</v>
      </c>
      <c r="J266">
        <v>5</v>
      </c>
      <c r="K266">
        <v>0</v>
      </c>
      <c r="L266">
        <v>0</v>
      </c>
      <c r="M266">
        <v>0</v>
      </c>
      <c r="N266">
        <v>0</v>
      </c>
      <c r="O266" s="1" t="s">
        <v>18</v>
      </c>
      <c r="P266" s="1" t="s">
        <v>135</v>
      </c>
      <c r="Q266">
        <v>529</v>
      </c>
      <c r="R266" s="1" t="s">
        <v>63</v>
      </c>
      <c r="S266">
        <v>2</v>
      </c>
      <c r="T266">
        <v>1</v>
      </c>
      <c r="U266">
        <v>1</v>
      </c>
      <c r="V266">
        <v>79</v>
      </c>
      <c r="W266">
        <v>3</v>
      </c>
      <c r="X266">
        <v>1</v>
      </c>
      <c r="Y266" s="1" t="s">
        <v>6</v>
      </c>
      <c r="Z266">
        <v>3</v>
      </c>
      <c r="AA266">
        <v>3485</v>
      </c>
      <c r="AB266">
        <v>14935</v>
      </c>
      <c r="AC266" s="1" t="s">
        <v>19</v>
      </c>
      <c r="AD266">
        <v>11</v>
      </c>
      <c r="AE266">
        <v>3</v>
      </c>
      <c r="AF266">
        <v>3</v>
      </c>
      <c r="AG266">
        <v>80</v>
      </c>
      <c r="AH266">
        <v>0</v>
      </c>
      <c r="AI266">
        <v>1</v>
      </c>
      <c r="AJ266">
        <v>1</v>
      </c>
      <c r="AK266" s="1" t="s">
        <v>136</v>
      </c>
    </row>
    <row r="267" spans="1:37" x14ac:dyDescent="0.25">
      <c r="A267">
        <v>366</v>
      </c>
      <c r="B267">
        <v>29</v>
      </c>
      <c r="C267" s="1" t="s">
        <v>25</v>
      </c>
      <c r="D267" s="1" t="s">
        <v>70</v>
      </c>
      <c r="E267">
        <v>3</v>
      </c>
      <c r="F267" s="1" t="s">
        <v>139</v>
      </c>
      <c r="G267">
        <v>2</v>
      </c>
      <c r="H267" s="1" t="s">
        <v>18</v>
      </c>
      <c r="I267">
        <v>10</v>
      </c>
      <c r="J267">
        <v>2</v>
      </c>
      <c r="K267">
        <v>0</v>
      </c>
      <c r="L267">
        <v>0</v>
      </c>
      <c r="M267">
        <v>0</v>
      </c>
      <c r="N267">
        <v>0</v>
      </c>
      <c r="O267" s="1" t="s">
        <v>19</v>
      </c>
      <c r="P267" s="1" t="s">
        <v>135</v>
      </c>
      <c r="Q267">
        <v>1210</v>
      </c>
      <c r="R267" s="1" t="s">
        <v>64</v>
      </c>
      <c r="S267">
        <v>2</v>
      </c>
      <c r="T267">
        <v>1</v>
      </c>
      <c r="U267">
        <v>1</v>
      </c>
      <c r="V267">
        <v>78</v>
      </c>
      <c r="W267">
        <v>2</v>
      </c>
      <c r="X267">
        <v>2</v>
      </c>
      <c r="Y267" s="1" t="s">
        <v>4</v>
      </c>
      <c r="Z267">
        <v>2</v>
      </c>
      <c r="AA267">
        <v>6644</v>
      </c>
      <c r="AB267">
        <v>3687</v>
      </c>
      <c r="AC267" s="1" t="s">
        <v>19</v>
      </c>
      <c r="AD267">
        <v>19</v>
      </c>
      <c r="AE267">
        <v>3</v>
      </c>
      <c r="AF267">
        <v>2</v>
      </c>
      <c r="AG267">
        <v>80</v>
      </c>
      <c r="AH267">
        <v>2</v>
      </c>
      <c r="AI267">
        <v>3</v>
      </c>
      <c r="AJ267">
        <v>0</v>
      </c>
      <c r="AK267" s="1" t="s">
        <v>136</v>
      </c>
    </row>
    <row r="268" spans="1:37" x14ac:dyDescent="0.25">
      <c r="A268">
        <v>367</v>
      </c>
      <c r="B268">
        <v>31</v>
      </c>
      <c r="C268" s="1" t="s">
        <v>25</v>
      </c>
      <c r="D268" s="1" t="s">
        <v>70</v>
      </c>
      <c r="E268">
        <v>3</v>
      </c>
      <c r="F268" s="1" t="s">
        <v>139</v>
      </c>
      <c r="G268">
        <v>0</v>
      </c>
      <c r="H268" s="1" t="s">
        <v>18</v>
      </c>
      <c r="I268">
        <v>10</v>
      </c>
      <c r="J268">
        <v>2</v>
      </c>
      <c r="K268">
        <v>9</v>
      </c>
      <c r="L268">
        <v>0</v>
      </c>
      <c r="M268">
        <v>7</v>
      </c>
      <c r="N268">
        <v>8</v>
      </c>
      <c r="O268" s="1" t="s">
        <v>19</v>
      </c>
      <c r="P268" s="1" t="s">
        <v>135</v>
      </c>
      <c r="Q268">
        <v>1463</v>
      </c>
      <c r="R268" s="1" t="s">
        <v>63</v>
      </c>
      <c r="S268">
        <v>23</v>
      </c>
      <c r="T268">
        <v>1</v>
      </c>
      <c r="U268">
        <v>2</v>
      </c>
      <c r="V268">
        <v>64</v>
      </c>
      <c r="W268">
        <v>2</v>
      </c>
      <c r="X268">
        <v>2</v>
      </c>
      <c r="Y268" s="1" t="s">
        <v>8</v>
      </c>
      <c r="Z268">
        <v>4</v>
      </c>
      <c r="AA268">
        <v>5582</v>
      </c>
      <c r="AB268">
        <v>14408</v>
      </c>
      <c r="AC268" s="1" t="s">
        <v>19</v>
      </c>
      <c r="AD268">
        <v>21</v>
      </c>
      <c r="AE268">
        <v>4</v>
      </c>
      <c r="AF268">
        <v>2</v>
      </c>
      <c r="AG268">
        <v>80</v>
      </c>
      <c r="AH268">
        <v>1</v>
      </c>
      <c r="AI268">
        <v>3</v>
      </c>
      <c r="AJ268">
        <v>0</v>
      </c>
      <c r="AK268" s="1" t="s">
        <v>136</v>
      </c>
    </row>
    <row r="269" spans="1:37" x14ac:dyDescent="0.25">
      <c r="A269">
        <v>369</v>
      </c>
      <c r="B269">
        <v>25</v>
      </c>
      <c r="C269" s="1" t="s">
        <v>25</v>
      </c>
      <c r="D269" s="1" t="s">
        <v>69</v>
      </c>
      <c r="E269">
        <v>2</v>
      </c>
      <c r="F269" s="1" t="s">
        <v>134</v>
      </c>
      <c r="G269">
        <v>1</v>
      </c>
      <c r="H269" s="1" t="s">
        <v>18</v>
      </c>
      <c r="I269">
        <v>6</v>
      </c>
      <c r="J269">
        <v>2</v>
      </c>
      <c r="K269">
        <v>6</v>
      </c>
      <c r="L269">
        <v>3</v>
      </c>
      <c r="M269">
        <v>1</v>
      </c>
      <c r="N269">
        <v>5</v>
      </c>
      <c r="O269" s="1" t="s">
        <v>19</v>
      </c>
      <c r="P269" s="1" t="s">
        <v>141</v>
      </c>
      <c r="Q269">
        <v>675</v>
      </c>
      <c r="R269" s="1" t="s">
        <v>63</v>
      </c>
      <c r="S269">
        <v>5</v>
      </c>
      <c r="T269">
        <v>1</v>
      </c>
      <c r="U269">
        <v>2</v>
      </c>
      <c r="V269">
        <v>85</v>
      </c>
      <c r="W269">
        <v>4</v>
      </c>
      <c r="X269">
        <v>2</v>
      </c>
      <c r="Y269" s="1" t="s">
        <v>8</v>
      </c>
      <c r="Z269">
        <v>1</v>
      </c>
      <c r="AA269">
        <v>4000</v>
      </c>
      <c r="AB269">
        <v>18384</v>
      </c>
      <c r="AC269" s="1" t="s">
        <v>19</v>
      </c>
      <c r="AD269">
        <v>12</v>
      </c>
      <c r="AE269">
        <v>3</v>
      </c>
      <c r="AF269">
        <v>4</v>
      </c>
      <c r="AG269">
        <v>80</v>
      </c>
      <c r="AH269">
        <v>2</v>
      </c>
      <c r="AI269">
        <v>3</v>
      </c>
      <c r="AJ269">
        <v>0</v>
      </c>
      <c r="AK269" s="1" t="s">
        <v>136</v>
      </c>
    </row>
    <row r="270" spans="1:37" x14ac:dyDescent="0.25">
      <c r="A270">
        <v>372</v>
      </c>
      <c r="B270">
        <v>45</v>
      </c>
      <c r="C270" s="1" t="s">
        <v>25</v>
      </c>
      <c r="D270" s="1" t="s">
        <v>70</v>
      </c>
      <c r="E270">
        <v>2</v>
      </c>
      <c r="F270" s="1" t="s">
        <v>139</v>
      </c>
      <c r="G270">
        <v>0</v>
      </c>
      <c r="H270" s="1" t="s">
        <v>18</v>
      </c>
      <c r="I270">
        <v>21</v>
      </c>
      <c r="J270">
        <v>2</v>
      </c>
      <c r="K270">
        <v>20</v>
      </c>
      <c r="L270">
        <v>7</v>
      </c>
      <c r="M270">
        <v>4</v>
      </c>
      <c r="N270">
        <v>10</v>
      </c>
      <c r="O270" s="1" t="s">
        <v>19</v>
      </c>
      <c r="P270" s="1" t="s">
        <v>135</v>
      </c>
      <c r="Q270">
        <v>1385</v>
      </c>
      <c r="R270" s="1" t="s">
        <v>63</v>
      </c>
      <c r="S270">
        <v>20</v>
      </c>
      <c r="T270">
        <v>1</v>
      </c>
      <c r="U270">
        <v>3</v>
      </c>
      <c r="V270">
        <v>79</v>
      </c>
      <c r="W270">
        <v>3</v>
      </c>
      <c r="X270">
        <v>4</v>
      </c>
      <c r="Y270" s="1" t="s">
        <v>8</v>
      </c>
      <c r="Z270">
        <v>4</v>
      </c>
      <c r="AA270">
        <v>13496</v>
      </c>
      <c r="AB270">
        <v>7501</v>
      </c>
      <c r="AC270" s="1" t="s">
        <v>18</v>
      </c>
      <c r="AD270">
        <v>14</v>
      </c>
      <c r="AE270">
        <v>3</v>
      </c>
      <c r="AF270">
        <v>2</v>
      </c>
      <c r="AG270">
        <v>80</v>
      </c>
      <c r="AH270">
        <v>0</v>
      </c>
      <c r="AI270">
        <v>3</v>
      </c>
      <c r="AJ270">
        <v>0</v>
      </c>
      <c r="AK270" s="1" t="s">
        <v>136</v>
      </c>
    </row>
    <row r="271" spans="1:37" x14ac:dyDescent="0.25">
      <c r="A271">
        <v>373</v>
      </c>
      <c r="B271">
        <v>36</v>
      </c>
      <c r="C271" s="1" t="s">
        <v>25</v>
      </c>
      <c r="D271" s="1" t="s">
        <v>70</v>
      </c>
      <c r="E271">
        <v>3</v>
      </c>
      <c r="F271" s="1" t="s">
        <v>134</v>
      </c>
      <c r="G271">
        <v>0</v>
      </c>
      <c r="H271" s="1" t="s">
        <v>18</v>
      </c>
      <c r="I271">
        <v>16</v>
      </c>
      <c r="J271">
        <v>4</v>
      </c>
      <c r="K271">
        <v>15</v>
      </c>
      <c r="L271">
        <v>13</v>
      </c>
      <c r="M271">
        <v>10</v>
      </c>
      <c r="N271">
        <v>11</v>
      </c>
      <c r="O271" s="1" t="s">
        <v>19</v>
      </c>
      <c r="P271" s="1" t="s">
        <v>135</v>
      </c>
      <c r="Q271">
        <v>1403</v>
      </c>
      <c r="R271" s="1" t="s">
        <v>63</v>
      </c>
      <c r="S271">
        <v>6</v>
      </c>
      <c r="T271">
        <v>1</v>
      </c>
      <c r="U271">
        <v>4</v>
      </c>
      <c r="V271">
        <v>47</v>
      </c>
      <c r="W271">
        <v>3</v>
      </c>
      <c r="X271">
        <v>1</v>
      </c>
      <c r="Y271" s="1" t="s">
        <v>6</v>
      </c>
      <c r="Z271">
        <v>4</v>
      </c>
      <c r="AA271">
        <v>3210</v>
      </c>
      <c r="AB271">
        <v>20251</v>
      </c>
      <c r="AC271" s="1" t="s">
        <v>19</v>
      </c>
      <c r="AD271">
        <v>11</v>
      </c>
      <c r="AE271">
        <v>3</v>
      </c>
      <c r="AF271">
        <v>3</v>
      </c>
      <c r="AG271">
        <v>80</v>
      </c>
      <c r="AH271">
        <v>1</v>
      </c>
      <c r="AI271">
        <v>3</v>
      </c>
      <c r="AJ271">
        <v>0</v>
      </c>
      <c r="AK271" s="1" t="s">
        <v>136</v>
      </c>
    </row>
    <row r="272" spans="1:37" x14ac:dyDescent="0.25">
      <c r="A272">
        <v>374</v>
      </c>
      <c r="B272">
        <v>55</v>
      </c>
      <c r="C272" s="1" t="s">
        <v>25</v>
      </c>
      <c r="D272" s="1" t="s">
        <v>71</v>
      </c>
      <c r="E272">
        <v>3</v>
      </c>
      <c r="F272" s="1" t="s">
        <v>139</v>
      </c>
      <c r="G272">
        <v>0</v>
      </c>
      <c r="H272" s="1" t="s">
        <v>18</v>
      </c>
      <c r="I272">
        <v>37</v>
      </c>
      <c r="J272">
        <v>2</v>
      </c>
      <c r="K272">
        <v>36</v>
      </c>
      <c r="L272">
        <v>10</v>
      </c>
      <c r="M272">
        <v>4</v>
      </c>
      <c r="N272">
        <v>13</v>
      </c>
      <c r="O272" s="1" t="s">
        <v>19</v>
      </c>
      <c r="P272" s="1" t="s">
        <v>135</v>
      </c>
      <c r="Q272">
        <v>452</v>
      </c>
      <c r="R272" s="1" t="s">
        <v>63</v>
      </c>
      <c r="S272">
        <v>1</v>
      </c>
      <c r="T272">
        <v>1</v>
      </c>
      <c r="U272">
        <v>4</v>
      </c>
      <c r="V272">
        <v>81</v>
      </c>
      <c r="W272">
        <v>3</v>
      </c>
      <c r="X272">
        <v>5</v>
      </c>
      <c r="Y272" s="1" t="s">
        <v>9</v>
      </c>
      <c r="Z272">
        <v>1</v>
      </c>
      <c r="AA272">
        <v>19045</v>
      </c>
      <c r="AB272">
        <v>18938</v>
      </c>
      <c r="AC272" s="1" t="s">
        <v>18</v>
      </c>
      <c r="AD272">
        <v>14</v>
      </c>
      <c r="AE272">
        <v>3</v>
      </c>
      <c r="AF272">
        <v>3</v>
      </c>
      <c r="AG272">
        <v>80</v>
      </c>
      <c r="AH272">
        <v>0</v>
      </c>
      <c r="AI272">
        <v>3</v>
      </c>
      <c r="AJ272">
        <v>0</v>
      </c>
      <c r="AK272" s="1" t="s">
        <v>140</v>
      </c>
    </row>
    <row r="273" spans="1:37" x14ac:dyDescent="0.25">
      <c r="A273">
        <v>376</v>
      </c>
      <c r="B273">
        <v>47</v>
      </c>
      <c r="C273" s="1" t="s">
        <v>25</v>
      </c>
      <c r="D273" s="1" t="s">
        <v>70</v>
      </c>
      <c r="E273">
        <v>4</v>
      </c>
      <c r="F273" s="1" t="s">
        <v>134</v>
      </c>
      <c r="G273">
        <v>1</v>
      </c>
      <c r="H273" s="1" t="s">
        <v>18</v>
      </c>
      <c r="I273">
        <v>10</v>
      </c>
      <c r="J273">
        <v>2</v>
      </c>
      <c r="K273">
        <v>10</v>
      </c>
      <c r="L273">
        <v>7</v>
      </c>
      <c r="M273">
        <v>9</v>
      </c>
      <c r="N273">
        <v>9</v>
      </c>
      <c r="O273" s="1" t="s">
        <v>18</v>
      </c>
      <c r="P273" s="1" t="s">
        <v>141</v>
      </c>
      <c r="Q273">
        <v>666</v>
      </c>
      <c r="R273" s="1" t="s">
        <v>63</v>
      </c>
      <c r="S273">
        <v>29</v>
      </c>
      <c r="T273">
        <v>1</v>
      </c>
      <c r="U273">
        <v>1</v>
      </c>
      <c r="V273">
        <v>88</v>
      </c>
      <c r="W273">
        <v>3</v>
      </c>
      <c r="X273">
        <v>3</v>
      </c>
      <c r="Y273" s="1" t="s">
        <v>9</v>
      </c>
      <c r="Z273">
        <v>2</v>
      </c>
      <c r="AA273">
        <v>11849</v>
      </c>
      <c r="AB273">
        <v>10268</v>
      </c>
      <c r="AC273" s="1" t="s">
        <v>18</v>
      </c>
      <c r="AD273">
        <v>12</v>
      </c>
      <c r="AE273">
        <v>3</v>
      </c>
      <c r="AF273">
        <v>4</v>
      </c>
      <c r="AG273">
        <v>80</v>
      </c>
      <c r="AH273">
        <v>1</v>
      </c>
      <c r="AI273">
        <v>2</v>
      </c>
      <c r="AJ273">
        <v>1</v>
      </c>
      <c r="AK273" s="1" t="s">
        <v>136</v>
      </c>
    </row>
    <row r="274" spans="1:37" x14ac:dyDescent="0.25">
      <c r="A274">
        <v>377</v>
      </c>
      <c r="B274">
        <v>28</v>
      </c>
      <c r="C274" s="1" t="s">
        <v>25</v>
      </c>
      <c r="D274" s="1" t="s">
        <v>70</v>
      </c>
      <c r="E274">
        <v>3</v>
      </c>
      <c r="F274" s="1" t="s">
        <v>139</v>
      </c>
      <c r="G274">
        <v>1</v>
      </c>
      <c r="H274" s="1" t="s">
        <v>18</v>
      </c>
      <c r="I274">
        <v>5</v>
      </c>
      <c r="J274">
        <v>3</v>
      </c>
      <c r="K274">
        <v>5</v>
      </c>
      <c r="L274">
        <v>2</v>
      </c>
      <c r="M274">
        <v>0</v>
      </c>
      <c r="N274">
        <v>4</v>
      </c>
      <c r="O274" s="1" t="s">
        <v>19</v>
      </c>
      <c r="P274" s="1" t="s">
        <v>135</v>
      </c>
      <c r="Q274">
        <v>1158</v>
      </c>
      <c r="R274" s="1" t="s">
        <v>63</v>
      </c>
      <c r="S274">
        <v>9</v>
      </c>
      <c r="T274">
        <v>1</v>
      </c>
      <c r="U274">
        <v>4</v>
      </c>
      <c r="V274">
        <v>94</v>
      </c>
      <c r="W274">
        <v>3</v>
      </c>
      <c r="X274">
        <v>1</v>
      </c>
      <c r="Y274" s="1" t="s">
        <v>5</v>
      </c>
      <c r="Z274">
        <v>4</v>
      </c>
      <c r="AA274">
        <v>2070</v>
      </c>
      <c r="AB274">
        <v>2613</v>
      </c>
      <c r="AC274" s="1" t="s">
        <v>19</v>
      </c>
      <c r="AD274">
        <v>23</v>
      </c>
      <c r="AE274">
        <v>4</v>
      </c>
      <c r="AF274">
        <v>4</v>
      </c>
      <c r="AG274">
        <v>80</v>
      </c>
      <c r="AH274">
        <v>1</v>
      </c>
      <c r="AI274">
        <v>2</v>
      </c>
      <c r="AJ274">
        <v>0</v>
      </c>
      <c r="AK274" s="1" t="s">
        <v>136</v>
      </c>
    </row>
    <row r="275" spans="1:37" x14ac:dyDescent="0.25">
      <c r="A275">
        <v>378</v>
      </c>
      <c r="B275">
        <v>37</v>
      </c>
      <c r="C275" s="1" t="s">
        <v>25</v>
      </c>
      <c r="D275" s="1" t="s">
        <v>70</v>
      </c>
      <c r="E275">
        <v>4</v>
      </c>
      <c r="F275" s="1" t="s">
        <v>139</v>
      </c>
      <c r="G275">
        <v>4</v>
      </c>
      <c r="H275" s="1" t="s">
        <v>18</v>
      </c>
      <c r="I275">
        <v>7</v>
      </c>
      <c r="J275">
        <v>5</v>
      </c>
      <c r="K275">
        <v>5</v>
      </c>
      <c r="L275">
        <v>4</v>
      </c>
      <c r="M275">
        <v>0</v>
      </c>
      <c r="N275">
        <v>1</v>
      </c>
      <c r="O275" s="1" t="s">
        <v>19</v>
      </c>
      <c r="P275" s="1" t="s">
        <v>135</v>
      </c>
      <c r="Q275">
        <v>228</v>
      </c>
      <c r="R275" s="1" t="s">
        <v>64</v>
      </c>
      <c r="S275">
        <v>6</v>
      </c>
      <c r="T275">
        <v>1</v>
      </c>
      <c r="U275">
        <v>3</v>
      </c>
      <c r="V275">
        <v>98</v>
      </c>
      <c r="W275">
        <v>3</v>
      </c>
      <c r="X275">
        <v>2</v>
      </c>
      <c r="Y275" s="1" t="s">
        <v>4</v>
      </c>
      <c r="Z275">
        <v>4</v>
      </c>
      <c r="AA275">
        <v>6502</v>
      </c>
      <c r="AB275">
        <v>22825</v>
      </c>
      <c r="AC275" s="1" t="s">
        <v>19</v>
      </c>
      <c r="AD275">
        <v>14</v>
      </c>
      <c r="AE275">
        <v>3</v>
      </c>
      <c r="AF275">
        <v>2</v>
      </c>
      <c r="AG275">
        <v>80</v>
      </c>
      <c r="AH275">
        <v>1</v>
      </c>
      <c r="AI275">
        <v>4</v>
      </c>
      <c r="AJ275">
        <v>0</v>
      </c>
      <c r="AK275" s="1" t="s">
        <v>136</v>
      </c>
    </row>
    <row r="276" spans="1:37" x14ac:dyDescent="0.25">
      <c r="A276">
        <v>379</v>
      </c>
      <c r="B276">
        <v>21</v>
      </c>
      <c r="C276" s="1" t="s">
        <v>25</v>
      </c>
      <c r="D276" s="1" t="s">
        <v>71</v>
      </c>
      <c r="E276">
        <v>2</v>
      </c>
      <c r="F276" s="1" t="s">
        <v>139</v>
      </c>
      <c r="G276">
        <v>1</v>
      </c>
      <c r="H276" s="1" t="s">
        <v>18</v>
      </c>
      <c r="I276">
        <v>3</v>
      </c>
      <c r="J276">
        <v>4</v>
      </c>
      <c r="K276">
        <v>3</v>
      </c>
      <c r="L276">
        <v>2</v>
      </c>
      <c r="M276">
        <v>1</v>
      </c>
      <c r="N276">
        <v>0</v>
      </c>
      <c r="O276" s="1" t="s">
        <v>19</v>
      </c>
      <c r="P276" s="1" t="s">
        <v>135</v>
      </c>
      <c r="Q276">
        <v>996</v>
      </c>
      <c r="R276" s="1" t="s">
        <v>63</v>
      </c>
      <c r="S276">
        <v>3</v>
      </c>
      <c r="T276">
        <v>1</v>
      </c>
      <c r="U276">
        <v>4</v>
      </c>
      <c r="V276">
        <v>100</v>
      </c>
      <c r="W276">
        <v>2</v>
      </c>
      <c r="X276">
        <v>1</v>
      </c>
      <c r="Y276" s="1" t="s">
        <v>5</v>
      </c>
      <c r="Z276">
        <v>3</v>
      </c>
      <c r="AA276">
        <v>3230</v>
      </c>
      <c r="AB276">
        <v>10531</v>
      </c>
      <c r="AC276" s="1" t="s">
        <v>19</v>
      </c>
      <c r="AD276">
        <v>17</v>
      </c>
      <c r="AE276">
        <v>3</v>
      </c>
      <c r="AF276">
        <v>1</v>
      </c>
      <c r="AG276">
        <v>80</v>
      </c>
      <c r="AH276">
        <v>0</v>
      </c>
      <c r="AI276">
        <v>4</v>
      </c>
      <c r="AJ276">
        <v>0</v>
      </c>
      <c r="AK276" s="1" t="s">
        <v>136</v>
      </c>
    </row>
    <row r="277" spans="1:37" x14ac:dyDescent="0.25">
      <c r="A277">
        <v>380</v>
      </c>
      <c r="B277">
        <v>37</v>
      </c>
      <c r="C277" s="1" t="s">
        <v>24</v>
      </c>
      <c r="D277" s="1" t="s">
        <v>69</v>
      </c>
      <c r="E277">
        <v>4</v>
      </c>
      <c r="F277" s="1" t="s">
        <v>139</v>
      </c>
      <c r="G277">
        <v>2</v>
      </c>
      <c r="H277" s="1" t="s">
        <v>18</v>
      </c>
      <c r="I277">
        <v>15</v>
      </c>
      <c r="J277">
        <v>2</v>
      </c>
      <c r="K277">
        <v>5</v>
      </c>
      <c r="L277">
        <v>2</v>
      </c>
      <c r="M277">
        <v>0</v>
      </c>
      <c r="N277">
        <v>2</v>
      </c>
      <c r="O277" s="1" t="s">
        <v>19</v>
      </c>
      <c r="P277" s="1" t="s">
        <v>141</v>
      </c>
      <c r="Q277">
        <v>728</v>
      </c>
      <c r="R277" s="1" t="s">
        <v>63</v>
      </c>
      <c r="S277">
        <v>1</v>
      </c>
      <c r="T277">
        <v>1</v>
      </c>
      <c r="U277">
        <v>1</v>
      </c>
      <c r="V277">
        <v>80</v>
      </c>
      <c r="W277">
        <v>3</v>
      </c>
      <c r="X277">
        <v>3</v>
      </c>
      <c r="Y277" s="1" t="s">
        <v>11</v>
      </c>
      <c r="Z277">
        <v>4</v>
      </c>
      <c r="AA277">
        <v>13603</v>
      </c>
      <c r="AB277">
        <v>11677</v>
      </c>
      <c r="AC277" s="1" t="s">
        <v>18</v>
      </c>
      <c r="AD277">
        <v>18</v>
      </c>
      <c r="AE277">
        <v>3</v>
      </c>
      <c r="AF277">
        <v>1</v>
      </c>
      <c r="AG277">
        <v>80</v>
      </c>
      <c r="AH277">
        <v>2</v>
      </c>
      <c r="AI277">
        <v>3</v>
      </c>
      <c r="AJ277">
        <v>0</v>
      </c>
      <c r="AK277" s="1" t="s">
        <v>136</v>
      </c>
    </row>
    <row r="278" spans="1:37" x14ac:dyDescent="0.25">
      <c r="A278">
        <v>381</v>
      </c>
      <c r="B278">
        <v>35</v>
      </c>
      <c r="C278" s="1" t="s">
        <v>24</v>
      </c>
      <c r="D278" s="1" t="s">
        <v>69</v>
      </c>
      <c r="E278">
        <v>3</v>
      </c>
      <c r="F278" s="1" t="s">
        <v>134</v>
      </c>
      <c r="G278">
        <v>7</v>
      </c>
      <c r="H278" s="1" t="s">
        <v>18</v>
      </c>
      <c r="I278">
        <v>10</v>
      </c>
      <c r="J278">
        <v>6</v>
      </c>
      <c r="K278">
        <v>7</v>
      </c>
      <c r="L278">
        <v>7</v>
      </c>
      <c r="M278">
        <v>6</v>
      </c>
      <c r="N278">
        <v>2</v>
      </c>
      <c r="O278" s="1" t="s">
        <v>19</v>
      </c>
      <c r="P278" s="1" t="s">
        <v>135</v>
      </c>
      <c r="Q278">
        <v>1315</v>
      </c>
      <c r="R278" s="1" t="s">
        <v>63</v>
      </c>
      <c r="S278">
        <v>22</v>
      </c>
      <c r="T278">
        <v>1</v>
      </c>
      <c r="U278">
        <v>2</v>
      </c>
      <c r="V278">
        <v>71</v>
      </c>
      <c r="W278">
        <v>4</v>
      </c>
      <c r="X278">
        <v>3</v>
      </c>
      <c r="Y278" s="1" t="s">
        <v>9</v>
      </c>
      <c r="Z278">
        <v>2</v>
      </c>
      <c r="AA278">
        <v>11996</v>
      </c>
      <c r="AB278">
        <v>19100</v>
      </c>
      <c r="AC278" s="1" t="s">
        <v>19</v>
      </c>
      <c r="AD278">
        <v>18</v>
      </c>
      <c r="AE278">
        <v>3</v>
      </c>
      <c r="AF278">
        <v>2</v>
      </c>
      <c r="AG278">
        <v>80</v>
      </c>
      <c r="AH278">
        <v>1</v>
      </c>
      <c r="AI278">
        <v>2</v>
      </c>
      <c r="AJ278">
        <v>0</v>
      </c>
      <c r="AK278" s="1" t="s">
        <v>136</v>
      </c>
    </row>
    <row r="279" spans="1:37" x14ac:dyDescent="0.25">
      <c r="A279">
        <v>382</v>
      </c>
      <c r="B279">
        <v>38</v>
      </c>
      <c r="C279" s="1" t="s">
        <v>24</v>
      </c>
      <c r="D279" s="1" t="s">
        <v>69</v>
      </c>
      <c r="E279">
        <v>2</v>
      </c>
      <c r="F279" s="1" t="s">
        <v>139</v>
      </c>
      <c r="G279">
        <v>1</v>
      </c>
      <c r="H279" s="1" t="s">
        <v>18</v>
      </c>
      <c r="I279">
        <v>8</v>
      </c>
      <c r="J279">
        <v>3</v>
      </c>
      <c r="K279">
        <v>8</v>
      </c>
      <c r="L279">
        <v>0</v>
      </c>
      <c r="M279">
        <v>7</v>
      </c>
      <c r="N279">
        <v>7</v>
      </c>
      <c r="O279" s="1" t="s">
        <v>19</v>
      </c>
      <c r="P279" s="1" t="s">
        <v>135</v>
      </c>
      <c r="Q279">
        <v>322</v>
      </c>
      <c r="R279" s="1" t="s">
        <v>64</v>
      </c>
      <c r="S279">
        <v>7</v>
      </c>
      <c r="T279">
        <v>1</v>
      </c>
      <c r="U279">
        <v>1</v>
      </c>
      <c r="V279">
        <v>44</v>
      </c>
      <c r="W279">
        <v>4</v>
      </c>
      <c r="X279">
        <v>2</v>
      </c>
      <c r="Y279" s="1" t="s">
        <v>4</v>
      </c>
      <c r="Z279">
        <v>1</v>
      </c>
      <c r="AA279">
        <v>5605</v>
      </c>
      <c r="AB279">
        <v>19191</v>
      </c>
      <c r="AC279" s="1" t="s">
        <v>18</v>
      </c>
      <c r="AD279">
        <v>24</v>
      </c>
      <c r="AE279">
        <v>4</v>
      </c>
      <c r="AF279">
        <v>3</v>
      </c>
      <c r="AG279">
        <v>80</v>
      </c>
      <c r="AH279">
        <v>1</v>
      </c>
      <c r="AI279">
        <v>3</v>
      </c>
      <c r="AJ279">
        <v>0</v>
      </c>
      <c r="AK279" s="1" t="s">
        <v>136</v>
      </c>
    </row>
    <row r="280" spans="1:37" x14ac:dyDescent="0.25">
      <c r="A280">
        <v>384</v>
      </c>
      <c r="B280">
        <v>26</v>
      </c>
      <c r="C280" s="1" t="s">
        <v>24</v>
      </c>
      <c r="D280" s="1" t="s">
        <v>69</v>
      </c>
      <c r="E280">
        <v>3</v>
      </c>
      <c r="F280" s="1" t="s">
        <v>134</v>
      </c>
      <c r="G280">
        <v>1</v>
      </c>
      <c r="H280" s="1" t="s">
        <v>18</v>
      </c>
      <c r="I280">
        <v>6</v>
      </c>
      <c r="J280">
        <v>6</v>
      </c>
      <c r="K280">
        <v>6</v>
      </c>
      <c r="L280">
        <v>5</v>
      </c>
      <c r="M280">
        <v>1</v>
      </c>
      <c r="N280">
        <v>4</v>
      </c>
      <c r="O280" s="1" t="s">
        <v>19</v>
      </c>
      <c r="P280" s="1" t="s">
        <v>137</v>
      </c>
      <c r="Q280">
        <v>1479</v>
      </c>
      <c r="R280" s="1" t="s">
        <v>63</v>
      </c>
      <c r="S280">
        <v>1</v>
      </c>
      <c r="T280">
        <v>1</v>
      </c>
      <c r="U280">
        <v>3</v>
      </c>
      <c r="V280">
        <v>84</v>
      </c>
      <c r="W280">
        <v>3</v>
      </c>
      <c r="X280">
        <v>2</v>
      </c>
      <c r="Y280" s="1" t="s">
        <v>7</v>
      </c>
      <c r="Z280">
        <v>2</v>
      </c>
      <c r="AA280">
        <v>6397</v>
      </c>
      <c r="AB280">
        <v>26767</v>
      </c>
      <c r="AC280" s="1" t="s">
        <v>19</v>
      </c>
      <c r="AD280">
        <v>20</v>
      </c>
      <c r="AE280">
        <v>4</v>
      </c>
      <c r="AF280">
        <v>1</v>
      </c>
      <c r="AG280">
        <v>80</v>
      </c>
      <c r="AH280">
        <v>1</v>
      </c>
      <c r="AI280">
        <v>1</v>
      </c>
      <c r="AJ280">
        <v>0</v>
      </c>
      <c r="AK280" s="1" t="s">
        <v>136</v>
      </c>
    </row>
    <row r="281" spans="1:37" x14ac:dyDescent="0.25">
      <c r="A281">
        <v>385</v>
      </c>
      <c r="B281">
        <v>50</v>
      </c>
      <c r="C281" s="1" t="s">
        <v>25</v>
      </c>
      <c r="D281" s="1" t="s">
        <v>69</v>
      </c>
      <c r="E281">
        <v>1</v>
      </c>
      <c r="F281" s="1" t="s">
        <v>134</v>
      </c>
      <c r="G281">
        <v>3</v>
      </c>
      <c r="H281" s="1" t="s">
        <v>18</v>
      </c>
      <c r="I281">
        <v>28</v>
      </c>
      <c r="J281">
        <v>4</v>
      </c>
      <c r="K281">
        <v>10</v>
      </c>
      <c r="L281">
        <v>4</v>
      </c>
      <c r="M281">
        <v>1</v>
      </c>
      <c r="N281">
        <v>6</v>
      </c>
      <c r="O281" s="1" t="s">
        <v>19</v>
      </c>
      <c r="P281" s="1" t="s">
        <v>135</v>
      </c>
      <c r="Q281">
        <v>797</v>
      </c>
      <c r="R281" s="1" t="s">
        <v>63</v>
      </c>
      <c r="S281">
        <v>4</v>
      </c>
      <c r="T281">
        <v>1</v>
      </c>
      <c r="U281">
        <v>1</v>
      </c>
      <c r="V281">
        <v>96</v>
      </c>
      <c r="W281">
        <v>3</v>
      </c>
      <c r="X281">
        <v>5</v>
      </c>
      <c r="Y281" s="1" t="s">
        <v>11</v>
      </c>
      <c r="Z281">
        <v>2</v>
      </c>
      <c r="AA281">
        <v>19144</v>
      </c>
      <c r="AB281">
        <v>15815</v>
      </c>
      <c r="AC281" s="1" t="s">
        <v>19</v>
      </c>
      <c r="AD281">
        <v>14</v>
      </c>
      <c r="AE281">
        <v>3</v>
      </c>
      <c r="AF281">
        <v>1</v>
      </c>
      <c r="AG281">
        <v>80</v>
      </c>
      <c r="AH281">
        <v>2</v>
      </c>
      <c r="AI281">
        <v>2</v>
      </c>
      <c r="AJ281">
        <v>0</v>
      </c>
      <c r="AK281" s="1" t="s">
        <v>140</v>
      </c>
    </row>
    <row r="282" spans="1:37" x14ac:dyDescent="0.25">
      <c r="A282">
        <v>386</v>
      </c>
      <c r="B282">
        <v>53</v>
      </c>
      <c r="C282" s="1" t="s">
        <v>25</v>
      </c>
      <c r="D282" s="1" t="s">
        <v>70</v>
      </c>
      <c r="E282">
        <v>4</v>
      </c>
      <c r="F282" s="1" t="s">
        <v>139</v>
      </c>
      <c r="G282">
        <v>3</v>
      </c>
      <c r="H282" s="1" t="s">
        <v>18</v>
      </c>
      <c r="I282">
        <v>21</v>
      </c>
      <c r="J282">
        <v>5</v>
      </c>
      <c r="K282">
        <v>5</v>
      </c>
      <c r="L282">
        <v>3</v>
      </c>
      <c r="M282">
        <v>1</v>
      </c>
      <c r="N282">
        <v>3</v>
      </c>
      <c r="O282" s="1" t="s">
        <v>19</v>
      </c>
      <c r="P282" s="1" t="s">
        <v>135</v>
      </c>
      <c r="Q282">
        <v>1070</v>
      </c>
      <c r="R282" s="1" t="s">
        <v>63</v>
      </c>
      <c r="S282">
        <v>3</v>
      </c>
      <c r="T282">
        <v>1</v>
      </c>
      <c r="U282">
        <v>3</v>
      </c>
      <c r="V282">
        <v>45</v>
      </c>
      <c r="W282">
        <v>3</v>
      </c>
      <c r="X282">
        <v>4</v>
      </c>
      <c r="Y282" s="1" t="s">
        <v>11</v>
      </c>
      <c r="Z282">
        <v>3</v>
      </c>
      <c r="AA282">
        <v>17584</v>
      </c>
      <c r="AB282">
        <v>21016</v>
      </c>
      <c r="AC282" s="1" t="s">
        <v>18</v>
      </c>
      <c r="AD282">
        <v>16</v>
      </c>
      <c r="AE282">
        <v>3</v>
      </c>
      <c r="AF282">
        <v>4</v>
      </c>
      <c r="AG282">
        <v>80</v>
      </c>
      <c r="AH282">
        <v>3</v>
      </c>
      <c r="AI282">
        <v>2</v>
      </c>
      <c r="AJ282">
        <v>0</v>
      </c>
      <c r="AK282" s="1" t="s">
        <v>140</v>
      </c>
    </row>
    <row r="283" spans="1:37" x14ac:dyDescent="0.25">
      <c r="A283">
        <v>387</v>
      </c>
      <c r="B283">
        <v>42</v>
      </c>
      <c r="C283" s="1" t="s">
        <v>25</v>
      </c>
      <c r="D283" s="1" t="s">
        <v>70</v>
      </c>
      <c r="E283">
        <v>1</v>
      </c>
      <c r="F283" s="1" t="s">
        <v>134</v>
      </c>
      <c r="G283">
        <v>1</v>
      </c>
      <c r="H283" s="1" t="s">
        <v>18</v>
      </c>
      <c r="I283">
        <v>20</v>
      </c>
      <c r="J283">
        <v>3</v>
      </c>
      <c r="K283">
        <v>20</v>
      </c>
      <c r="L283">
        <v>16</v>
      </c>
      <c r="M283">
        <v>11</v>
      </c>
      <c r="N283">
        <v>6</v>
      </c>
      <c r="O283" s="1" t="s">
        <v>19</v>
      </c>
      <c r="P283" s="1" t="s">
        <v>135</v>
      </c>
      <c r="Q283">
        <v>635</v>
      </c>
      <c r="R283" s="1" t="s">
        <v>64</v>
      </c>
      <c r="S283">
        <v>1</v>
      </c>
      <c r="T283">
        <v>1</v>
      </c>
      <c r="U283">
        <v>2</v>
      </c>
      <c r="V283">
        <v>99</v>
      </c>
      <c r="W283">
        <v>3</v>
      </c>
      <c r="X283">
        <v>2</v>
      </c>
      <c r="Y283" s="1" t="s">
        <v>4</v>
      </c>
      <c r="Z283">
        <v>3</v>
      </c>
      <c r="AA283">
        <v>4907</v>
      </c>
      <c r="AB283">
        <v>24532</v>
      </c>
      <c r="AC283" s="1" t="s">
        <v>19</v>
      </c>
      <c r="AD283">
        <v>25</v>
      </c>
      <c r="AE283">
        <v>4</v>
      </c>
      <c r="AF283">
        <v>3</v>
      </c>
      <c r="AG283">
        <v>80</v>
      </c>
      <c r="AH283">
        <v>0</v>
      </c>
      <c r="AI283">
        <v>3</v>
      </c>
      <c r="AJ283">
        <v>0</v>
      </c>
      <c r="AK283" s="1" t="s">
        <v>136</v>
      </c>
    </row>
    <row r="284" spans="1:37" x14ac:dyDescent="0.25">
      <c r="A284">
        <v>388</v>
      </c>
      <c r="B284">
        <v>29</v>
      </c>
      <c r="C284" s="1" t="s">
        <v>25</v>
      </c>
      <c r="D284" s="1" t="s">
        <v>71</v>
      </c>
      <c r="E284">
        <v>2</v>
      </c>
      <c r="F284" s="1" t="s">
        <v>134</v>
      </c>
      <c r="G284">
        <v>1</v>
      </c>
      <c r="H284" s="1" t="s">
        <v>18</v>
      </c>
      <c r="I284">
        <v>10</v>
      </c>
      <c r="J284">
        <v>3</v>
      </c>
      <c r="K284">
        <v>10</v>
      </c>
      <c r="L284">
        <v>7</v>
      </c>
      <c r="M284">
        <v>0</v>
      </c>
      <c r="N284">
        <v>9</v>
      </c>
      <c r="O284" s="1" t="s">
        <v>19</v>
      </c>
      <c r="P284" s="1" t="s">
        <v>137</v>
      </c>
      <c r="Q284">
        <v>442</v>
      </c>
      <c r="R284" s="1" t="s">
        <v>64</v>
      </c>
      <c r="S284">
        <v>2</v>
      </c>
      <c r="T284">
        <v>1</v>
      </c>
      <c r="U284">
        <v>2</v>
      </c>
      <c r="V284">
        <v>44</v>
      </c>
      <c r="W284">
        <v>3</v>
      </c>
      <c r="X284">
        <v>2</v>
      </c>
      <c r="Y284" s="1" t="s">
        <v>4</v>
      </c>
      <c r="Z284">
        <v>4</v>
      </c>
      <c r="AA284">
        <v>4554</v>
      </c>
      <c r="AB284">
        <v>20260</v>
      </c>
      <c r="AC284" s="1" t="s">
        <v>19</v>
      </c>
      <c r="AD284">
        <v>18</v>
      </c>
      <c r="AE284">
        <v>3</v>
      </c>
      <c r="AF284">
        <v>1</v>
      </c>
      <c r="AG284">
        <v>80</v>
      </c>
      <c r="AH284">
        <v>0</v>
      </c>
      <c r="AI284">
        <v>2</v>
      </c>
      <c r="AJ284">
        <v>0</v>
      </c>
      <c r="AK284" s="1" t="s">
        <v>136</v>
      </c>
    </row>
    <row r="285" spans="1:37" x14ac:dyDescent="0.25">
      <c r="A285">
        <v>389</v>
      </c>
      <c r="B285">
        <v>55</v>
      </c>
      <c r="C285" s="1" t="s">
        <v>25</v>
      </c>
      <c r="D285" s="1" t="s">
        <v>70</v>
      </c>
      <c r="E285">
        <v>2</v>
      </c>
      <c r="F285" s="1" t="s">
        <v>143</v>
      </c>
      <c r="G285">
        <v>3</v>
      </c>
      <c r="H285" s="1" t="s">
        <v>18</v>
      </c>
      <c r="I285">
        <v>12</v>
      </c>
      <c r="J285">
        <v>4</v>
      </c>
      <c r="K285">
        <v>10</v>
      </c>
      <c r="L285">
        <v>7</v>
      </c>
      <c r="M285">
        <v>0</v>
      </c>
      <c r="N285">
        <v>8</v>
      </c>
      <c r="O285" s="1" t="s">
        <v>19</v>
      </c>
      <c r="P285" s="1" t="s">
        <v>135</v>
      </c>
      <c r="Q285">
        <v>147</v>
      </c>
      <c r="R285" s="1" t="s">
        <v>63</v>
      </c>
      <c r="S285">
        <v>20</v>
      </c>
      <c r="T285">
        <v>1</v>
      </c>
      <c r="U285">
        <v>2</v>
      </c>
      <c r="V285">
        <v>37</v>
      </c>
      <c r="W285">
        <v>3</v>
      </c>
      <c r="X285">
        <v>2</v>
      </c>
      <c r="Y285" s="1" t="s">
        <v>6</v>
      </c>
      <c r="Z285">
        <v>4</v>
      </c>
      <c r="AA285">
        <v>5415</v>
      </c>
      <c r="AB285">
        <v>15972</v>
      </c>
      <c r="AC285" s="1" t="s">
        <v>18</v>
      </c>
      <c r="AD285">
        <v>19</v>
      </c>
      <c r="AE285">
        <v>3</v>
      </c>
      <c r="AF285">
        <v>4</v>
      </c>
      <c r="AG285">
        <v>80</v>
      </c>
      <c r="AH285">
        <v>1</v>
      </c>
      <c r="AI285">
        <v>3</v>
      </c>
      <c r="AJ285">
        <v>0</v>
      </c>
      <c r="AK285" s="1" t="s">
        <v>140</v>
      </c>
    </row>
    <row r="286" spans="1:37" x14ac:dyDescent="0.25">
      <c r="A286">
        <v>390</v>
      </c>
      <c r="B286">
        <v>26</v>
      </c>
      <c r="C286" s="1" t="s">
        <v>25</v>
      </c>
      <c r="D286" s="1" t="s">
        <v>70</v>
      </c>
      <c r="E286">
        <v>2</v>
      </c>
      <c r="F286" s="1" t="s">
        <v>139</v>
      </c>
      <c r="G286">
        <v>1</v>
      </c>
      <c r="H286" s="1" t="s">
        <v>18</v>
      </c>
      <c r="I286">
        <v>5</v>
      </c>
      <c r="J286">
        <v>3</v>
      </c>
      <c r="K286">
        <v>5</v>
      </c>
      <c r="L286">
        <v>3</v>
      </c>
      <c r="M286">
        <v>3</v>
      </c>
      <c r="N286">
        <v>3</v>
      </c>
      <c r="O286" s="1" t="s">
        <v>19</v>
      </c>
      <c r="P286" s="1" t="s">
        <v>137</v>
      </c>
      <c r="Q286">
        <v>496</v>
      </c>
      <c r="R286" s="1" t="s">
        <v>63</v>
      </c>
      <c r="S286">
        <v>11</v>
      </c>
      <c r="T286">
        <v>1</v>
      </c>
      <c r="U286">
        <v>1</v>
      </c>
      <c r="V286">
        <v>60</v>
      </c>
      <c r="W286">
        <v>3</v>
      </c>
      <c r="X286">
        <v>2</v>
      </c>
      <c r="Y286" s="1" t="s">
        <v>8</v>
      </c>
      <c r="Z286">
        <v>1</v>
      </c>
      <c r="AA286">
        <v>4741</v>
      </c>
      <c r="AB286">
        <v>22722</v>
      </c>
      <c r="AC286" s="1" t="s">
        <v>18</v>
      </c>
      <c r="AD286">
        <v>13</v>
      </c>
      <c r="AE286">
        <v>3</v>
      </c>
      <c r="AF286">
        <v>3</v>
      </c>
      <c r="AG286">
        <v>80</v>
      </c>
      <c r="AH286">
        <v>1</v>
      </c>
      <c r="AI286">
        <v>3</v>
      </c>
      <c r="AJ286">
        <v>0</v>
      </c>
      <c r="AK286" s="1" t="s">
        <v>136</v>
      </c>
    </row>
    <row r="287" spans="1:37" x14ac:dyDescent="0.25">
      <c r="A287">
        <v>391</v>
      </c>
      <c r="B287">
        <v>37</v>
      </c>
      <c r="C287" s="1" t="s">
        <v>24</v>
      </c>
      <c r="D287" s="1" t="s">
        <v>71</v>
      </c>
      <c r="E287">
        <v>3</v>
      </c>
      <c r="F287" s="1" t="s">
        <v>134</v>
      </c>
      <c r="G287">
        <v>1</v>
      </c>
      <c r="H287" s="1" t="s">
        <v>18</v>
      </c>
      <c r="I287">
        <v>17</v>
      </c>
      <c r="J287">
        <v>3</v>
      </c>
      <c r="K287">
        <v>17</v>
      </c>
      <c r="L287">
        <v>12</v>
      </c>
      <c r="M287">
        <v>5</v>
      </c>
      <c r="N287">
        <v>7</v>
      </c>
      <c r="O287" s="1" t="s">
        <v>19</v>
      </c>
      <c r="P287" s="1" t="s">
        <v>135</v>
      </c>
      <c r="Q287">
        <v>1372</v>
      </c>
      <c r="R287" s="1" t="s">
        <v>63</v>
      </c>
      <c r="S287">
        <v>1</v>
      </c>
      <c r="T287">
        <v>1</v>
      </c>
      <c r="U287">
        <v>4</v>
      </c>
      <c r="V287">
        <v>42</v>
      </c>
      <c r="W287">
        <v>3</v>
      </c>
      <c r="X287">
        <v>1</v>
      </c>
      <c r="Y287" s="1" t="s">
        <v>5</v>
      </c>
      <c r="Z287">
        <v>4</v>
      </c>
      <c r="AA287">
        <v>2115</v>
      </c>
      <c r="AB287">
        <v>15881</v>
      </c>
      <c r="AC287" s="1" t="s">
        <v>19</v>
      </c>
      <c r="AD287">
        <v>12</v>
      </c>
      <c r="AE287">
        <v>3</v>
      </c>
      <c r="AF287">
        <v>2</v>
      </c>
      <c r="AG287">
        <v>80</v>
      </c>
      <c r="AH287">
        <v>0</v>
      </c>
      <c r="AI287">
        <v>3</v>
      </c>
      <c r="AJ287">
        <v>0</v>
      </c>
      <c r="AK287" s="1" t="s">
        <v>136</v>
      </c>
    </row>
    <row r="288" spans="1:37" x14ac:dyDescent="0.25">
      <c r="A288">
        <v>392</v>
      </c>
      <c r="B288">
        <v>44</v>
      </c>
      <c r="C288" s="1" t="s">
        <v>25</v>
      </c>
      <c r="D288" s="1" t="s">
        <v>69</v>
      </c>
      <c r="E288">
        <v>3</v>
      </c>
      <c r="F288" s="1" t="s">
        <v>134</v>
      </c>
      <c r="G288">
        <v>3</v>
      </c>
      <c r="H288" s="1" t="s">
        <v>18</v>
      </c>
      <c r="I288">
        <v>19</v>
      </c>
      <c r="J288">
        <v>0</v>
      </c>
      <c r="K288">
        <v>1</v>
      </c>
      <c r="L288">
        <v>0</v>
      </c>
      <c r="M288">
        <v>0</v>
      </c>
      <c r="N288">
        <v>0</v>
      </c>
      <c r="O288" s="1" t="s">
        <v>18</v>
      </c>
      <c r="P288" s="1" t="s">
        <v>137</v>
      </c>
      <c r="Q288">
        <v>920</v>
      </c>
      <c r="R288" s="1" t="s">
        <v>63</v>
      </c>
      <c r="S288">
        <v>24</v>
      </c>
      <c r="T288">
        <v>1</v>
      </c>
      <c r="U288">
        <v>4</v>
      </c>
      <c r="V288">
        <v>43</v>
      </c>
      <c r="W288">
        <v>3</v>
      </c>
      <c r="X288">
        <v>1</v>
      </c>
      <c r="Y288" s="1" t="s">
        <v>6</v>
      </c>
      <c r="Z288">
        <v>3</v>
      </c>
      <c r="AA288">
        <v>3161</v>
      </c>
      <c r="AB288">
        <v>19920</v>
      </c>
      <c r="AC288" s="1" t="s">
        <v>18</v>
      </c>
      <c r="AD288">
        <v>22</v>
      </c>
      <c r="AE288">
        <v>4</v>
      </c>
      <c r="AF288">
        <v>4</v>
      </c>
      <c r="AG288">
        <v>80</v>
      </c>
      <c r="AH288">
        <v>1</v>
      </c>
      <c r="AI288">
        <v>1</v>
      </c>
      <c r="AJ288">
        <v>1</v>
      </c>
      <c r="AK288" s="1" t="s">
        <v>136</v>
      </c>
    </row>
    <row r="289" spans="1:37" x14ac:dyDescent="0.25">
      <c r="A289">
        <v>393</v>
      </c>
      <c r="B289">
        <v>38</v>
      </c>
      <c r="C289" s="1" t="s">
        <v>25</v>
      </c>
      <c r="D289" s="1" t="s">
        <v>69</v>
      </c>
      <c r="E289">
        <v>4</v>
      </c>
      <c r="F289" s="1" t="s">
        <v>134</v>
      </c>
      <c r="G289">
        <v>9</v>
      </c>
      <c r="H289" s="1" t="s">
        <v>18</v>
      </c>
      <c r="I289">
        <v>10</v>
      </c>
      <c r="J289">
        <v>2</v>
      </c>
      <c r="K289">
        <v>2</v>
      </c>
      <c r="L289">
        <v>2</v>
      </c>
      <c r="M289">
        <v>1</v>
      </c>
      <c r="N289">
        <v>2</v>
      </c>
      <c r="O289" s="1" t="s">
        <v>19</v>
      </c>
      <c r="P289" s="1" t="s">
        <v>135</v>
      </c>
      <c r="Q289">
        <v>688</v>
      </c>
      <c r="R289" s="1" t="s">
        <v>63</v>
      </c>
      <c r="S289">
        <v>23</v>
      </c>
      <c r="T289">
        <v>1</v>
      </c>
      <c r="U289">
        <v>4</v>
      </c>
      <c r="V289">
        <v>82</v>
      </c>
      <c r="W289">
        <v>3</v>
      </c>
      <c r="X289">
        <v>2</v>
      </c>
      <c r="Y289" s="1" t="s">
        <v>8</v>
      </c>
      <c r="Z289">
        <v>4</v>
      </c>
      <c r="AA289">
        <v>5745</v>
      </c>
      <c r="AB289">
        <v>18899</v>
      </c>
      <c r="AC289" s="1" t="s">
        <v>19</v>
      </c>
      <c r="AD289">
        <v>14</v>
      </c>
      <c r="AE289">
        <v>3</v>
      </c>
      <c r="AF289">
        <v>2</v>
      </c>
      <c r="AG289">
        <v>80</v>
      </c>
      <c r="AH289">
        <v>1</v>
      </c>
      <c r="AI289">
        <v>3</v>
      </c>
      <c r="AJ289">
        <v>0</v>
      </c>
      <c r="AK289" s="1" t="s">
        <v>136</v>
      </c>
    </row>
    <row r="290" spans="1:37" x14ac:dyDescent="0.25">
      <c r="A290">
        <v>394</v>
      </c>
      <c r="B290">
        <v>26</v>
      </c>
      <c r="C290" s="1" t="s">
        <v>25</v>
      </c>
      <c r="D290" s="1" t="s">
        <v>69</v>
      </c>
      <c r="E290">
        <v>4</v>
      </c>
      <c r="F290" s="1" t="s">
        <v>139</v>
      </c>
      <c r="G290">
        <v>2</v>
      </c>
      <c r="H290" s="1" t="s">
        <v>18</v>
      </c>
      <c r="I290">
        <v>5</v>
      </c>
      <c r="J290">
        <v>2</v>
      </c>
      <c r="K290">
        <v>3</v>
      </c>
      <c r="L290">
        <v>2</v>
      </c>
      <c r="M290">
        <v>0</v>
      </c>
      <c r="N290">
        <v>2</v>
      </c>
      <c r="O290" s="1" t="s">
        <v>18</v>
      </c>
      <c r="P290" s="1" t="s">
        <v>135</v>
      </c>
      <c r="Q290">
        <v>1449</v>
      </c>
      <c r="R290" s="1" t="s">
        <v>63</v>
      </c>
      <c r="S290">
        <v>16</v>
      </c>
      <c r="T290">
        <v>1</v>
      </c>
      <c r="U290">
        <v>1</v>
      </c>
      <c r="V290">
        <v>45</v>
      </c>
      <c r="W290">
        <v>3</v>
      </c>
      <c r="X290">
        <v>1</v>
      </c>
      <c r="Y290" s="1" t="s">
        <v>6</v>
      </c>
      <c r="Z290">
        <v>2</v>
      </c>
      <c r="AA290">
        <v>2373</v>
      </c>
      <c r="AB290">
        <v>14180</v>
      </c>
      <c r="AC290" s="1" t="s">
        <v>18</v>
      </c>
      <c r="AD290">
        <v>13</v>
      </c>
      <c r="AE290">
        <v>3</v>
      </c>
      <c r="AF290">
        <v>4</v>
      </c>
      <c r="AG290">
        <v>80</v>
      </c>
      <c r="AH290">
        <v>1</v>
      </c>
      <c r="AI290">
        <v>3</v>
      </c>
      <c r="AJ290">
        <v>1</v>
      </c>
      <c r="AK290" s="1" t="s">
        <v>136</v>
      </c>
    </row>
    <row r="291" spans="1:37" x14ac:dyDescent="0.25">
      <c r="A291">
        <v>395</v>
      </c>
      <c r="B291">
        <v>28</v>
      </c>
      <c r="C291" s="1" t="s">
        <v>24</v>
      </c>
      <c r="D291" s="1" t="s">
        <v>71</v>
      </c>
      <c r="E291">
        <v>2</v>
      </c>
      <c r="F291" s="1" t="s">
        <v>134</v>
      </c>
      <c r="G291">
        <v>1</v>
      </c>
      <c r="H291" s="1" t="s">
        <v>18</v>
      </c>
      <c r="I291">
        <v>5</v>
      </c>
      <c r="J291">
        <v>3</v>
      </c>
      <c r="K291">
        <v>5</v>
      </c>
      <c r="L291">
        <v>3</v>
      </c>
      <c r="M291">
        <v>0</v>
      </c>
      <c r="N291">
        <v>2</v>
      </c>
      <c r="O291" s="1" t="s">
        <v>19</v>
      </c>
      <c r="P291" s="1" t="s">
        <v>135</v>
      </c>
      <c r="Q291">
        <v>1117</v>
      </c>
      <c r="R291" s="1" t="s">
        <v>63</v>
      </c>
      <c r="S291">
        <v>8</v>
      </c>
      <c r="T291">
        <v>1</v>
      </c>
      <c r="U291">
        <v>4</v>
      </c>
      <c r="V291">
        <v>66</v>
      </c>
      <c r="W291">
        <v>3</v>
      </c>
      <c r="X291">
        <v>1</v>
      </c>
      <c r="Y291" s="1" t="s">
        <v>5</v>
      </c>
      <c r="Z291">
        <v>4</v>
      </c>
      <c r="AA291">
        <v>3310</v>
      </c>
      <c r="AB291">
        <v>4488</v>
      </c>
      <c r="AC291" s="1" t="s">
        <v>19</v>
      </c>
      <c r="AD291">
        <v>21</v>
      </c>
      <c r="AE291">
        <v>4</v>
      </c>
      <c r="AF291">
        <v>4</v>
      </c>
      <c r="AG291">
        <v>80</v>
      </c>
      <c r="AH291">
        <v>0</v>
      </c>
      <c r="AI291">
        <v>3</v>
      </c>
      <c r="AJ291">
        <v>0</v>
      </c>
      <c r="AK291" s="1" t="s">
        <v>136</v>
      </c>
    </row>
    <row r="292" spans="1:37" x14ac:dyDescent="0.25">
      <c r="A292">
        <v>396</v>
      </c>
      <c r="B292">
        <v>49</v>
      </c>
      <c r="C292" s="1" t="s">
        <v>24</v>
      </c>
      <c r="D292" s="1" t="s">
        <v>71</v>
      </c>
      <c r="E292">
        <v>4</v>
      </c>
      <c r="F292" s="1" t="s">
        <v>134</v>
      </c>
      <c r="G292">
        <v>9</v>
      </c>
      <c r="H292" s="1" t="s">
        <v>18</v>
      </c>
      <c r="I292">
        <v>22</v>
      </c>
      <c r="J292">
        <v>4</v>
      </c>
      <c r="K292">
        <v>3</v>
      </c>
      <c r="L292">
        <v>2</v>
      </c>
      <c r="M292">
        <v>1</v>
      </c>
      <c r="N292">
        <v>2</v>
      </c>
      <c r="O292" s="1" t="s">
        <v>19</v>
      </c>
      <c r="P292" s="1" t="s">
        <v>137</v>
      </c>
      <c r="Q292">
        <v>636</v>
      </c>
      <c r="R292" s="1" t="s">
        <v>63</v>
      </c>
      <c r="S292">
        <v>10</v>
      </c>
      <c r="T292">
        <v>1</v>
      </c>
      <c r="U292">
        <v>3</v>
      </c>
      <c r="V292">
        <v>35</v>
      </c>
      <c r="W292">
        <v>3</v>
      </c>
      <c r="X292">
        <v>5</v>
      </c>
      <c r="Y292" s="1" t="s">
        <v>11</v>
      </c>
      <c r="Z292">
        <v>1</v>
      </c>
      <c r="AA292">
        <v>18665</v>
      </c>
      <c r="AB292">
        <v>25594</v>
      </c>
      <c r="AC292" s="1" t="s">
        <v>18</v>
      </c>
      <c r="AD292">
        <v>11</v>
      </c>
      <c r="AE292">
        <v>3</v>
      </c>
      <c r="AF292">
        <v>4</v>
      </c>
      <c r="AG292">
        <v>80</v>
      </c>
      <c r="AH292">
        <v>0</v>
      </c>
      <c r="AI292">
        <v>3</v>
      </c>
      <c r="AJ292">
        <v>0</v>
      </c>
      <c r="AK292" s="1" t="s">
        <v>136</v>
      </c>
    </row>
    <row r="293" spans="1:37" x14ac:dyDescent="0.25">
      <c r="A293">
        <v>397</v>
      </c>
      <c r="B293">
        <v>36</v>
      </c>
      <c r="C293" s="1" t="s">
        <v>25</v>
      </c>
      <c r="D293" s="1" t="s">
        <v>71</v>
      </c>
      <c r="E293">
        <v>3</v>
      </c>
      <c r="F293" s="1" t="s">
        <v>143</v>
      </c>
      <c r="G293">
        <v>4</v>
      </c>
      <c r="H293" s="1" t="s">
        <v>18</v>
      </c>
      <c r="I293">
        <v>10</v>
      </c>
      <c r="J293">
        <v>2</v>
      </c>
      <c r="K293">
        <v>8</v>
      </c>
      <c r="L293">
        <v>0</v>
      </c>
      <c r="M293">
        <v>7</v>
      </c>
      <c r="N293">
        <v>7</v>
      </c>
      <c r="O293" s="1" t="s">
        <v>19</v>
      </c>
      <c r="P293" s="1" t="s">
        <v>135</v>
      </c>
      <c r="Q293">
        <v>506</v>
      </c>
      <c r="R293" s="1" t="s">
        <v>63</v>
      </c>
      <c r="S293">
        <v>3</v>
      </c>
      <c r="T293">
        <v>1</v>
      </c>
      <c r="U293">
        <v>3</v>
      </c>
      <c r="V293">
        <v>30</v>
      </c>
      <c r="W293">
        <v>3</v>
      </c>
      <c r="X293">
        <v>2</v>
      </c>
      <c r="Y293" s="1" t="s">
        <v>5</v>
      </c>
      <c r="Z293">
        <v>2</v>
      </c>
      <c r="AA293">
        <v>4485</v>
      </c>
      <c r="AB293">
        <v>26285</v>
      </c>
      <c r="AC293" s="1" t="s">
        <v>19</v>
      </c>
      <c r="AD293">
        <v>12</v>
      </c>
      <c r="AE293">
        <v>3</v>
      </c>
      <c r="AF293">
        <v>4</v>
      </c>
      <c r="AG293">
        <v>80</v>
      </c>
      <c r="AH293">
        <v>0</v>
      </c>
      <c r="AI293">
        <v>3</v>
      </c>
      <c r="AJ293">
        <v>0</v>
      </c>
      <c r="AK293" s="1" t="s">
        <v>136</v>
      </c>
    </row>
    <row r="294" spans="1:37" x14ac:dyDescent="0.25">
      <c r="A294">
        <v>399</v>
      </c>
      <c r="B294">
        <v>31</v>
      </c>
      <c r="C294" s="1" t="s">
        <v>24</v>
      </c>
      <c r="D294" s="1" t="s">
        <v>69</v>
      </c>
      <c r="E294">
        <v>3</v>
      </c>
      <c r="F294" s="1" t="s">
        <v>142</v>
      </c>
      <c r="G294">
        <v>1</v>
      </c>
      <c r="H294" s="1" t="s">
        <v>18</v>
      </c>
      <c r="I294">
        <v>2</v>
      </c>
      <c r="J294">
        <v>5</v>
      </c>
      <c r="K294">
        <v>2</v>
      </c>
      <c r="L294">
        <v>2</v>
      </c>
      <c r="M294">
        <v>2</v>
      </c>
      <c r="N294">
        <v>2</v>
      </c>
      <c r="O294" s="1" t="s">
        <v>19</v>
      </c>
      <c r="P294" s="1" t="s">
        <v>137</v>
      </c>
      <c r="Q294">
        <v>444</v>
      </c>
      <c r="R294" s="1" t="s">
        <v>64</v>
      </c>
      <c r="S294">
        <v>5</v>
      </c>
      <c r="T294">
        <v>1</v>
      </c>
      <c r="U294">
        <v>4</v>
      </c>
      <c r="V294">
        <v>84</v>
      </c>
      <c r="W294">
        <v>3</v>
      </c>
      <c r="X294">
        <v>1</v>
      </c>
      <c r="Y294" s="1" t="s">
        <v>10</v>
      </c>
      <c r="Z294">
        <v>2</v>
      </c>
      <c r="AA294">
        <v>2789</v>
      </c>
      <c r="AB294">
        <v>3909</v>
      </c>
      <c r="AC294" s="1" t="s">
        <v>19</v>
      </c>
      <c r="AD294">
        <v>11</v>
      </c>
      <c r="AE294">
        <v>3</v>
      </c>
      <c r="AF294">
        <v>3</v>
      </c>
      <c r="AG294">
        <v>80</v>
      </c>
      <c r="AH294">
        <v>1</v>
      </c>
      <c r="AI294">
        <v>2</v>
      </c>
      <c r="AJ294">
        <v>0</v>
      </c>
      <c r="AK294" s="1" t="s">
        <v>136</v>
      </c>
    </row>
    <row r="295" spans="1:37" x14ac:dyDescent="0.25">
      <c r="A295">
        <v>401</v>
      </c>
      <c r="B295">
        <v>26</v>
      </c>
      <c r="C295" s="1" t="s">
        <v>25</v>
      </c>
      <c r="D295" s="1" t="s">
        <v>71</v>
      </c>
      <c r="E295">
        <v>4</v>
      </c>
      <c r="F295" s="1" t="s">
        <v>142</v>
      </c>
      <c r="G295">
        <v>1</v>
      </c>
      <c r="H295" s="1" t="s">
        <v>18</v>
      </c>
      <c r="I295">
        <v>8</v>
      </c>
      <c r="J295">
        <v>0</v>
      </c>
      <c r="K295">
        <v>8</v>
      </c>
      <c r="L295">
        <v>7</v>
      </c>
      <c r="M295">
        <v>7</v>
      </c>
      <c r="N295">
        <v>4</v>
      </c>
      <c r="O295" s="1" t="s">
        <v>18</v>
      </c>
      <c r="P295" s="1" t="s">
        <v>135</v>
      </c>
      <c r="Q295">
        <v>950</v>
      </c>
      <c r="R295" s="1" t="s">
        <v>64</v>
      </c>
      <c r="S295">
        <v>4</v>
      </c>
      <c r="T295">
        <v>1</v>
      </c>
      <c r="U295">
        <v>4</v>
      </c>
      <c r="V295">
        <v>48</v>
      </c>
      <c r="W295">
        <v>2</v>
      </c>
      <c r="X295">
        <v>2</v>
      </c>
      <c r="Y295" s="1" t="s">
        <v>4</v>
      </c>
      <c r="Z295">
        <v>4</v>
      </c>
      <c r="AA295">
        <v>5828</v>
      </c>
      <c r="AB295">
        <v>8450</v>
      </c>
      <c r="AC295" s="1" t="s">
        <v>18</v>
      </c>
      <c r="AD295">
        <v>12</v>
      </c>
      <c r="AE295">
        <v>3</v>
      </c>
      <c r="AF295">
        <v>2</v>
      </c>
      <c r="AG295">
        <v>80</v>
      </c>
      <c r="AH295">
        <v>0</v>
      </c>
      <c r="AI295">
        <v>3</v>
      </c>
      <c r="AJ295">
        <v>1</v>
      </c>
      <c r="AK295" s="1" t="s">
        <v>136</v>
      </c>
    </row>
    <row r="296" spans="1:37" x14ac:dyDescent="0.25">
      <c r="A296">
        <v>403</v>
      </c>
      <c r="B296">
        <v>37</v>
      </c>
      <c r="C296" s="1" t="s">
        <v>25</v>
      </c>
      <c r="D296" s="1" t="s">
        <v>70</v>
      </c>
      <c r="E296">
        <v>3</v>
      </c>
      <c r="F296" s="1" t="s">
        <v>139</v>
      </c>
      <c r="G296">
        <v>1</v>
      </c>
      <c r="H296" s="1" t="s">
        <v>18</v>
      </c>
      <c r="I296">
        <v>4</v>
      </c>
      <c r="J296">
        <v>3</v>
      </c>
      <c r="K296">
        <v>4</v>
      </c>
      <c r="L296">
        <v>2</v>
      </c>
      <c r="M296">
        <v>1</v>
      </c>
      <c r="N296">
        <v>2</v>
      </c>
      <c r="O296" s="1" t="s">
        <v>19</v>
      </c>
      <c r="P296" s="1" t="s">
        <v>137</v>
      </c>
      <c r="Q296">
        <v>889</v>
      </c>
      <c r="R296" s="1" t="s">
        <v>63</v>
      </c>
      <c r="S296">
        <v>9</v>
      </c>
      <c r="T296">
        <v>1</v>
      </c>
      <c r="U296">
        <v>2</v>
      </c>
      <c r="V296">
        <v>53</v>
      </c>
      <c r="W296">
        <v>3</v>
      </c>
      <c r="X296">
        <v>1</v>
      </c>
      <c r="Y296" s="1" t="s">
        <v>5</v>
      </c>
      <c r="Z296">
        <v>4</v>
      </c>
      <c r="AA296">
        <v>2326</v>
      </c>
      <c r="AB296">
        <v>11411</v>
      </c>
      <c r="AC296" s="1" t="s">
        <v>18</v>
      </c>
      <c r="AD296">
        <v>12</v>
      </c>
      <c r="AE296">
        <v>3</v>
      </c>
      <c r="AF296">
        <v>3</v>
      </c>
      <c r="AG296">
        <v>80</v>
      </c>
      <c r="AH296">
        <v>3</v>
      </c>
      <c r="AI296">
        <v>2</v>
      </c>
      <c r="AJ296">
        <v>0</v>
      </c>
      <c r="AK296" s="1" t="s">
        <v>136</v>
      </c>
    </row>
    <row r="297" spans="1:37" x14ac:dyDescent="0.25">
      <c r="A297">
        <v>404</v>
      </c>
      <c r="B297">
        <v>42</v>
      </c>
      <c r="C297" s="1" t="s">
        <v>24</v>
      </c>
      <c r="D297" s="1" t="s">
        <v>70</v>
      </c>
      <c r="E297">
        <v>3</v>
      </c>
      <c r="F297" s="1" t="s">
        <v>142</v>
      </c>
      <c r="G297">
        <v>5</v>
      </c>
      <c r="H297" s="1" t="s">
        <v>18</v>
      </c>
      <c r="I297">
        <v>23</v>
      </c>
      <c r="J297">
        <v>2</v>
      </c>
      <c r="K297">
        <v>20</v>
      </c>
      <c r="L297">
        <v>4</v>
      </c>
      <c r="M297">
        <v>4</v>
      </c>
      <c r="N297">
        <v>8</v>
      </c>
      <c r="O297" s="1" t="s">
        <v>19</v>
      </c>
      <c r="P297" s="1" t="s">
        <v>137</v>
      </c>
      <c r="Q297">
        <v>555</v>
      </c>
      <c r="R297" s="1" t="s">
        <v>64</v>
      </c>
      <c r="S297">
        <v>26</v>
      </c>
      <c r="T297">
        <v>1</v>
      </c>
      <c r="U297">
        <v>3</v>
      </c>
      <c r="V297">
        <v>77</v>
      </c>
      <c r="W297">
        <v>3</v>
      </c>
      <c r="X297">
        <v>4</v>
      </c>
      <c r="Y297" s="1" t="s">
        <v>4</v>
      </c>
      <c r="Z297">
        <v>2</v>
      </c>
      <c r="AA297">
        <v>13525</v>
      </c>
      <c r="AB297">
        <v>14864</v>
      </c>
      <c r="AC297" s="1" t="s">
        <v>19</v>
      </c>
      <c r="AD297">
        <v>14</v>
      </c>
      <c r="AE297">
        <v>3</v>
      </c>
      <c r="AF297">
        <v>4</v>
      </c>
      <c r="AG297">
        <v>80</v>
      </c>
      <c r="AH297">
        <v>1</v>
      </c>
      <c r="AI297">
        <v>4</v>
      </c>
      <c r="AJ297">
        <v>0</v>
      </c>
      <c r="AK297" s="1" t="s">
        <v>136</v>
      </c>
    </row>
    <row r="298" spans="1:37" x14ac:dyDescent="0.25">
      <c r="A298">
        <v>405</v>
      </c>
      <c r="B298">
        <v>18</v>
      </c>
      <c r="C298" s="1" t="s">
        <v>25</v>
      </c>
      <c r="D298" s="1" t="s">
        <v>71</v>
      </c>
      <c r="E298">
        <v>3</v>
      </c>
      <c r="F298" s="1" t="s">
        <v>134</v>
      </c>
      <c r="G298">
        <v>1</v>
      </c>
      <c r="H298" s="1" t="s">
        <v>18</v>
      </c>
      <c r="I298">
        <v>0</v>
      </c>
      <c r="J298">
        <v>2</v>
      </c>
      <c r="K298">
        <v>0</v>
      </c>
      <c r="L298">
        <v>0</v>
      </c>
      <c r="M298">
        <v>0</v>
      </c>
      <c r="N298">
        <v>0</v>
      </c>
      <c r="O298" s="1" t="s">
        <v>18</v>
      </c>
      <c r="P298" s="1" t="s">
        <v>135</v>
      </c>
      <c r="Q298">
        <v>230</v>
      </c>
      <c r="R298" s="1" t="s">
        <v>63</v>
      </c>
      <c r="S298">
        <v>3</v>
      </c>
      <c r="T298">
        <v>1</v>
      </c>
      <c r="U298">
        <v>3</v>
      </c>
      <c r="V298">
        <v>54</v>
      </c>
      <c r="W298">
        <v>3</v>
      </c>
      <c r="X298">
        <v>1</v>
      </c>
      <c r="Y298" s="1" t="s">
        <v>6</v>
      </c>
      <c r="Z298">
        <v>3</v>
      </c>
      <c r="AA298">
        <v>1420</v>
      </c>
      <c r="AB298">
        <v>25233</v>
      </c>
      <c r="AC298" s="1" t="s">
        <v>19</v>
      </c>
      <c r="AD298">
        <v>13</v>
      </c>
      <c r="AE298">
        <v>3</v>
      </c>
      <c r="AF298">
        <v>3</v>
      </c>
      <c r="AG298">
        <v>80</v>
      </c>
      <c r="AH298">
        <v>0</v>
      </c>
      <c r="AI298">
        <v>3</v>
      </c>
      <c r="AJ298">
        <v>1</v>
      </c>
      <c r="AK298" s="1" t="s">
        <v>136</v>
      </c>
    </row>
    <row r="299" spans="1:37" x14ac:dyDescent="0.25">
      <c r="A299">
        <v>406</v>
      </c>
      <c r="B299">
        <v>35</v>
      </c>
      <c r="C299" s="1" t="s">
        <v>25</v>
      </c>
      <c r="D299" s="1" t="s">
        <v>70</v>
      </c>
      <c r="E299">
        <v>3</v>
      </c>
      <c r="F299" s="1" t="s">
        <v>142</v>
      </c>
      <c r="G299">
        <v>0</v>
      </c>
      <c r="H299" s="1" t="s">
        <v>18</v>
      </c>
      <c r="I299">
        <v>12</v>
      </c>
      <c r="J299">
        <v>3</v>
      </c>
      <c r="K299">
        <v>11</v>
      </c>
      <c r="L299">
        <v>9</v>
      </c>
      <c r="M299">
        <v>6</v>
      </c>
      <c r="N299">
        <v>9</v>
      </c>
      <c r="O299" s="1" t="s">
        <v>19</v>
      </c>
      <c r="P299" s="1" t="s">
        <v>135</v>
      </c>
      <c r="Q299">
        <v>1232</v>
      </c>
      <c r="R299" s="1" t="s">
        <v>64</v>
      </c>
      <c r="S299">
        <v>16</v>
      </c>
      <c r="T299">
        <v>1</v>
      </c>
      <c r="U299">
        <v>3</v>
      </c>
      <c r="V299">
        <v>96</v>
      </c>
      <c r="W299">
        <v>3</v>
      </c>
      <c r="X299">
        <v>3</v>
      </c>
      <c r="Y299" s="1" t="s">
        <v>4</v>
      </c>
      <c r="Z299">
        <v>2</v>
      </c>
      <c r="AA299">
        <v>8020</v>
      </c>
      <c r="AB299">
        <v>5100</v>
      </c>
      <c r="AC299" s="1" t="s">
        <v>19</v>
      </c>
      <c r="AD299">
        <v>15</v>
      </c>
      <c r="AE299">
        <v>3</v>
      </c>
      <c r="AF299">
        <v>3</v>
      </c>
      <c r="AG299">
        <v>80</v>
      </c>
      <c r="AH299">
        <v>2</v>
      </c>
      <c r="AI299">
        <v>2</v>
      </c>
      <c r="AJ299">
        <v>0</v>
      </c>
      <c r="AK299" s="1" t="s">
        <v>136</v>
      </c>
    </row>
    <row r="300" spans="1:37" x14ac:dyDescent="0.25">
      <c r="A300">
        <v>407</v>
      </c>
      <c r="B300">
        <v>36</v>
      </c>
      <c r="C300" s="1" t="s">
        <v>25</v>
      </c>
      <c r="D300" s="1" t="s">
        <v>70</v>
      </c>
      <c r="E300">
        <v>4</v>
      </c>
      <c r="F300" s="1" t="s">
        <v>134</v>
      </c>
      <c r="G300">
        <v>4</v>
      </c>
      <c r="H300" s="1" t="s">
        <v>18</v>
      </c>
      <c r="I300">
        <v>4</v>
      </c>
      <c r="J300">
        <v>2</v>
      </c>
      <c r="K300">
        <v>1</v>
      </c>
      <c r="L300">
        <v>0</v>
      </c>
      <c r="M300">
        <v>0</v>
      </c>
      <c r="N300">
        <v>0</v>
      </c>
      <c r="O300" s="1" t="s">
        <v>19</v>
      </c>
      <c r="P300" s="1" t="s">
        <v>137</v>
      </c>
      <c r="Q300">
        <v>566</v>
      </c>
      <c r="R300" s="1" t="s">
        <v>63</v>
      </c>
      <c r="S300">
        <v>18</v>
      </c>
      <c r="T300">
        <v>1</v>
      </c>
      <c r="U300">
        <v>3</v>
      </c>
      <c r="V300">
        <v>81</v>
      </c>
      <c r="W300">
        <v>4</v>
      </c>
      <c r="X300">
        <v>1</v>
      </c>
      <c r="Y300" s="1" t="s">
        <v>6</v>
      </c>
      <c r="Z300">
        <v>4</v>
      </c>
      <c r="AA300">
        <v>3688</v>
      </c>
      <c r="AB300">
        <v>7122</v>
      </c>
      <c r="AC300" s="1" t="s">
        <v>19</v>
      </c>
      <c r="AD300">
        <v>18</v>
      </c>
      <c r="AE300">
        <v>3</v>
      </c>
      <c r="AF300">
        <v>4</v>
      </c>
      <c r="AG300">
        <v>80</v>
      </c>
      <c r="AH300">
        <v>2</v>
      </c>
      <c r="AI300">
        <v>3</v>
      </c>
      <c r="AJ300">
        <v>0</v>
      </c>
      <c r="AK300" s="1" t="s">
        <v>136</v>
      </c>
    </row>
    <row r="301" spans="1:37" x14ac:dyDescent="0.25">
      <c r="A301">
        <v>408</v>
      </c>
      <c r="B301">
        <v>51</v>
      </c>
      <c r="C301" s="1" t="s">
        <v>25</v>
      </c>
      <c r="D301" s="1" t="s">
        <v>69</v>
      </c>
      <c r="E301">
        <v>3</v>
      </c>
      <c r="F301" s="1" t="s">
        <v>139</v>
      </c>
      <c r="G301">
        <v>5</v>
      </c>
      <c r="H301" s="1" t="s">
        <v>18</v>
      </c>
      <c r="I301">
        <v>13</v>
      </c>
      <c r="J301">
        <v>3</v>
      </c>
      <c r="K301">
        <v>4</v>
      </c>
      <c r="L301">
        <v>1</v>
      </c>
      <c r="M301">
        <v>1</v>
      </c>
      <c r="N301">
        <v>2</v>
      </c>
      <c r="O301" s="1" t="s">
        <v>19</v>
      </c>
      <c r="P301" s="1" t="s">
        <v>135</v>
      </c>
      <c r="Q301">
        <v>1302</v>
      </c>
      <c r="R301" s="1" t="s">
        <v>63</v>
      </c>
      <c r="S301">
        <v>2</v>
      </c>
      <c r="T301">
        <v>1</v>
      </c>
      <c r="U301">
        <v>4</v>
      </c>
      <c r="V301">
        <v>84</v>
      </c>
      <c r="W301">
        <v>1</v>
      </c>
      <c r="X301">
        <v>2</v>
      </c>
      <c r="Y301" s="1" t="s">
        <v>7</v>
      </c>
      <c r="Z301">
        <v>2</v>
      </c>
      <c r="AA301">
        <v>5482</v>
      </c>
      <c r="AB301">
        <v>16321</v>
      </c>
      <c r="AC301" s="1" t="s">
        <v>19</v>
      </c>
      <c r="AD301">
        <v>18</v>
      </c>
      <c r="AE301">
        <v>3</v>
      </c>
      <c r="AF301">
        <v>4</v>
      </c>
      <c r="AG301">
        <v>80</v>
      </c>
      <c r="AH301">
        <v>1</v>
      </c>
      <c r="AI301">
        <v>3</v>
      </c>
      <c r="AJ301">
        <v>0</v>
      </c>
      <c r="AK301" s="1" t="s">
        <v>140</v>
      </c>
    </row>
    <row r="302" spans="1:37" x14ac:dyDescent="0.25">
      <c r="A302">
        <v>410</v>
      </c>
      <c r="B302">
        <v>41</v>
      </c>
      <c r="C302" s="1" t="s">
        <v>25</v>
      </c>
      <c r="D302" s="1" t="s">
        <v>71</v>
      </c>
      <c r="E302">
        <v>4</v>
      </c>
      <c r="F302" s="1" t="s">
        <v>134</v>
      </c>
      <c r="G302">
        <v>1</v>
      </c>
      <c r="H302" s="1" t="s">
        <v>18</v>
      </c>
      <c r="I302">
        <v>22</v>
      </c>
      <c r="J302">
        <v>2</v>
      </c>
      <c r="K302">
        <v>22</v>
      </c>
      <c r="L302">
        <v>10</v>
      </c>
      <c r="M302">
        <v>0</v>
      </c>
      <c r="N302">
        <v>4</v>
      </c>
      <c r="O302" s="1" t="s">
        <v>19</v>
      </c>
      <c r="P302" s="1" t="s">
        <v>135</v>
      </c>
      <c r="Q302">
        <v>334</v>
      </c>
      <c r="R302" s="1" t="s">
        <v>64</v>
      </c>
      <c r="S302">
        <v>2</v>
      </c>
      <c r="T302">
        <v>1</v>
      </c>
      <c r="U302">
        <v>4</v>
      </c>
      <c r="V302">
        <v>88</v>
      </c>
      <c r="W302">
        <v>3</v>
      </c>
      <c r="X302">
        <v>4</v>
      </c>
      <c r="Y302" s="1" t="s">
        <v>9</v>
      </c>
      <c r="Z302">
        <v>2</v>
      </c>
      <c r="AA302">
        <v>16015</v>
      </c>
      <c r="AB302">
        <v>15896</v>
      </c>
      <c r="AC302" s="1" t="s">
        <v>19</v>
      </c>
      <c r="AD302">
        <v>19</v>
      </c>
      <c r="AE302">
        <v>3</v>
      </c>
      <c r="AF302">
        <v>2</v>
      </c>
      <c r="AG302">
        <v>80</v>
      </c>
      <c r="AH302">
        <v>0</v>
      </c>
      <c r="AI302">
        <v>3</v>
      </c>
      <c r="AJ302">
        <v>0</v>
      </c>
      <c r="AK302" s="1" t="s">
        <v>136</v>
      </c>
    </row>
    <row r="303" spans="1:37" x14ac:dyDescent="0.25">
      <c r="A303">
        <v>411</v>
      </c>
      <c r="B303">
        <v>18</v>
      </c>
      <c r="C303" s="1" t="s">
        <v>24</v>
      </c>
      <c r="D303" s="1" t="s">
        <v>71</v>
      </c>
      <c r="E303">
        <v>3</v>
      </c>
      <c r="F303" s="1" t="s">
        <v>139</v>
      </c>
      <c r="G303">
        <v>1</v>
      </c>
      <c r="H303" s="1" t="s">
        <v>18</v>
      </c>
      <c r="I303">
        <v>0</v>
      </c>
      <c r="J303">
        <v>2</v>
      </c>
      <c r="K303">
        <v>0</v>
      </c>
      <c r="L303">
        <v>0</v>
      </c>
      <c r="M303">
        <v>0</v>
      </c>
      <c r="N303">
        <v>0</v>
      </c>
      <c r="O303" s="1" t="s">
        <v>19</v>
      </c>
      <c r="P303" s="1" t="s">
        <v>135</v>
      </c>
      <c r="Q303">
        <v>812</v>
      </c>
      <c r="R303" s="1" t="s">
        <v>64</v>
      </c>
      <c r="S303">
        <v>10</v>
      </c>
      <c r="T303">
        <v>1</v>
      </c>
      <c r="U303">
        <v>4</v>
      </c>
      <c r="V303">
        <v>69</v>
      </c>
      <c r="W303">
        <v>2</v>
      </c>
      <c r="X303">
        <v>1</v>
      </c>
      <c r="Y303" s="1" t="s">
        <v>10</v>
      </c>
      <c r="Z303">
        <v>3</v>
      </c>
      <c r="AA303">
        <v>1200</v>
      </c>
      <c r="AB303">
        <v>9724</v>
      </c>
      <c r="AC303" s="1" t="s">
        <v>19</v>
      </c>
      <c r="AD303">
        <v>12</v>
      </c>
      <c r="AE303">
        <v>3</v>
      </c>
      <c r="AF303">
        <v>1</v>
      </c>
      <c r="AG303">
        <v>80</v>
      </c>
      <c r="AH303">
        <v>0</v>
      </c>
      <c r="AI303">
        <v>3</v>
      </c>
      <c r="AJ303">
        <v>0</v>
      </c>
      <c r="AK303" s="1" t="s">
        <v>136</v>
      </c>
    </row>
    <row r="304" spans="1:37" x14ac:dyDescent="0.25">
      <c r="A304">
        <v>412</v>
      </c>
      <c r="B304">
        <v>28</v>
      </c>
      <c r="C304" s="1" t="s">
        <v>25</v>
      </c>
      <c r="D304" s="1" t="s">
        <v>71</v>
      </c>
      <c r="E304">
        <v>2</v>
      </c>
      <c r="F304" s="1" t="s">
        <v>139</v>
      </c>
      <c r="G304">
        <v>0</v>
      </c>
      <c r="H304" s="1" t="s">
        <v>18</v>
      </c>
      <c r="I304">
        <v>9</v>
      </c>
      <c r="J304">
        <v>2</v>
      </c>
      <c r="K304">
        <v>8</v>
      </c>
      <c r="L304">
        <v>3</v>
      </c>
      <c r="M304">
        <v>0</v>
      </c>
      <c r="N304">
        <v>7</v>
      </c>
      <c r="O304" s="1" t="s">
        <v>19</v>
      </c>
      <c r="P304" s="1" t="s">
        <v>135</v>
      </c>
      <c r="Q304">
        <v>1476</v>
      </c>
      <c r="R304" s="1" t="s">
        <v>63</v>
      </c>
      <c r="S304">
        <v>16</v>
      </c>
      <c r="T304">
        <v>1</v>
      </c>
      <c r="U304">
        <v>2</v>
      </c>
      <c r="V304">
        <v>68</v>
      </c>
      <c r="W304">
        <v>4</v>
      </c>
      <c r="X304">
        <v>2</v>
      </c>
      <c r="Y304" s="1" t="s">
        <v>8</v>
      </c>
      <c r="Z304">
        <v>1</v>
      </c>
      <c r="AA304">
        <v>5661</v>
      </c>
      <c r="AB304">
        <v>4824</v>
      </c>
      <c r="AC304" s="1" t="s">
        <v>19</v>
      </c>
      <c r="AD304">
        <v>19</v>
      </c>
      <c r="AE304">
        <v>3</v>
      </c>
      <c r="AF304">
        <v>3</v>
      </c>
      <c r="AG304">
        <v>80</v>
      </c>
      <c r="AH304">
        <v>0</v>
      </c>
      <c r="AI304">
        <v>3</v>
      </c>
      <c r="AJ304">
        <v>0</v>
      </c>
      <c r="AK304" s="1" t="s">
        <v>136</v>
      </c>
    </row>
    <row r="305" spans="1:37" x14ac:dyDescent="0.25">
      <c r="A305">
        <v>416</v>
      </c>
      <c r="B305">
        <v>31</v>
      </c>
      <c r="C305" s="1" t="s">
        <v>25</v>
      </c>
      <c r="D305" s="1" t="s">
        <v>70</v>
      </c>
      <c r="E305">
        <v>3</v>
      </c>
      <c r="F305" s="1" t="s">
        <v>143</v>
      </c>
      <c r="G305">
        <v>4</v>
      </c>
      <c r="H305" s="1" t="s">
        <v>18</v>
      </c>
      <c r="I305">
        <v>10</v>
      </c>
      <c r="J305">
        <v>3</v>
      </c>
      <c r="K305">
        <v>8</v>
      </c>
      <c r="L305">
        <v>7</v>
      </c>
      <c r="M305">
        <v>7</v>
      </c>
      <c r="N305">
        <v>7</v>
      </c>
      <c r="O305" s="1" t="s">
        <v>19</v>
      </c>
      <c r="P305" s="1" t="s">
        <v>135</v>
      </c>
      <c r="Q305">
        <v>218</v>
      </c>
      <c r="R305" s="1" t="s">
        <v>64</v>
      </c>
      <c r="S305">
        <v>7</v>
      </c>
      <c r="T305">
        <v>1</v>
      </c>
      <c r="U305">
        <v>2</v>
      </c>
      <c r="V305">
        <v>100</v>
      </c>
      <c r="W305">
        <v>4</v>
      </c>
      <c r="X305">
        <v>2</v>
      </c>
      <c r="Y305" s="1" t="s">
        <v>4</v>
      </c>
      <c r="Z305">
        <v>4</v>
      </c>
      <c r="AA305">
        <v>6929</v>
      </c>
      <c r="AB305">
        <v>12241</v>
      </c>
      <c r="AC305" s="1" t="s">
        <v>19</v>
      </c>
      <c r="AD305">
        <v>11</v>
      </c>
      <c r="AE305">
        <v>3</v>
      </c>
      <c r="AF305">
        <v>2</v>
      </c>
      <c r="AG305">
        <v>80</v>
      </c>
      <c r="AH305">
        <v>1</v>
      </c>
      <c r="AI305">
        <v>2</v>
      </c>
      <c r="AJ305">
        <v>0</v>
      </c>
      <c r="AK305" s="1" t="s">
        <v>136</v>
      </c>
    </row>
    <row r="306" spans="1:37" x14ac:dyDescent="0.25">
      <c r="A306">
        <v>417</v>
      </c>
      <c r="B306">
        <v>39</v>
      </c>
      <c r="C306" s="1" t="s">
        <v>25</v>
      </c>
      <c r="D306" s="1" t="s">
        <v>69</v>
      </c>
      <c r="E306">
        <v>3</v>
      </c>
      <c r="F306" s="1" t="s">
        <v>139</v>
      </c>
      <c r="G306">
        <v>0</v>
      </c>
      <c r="H306" s="1" t="s">
        <v>18</v>
      </c>
      <c r="I306">
        <v>19</v>
      </c>
      <c r="J306">
        <v>5</v>
      </c>
      <c r="K306">
        <v>18</v>
      </c>
      <c r="L306">
        <v>10</v>
      </c>
      <c r="M306">
        <v>3</v>
      </c>
      <c r="N306">
        <v>7</v>
      </c>
      <c r="O306" s="1" t="s">
        <v>19</v>
      </c>
      <c r="P306" s="1" t="s">
        <v>135</v>
      </c>
      <c r="Q306">
        <v>1132</v>
      </c>
      <c r="R306" s="1" t="s">
        <v>63</v>
      </c>
      <c r="S306">
        <v>1</v>
      </c>
      <c r="T306">
        <v>1</v>
      </c>
      <c r="U306">
        <v>3</v>
      </c>
      <c r="V306">
        <v>48</v>
      </c>
      <c r="W306">
        <v>4</v>
      </c>
      <c r="X306">
        <v>3</v>
      </c>
      <c r="Y306" s="1" t="s">
        <v>8</v>
      </c>
      <c r="Z306">
        <v>4</v>
      </c>
      <c r="AA306">
        <v>9613</v>
      </c>
      <c r="AB306">
        <v>10942</v>
      </c>
      <c r="AC306" s="1" t="s">
        <v>19</v>
      </c>
      <c r="AD306">
        <v>17</v>
      </c>
      <c r="AE306">
        <v>3</v>
      </c>
      <c r="AF306">
        <v>1</v>
      </c>
      <c r="AG306">
        <v>80</v>
      </c>
      <c r="AH306">
        <v>3</v>
      </c>
      <c r="AI306">
        <v>2</v>
      </c>
      <c r="AJ306">
        <v>0</v>
      </c>
      <c r="AK306" s="1" t="s">
        <v>136</v>
      </c>
    </row>
    <row r="307" spans="1:37" x14ac:dyDescent="0.25">
      <c r="A307">
        <v>419</v>
      </c>
      <c r="B307">
        <v>36</v>
      </c>
      <c r="C307" s="1" t="s">
        <v>24</v>
      </c>
      <c r="D307" s="1" t="s">
        <v>70</v>
      </c>
      <c r="E307">
        <v>4</v>
      </c>
      <c r="F307" s="1" t="s">
        <v>134</v>
      </c>
      <c r="G307">
        <v>7</v>
      </c>
      <c r="H307" s="1" t="s">
        <v>18</v>
      </c>
      <c r="I307">
        <v>11</v>
      </c>
      <c r="J307">
        <v>3</v>
      </c>
      <c r="K307">
        <v>9</v>
      </c>
      <c r="L307">
        <v>8</v>
      </c>
      <c r="M307">
        <v>0</v>
      </c>
      <c r="N307">
        <v>8</v>
      </c>
      <c r="O307" s="1" t="s">
        <v>19</v>
      </c>
      <c r="P307" s="1" t="s">
        <v>141</v>
      </c>
      <c r="Q307">
        <v>1105</v>
      </c>
      <c r="R307" s="1" t="s">
        <v>63</v>
      </c>
      <c r="S307">
        <v>24</v>
      </c>
      <c r="T307">
        <v>1</v>
      </c>
      <c r="U307">
        <v>2</v>
      </c>
      <c r="V307">
        <v>47</v>
      </c>
      <c r="W307">
        <v>3</v>
      </c>
      <c r="X307">
        <v>2</v>
      </c>
      <c r="Y307" s="1" t="s">
        <v>6</v>
      </c>
      <c r="Z307">
        <v>2</v>
      </c>
      <c r="AA307">
        <v>5674</v>
      </c>
      <c r="AB307">
        <v>6927</v>
      </c>
      <c r="AC307" s="1" t="s">
        <v>19</v>
      </c>
      <c r="AD307">
        <v>15</v>
      </c>
      <c r="AE307">
        <v>3</v>
      </c>
      <c r="AF307">
        <v>3</v>
      </c>
      <c r="AG307">
        <v>80</v>
      </c>
      <c r="AH307">
        <v>1</v>
      </c>
      <c r="AI307">
        <v>3</v>
      </c>
      <c r="AJ307">
        <v>0</v>
      </c>
      <c r="AK307" s="1" t="s">
        <v>136</v>
      </c>
    </row>
    <row r="308" spans="1:37" x14ac:dyDescent="0.25">
      <c r="A308">
        <v>420</v>
      </c>
      <c r="B308">
        <v>32</v>
      </c>
      <c r="C308" s="1" t="s">
        <v>25</v>
      </c>
      <c r="D308" s="1" t="s">
        <v>70</v>
      </c>
      <c r="E308">
        <v>3</v>
      </c>
      <c r="F308" s="1" t="s">
        <v>134</v>
      </c>
      <c r="G308">
        <v>1</v>
      </c>
      <c r="H308" s="1" t="s">
        <v>18</v>
      </c>
      <c r="I308">
        <v>13</v>
      </c>
      <c r="J308">
        <v>3</v>
      </c>
      <c r="K308">
        <v>13</v>
      </c>
      <c r="L308">
        <v>8</v>
      </c>
      <c r="M308">
        <v>4</v>
      </c>
      <c r="N308">
        <v>8</v>
      </c>
      <c r="O308" s="1" t="s">
        <v>19</v>
      </c>
      <c r="P308" s="1" t="s">
        <v>135</v>
      </c>
      <c r="Q308">
        <v>906</v>
      </c>
      <c r="R308" s="1" t="s">
        <v>64</v>
      </c>
      <c r="S308">
        <v>7</v>
      </c>
      <c r="T308">
        <v>1</v>
      </c>
      <c r="U308">
        <v>4</v>
      </c>
      <c r="V308">
        <v>91</v>
      </c>
      <c r="W308">
        <v>2</v>
      </c>
      <c r="X308">
        <v>2</v>
      </c>
      <c r="Y308" s="1" t="s">
        <v>4</v>
      </c>
      <c r="Z308">
        <v>3</v>
      </c>
      <c r="AA308">
        <v>5484</v>
      </c>
      <c r="AB308">
        <v>16985</v>
      </c>
      <c r="AC308" s="1" t="s">
        <v>19</v>
      </c>
      <c r="AD308">
        <v>14</v>
      </c>
      <c r="AE308">
        <v>3</v>
      </c>
      <c r="AF308">
        <v>3</v>
      </c>
      <c r="AG308">
        <v>80</v>
      </c>
      <c r="AH308">
        <v>1</v>
      </c>
      <c r="AI308">
        <v>2</v>
      </c>
      <c r="AJ308">
        <v>0</v>
      </c>
      <c r="AK308" s="1" t="s">
        <v>136</v>
      </c>
    </row>
    <row r="309" spans="1:37" x14ac:dyDescent="0.25">
      <c r="A309">
        <v>421</v>
      </c>
      <c r="B309">
        <v>38</v>
      </c>
      <c r="C309" s="1" t="s">
        <v>24</v>
      </c>
      <c r="D309" s="1" t="s">
        <v>70</v>
      </c>
      <c r="E309">
        <v>2</v>
      </c>
      <c r="F309" s="1" t="s">
        <v>134</v>
      </c>
      <c r="G309">
        <v>3</v>
      </c>
      <c r="H309" s="1" t="s">
        <v>18</v>
      </c>
      <c r="I309">
        <v>19</v>
      </c>
      <c r="J309">
        <v>2</v>
      </c>
      <c r="K309">
        <v>10</v>
      </c>
      <c r="L309">
        <v>8</v>
      </c>
      <c r="M309">
        <v>0</v>
      </c>
      <c r="N309">
        <v>1</v>
      </c>
      <c r="O309" s="1" t="s">
        <v>19</v>
      </c>
      <c r="P309" s="1" t="s">
        <v>135</v>
      </c>
      <c r="Q309">
        <v>849</v>
      </c>
      <c r="R309" s="1" t="s">
        <v>63</v>
      </c>
      <c r="S309">
        <v>25</v>
      </c>
      <c r="T309">
        <v>1</v>
      </c>
      <c r="U309">
        <v>1</v>
      </c>
      <c r="V309">
        <v>81</v>
      </c>
      <c r="W309">
        <v>2</v>
      </c>
      <c r="X309">
        <v>3</v>
      </c>
      <c r="Y309" s="1" t="s">
        <v>11</v>
      </c>
      <c r="Z309">
        <v>2</v>
      </c>
      <c r="AA309">
        <v>12061</v>
      </c>
      <c r="AB309">
        <v>26707</v>
      </c>
      <c r="AC309" s="1" t="s">
        <v>19</v>
      </c>
      <c r="AD309">
        <v>17</v>
      </c>
      <c r="AE309">
        <v>3</v>
      </c>
      <c r="AF309">
        <v>3</v>
      </c>
      <c r="AG309">
        <v>80</v>
      </c>
      <c r="AH309">
        <v>1</v>
      </c>
      <c r="AI309">
        <v>3</v>
      </c>
      <c r="AJ309">
        <v>0</v>
      </c>
      <c r="AK309" s="1" t="s">
        <v>136</v>
      </c>
    </row>
    <row r="310" spans="1:37" x14ac:dyDescent="0.25">
      <c r="A310">
        <v>422</v>
      </c>
      <c r="B310">
        <v>58</v>
      </c>
      <c r="C310" s="1" t="s">
        <v>25</v>
      </c>
      <c r="D310" s="1" t="s">
        <v>69</v>
      </c>
      <c r="E310">
        <v>4</v>
      </c>
      <c r="F310" s="1" t="s">
        <v>134</v>
      </c>
      <c r="G310">
        <v>2</v>
      </c>
      <c r="H310" s="1" t="s">
        <v>18</v>
      </c>
      <c r="I310">
        <v>12</v>
      </c>
      <c r="J310">
        <v>2</v>
      </c>
      <c r="K310">
        <v>5</v>
      </c>
      <c r="L310">
        <v>3</v>
      </c>
      <c r="M310">
        <v>1</v>
      </c>
      <c r="N310">
        <v>2</v>
      </c>
      <c r="O310" s="1" t="s">
        <v>19</v>
      </c>
      <c r="P310" s="1" t="s">
        <v>141</v>
      </c>
      <c r="Q310">
        <v>390</v>
      </c>
      <c r="R310" s="1" t="s">
        <v>63</v>
      </c>
      <c r="S310">
        <v>1</v>
      </c>
      <c r="T310">
        <v>1</v>
      </c>
      <c r="U310">
        <v>4</v>
      </c>
      <c r="V310">
        <v>32</v>
      </c>
      <c r="W310">
        <v>1</v>
      </c>
      <c r="X310">
        <v>2</v>
      </c>
      <c r="Y310" s="1" t="s">
        <v>8</v>
      </c>
      <c r="Z310">
        <v>3</v>
      </c>
      <c r="AA310">
        <v>5660</v>
      </c>
      <c r="AB310">
        <v>17056</v>
      </c>
      <c r="AC310" s="1" t="s">
        <v>18</v>
      </c>
      <c r="AD310">
        <v>13</v>
      </c>
      <c r="AE310">
        <v>3</v>
      </c>
      <c r="AF310">
        <v>4</v>
      </c>
      <c r="AG310">
        <v>80</v>
      </c>
      <c r="AH310">
        <v>1</v>
      </c>
      <c r="AI310">
        <v>3</v>
      </c>
      <c r="AJ310">
        <v>0</v>
      </c>
      <c r="AK310" s="1" t="s">
        <v>140</v>
      </c>
    </row>
    <row r="311" spans="1:37" x14ac:dyDescent="0.25">
      <c r="A311">
        <v>423</v>
      </c>
      <c r="B311">
        <v>31</v>
      </c>
      <c r="C311" s="1" t="s">
        <v>25</v>
      </c>
      <c r="D311" s="1" t="s">
        <v>70</v>
      </c>
      <c r="E311">
        <v>4</v>
      </c>
      <c r="F311" s="1" t="s">
        <v>143</v>
      </c>
      <c r="G311">
        <v>0</v>
      </c>
      <c r="H311" s="1" t="s">
        <v>18</v>
      </c>
      <c r="I311">
        <v>6</v>
      </c>
      <c r="J311">
        <v>4</v>
      </c>
      <c r="K311">
        <v>5</v>
      </c>
      <c r="L311">
        <v>2</v>
      </c>
      <c r="M311">
        <v>0</v>
      </c>
      <c r="N311">
        <v>3</v>
      </c>
      <c r="O311" s="1" t="s">
        <v>19</v>
      </c>
      <c r="P311" s="1" t="s">
        <v>135</v>
      </c>
      <c r="Q311">
        <v>691</v>
      </c>
      <c r="R311" s="1" t="s">
        <v>63</v>
      </c>
      <c r="S311">
        <v>5</v>
      </c>
      <c r="T311">
        <v>1</v>
      </c>
      <c r="U311">
        <v>3</v>
      </c>
      <c r="V311">
        <v>86</v>
      </c>
      <c r="W311">
        <v>3</v>
      </c>
      <c r="X311">
        <v>1</v>
      </c>
      <c r="Y311" s="1" t="s">
        <v>5</v>
      </c>
      <c r="Z311">
        <v>4</v>
      </c>
      <c r="AA311">
        <v>4821</v>
      </c>
      <c r="AB311">
        <v>10077</v>
      </c>
      <c r="AC311" s="1" t="s">
        <v>18</v>
      </c>
      <c r="AD311">
        <v>12</v>
      </c>
      <c r="AE311">
        <v>3</v>
      </c>
      <c r="AF311">
        <v>3</v>
      </c>
      <c r="AG311">
        <v>80</v>
      </c>
      <c r="AH311">
        <v>1</v>
      </c>
      <c r="AI311">
        <v>3</v>
      </c>
      <c r="AJ311">
        <v>0</v>
      </c>
      <c r="AK311" s="1" t="s">
        <v>136</v>
      </c>
    </row>
    <row r="312" spans="1:37" x14ac:dyDescent="0.25">
      <c r="A312">
        <v>424</v>
      </c>
      <c r="B312">
        <v>31</v>
      </c>
      <c r="C312" s="1" t="s">
        <v>25</v>
      </c>
      <c r="D312" s="1" t="s">
        <v>70</v>
      </c>
      <c r="E312">
        <v>3</v>
      </c>
      <c r="F312" s="1" t="s">
        <v>12</v>
      </c>
      <c r="G312">
        <v>3</v>
      </c>
      <c r="H312" s="1" t="s">
        <v>18</v>
      </c>
      <c r="I312">
        <v>9</v>
      </c>
      <c r="J312">
        <v>1</v>
      </c>
      <c r="K312">
        <v>2</v>
      </c>
      <c r="L312">
        <v>2</v>
      </c>
      <c r="M312">
        <v>1</v>
      </c>
      <c r="N312">
        <v>0</v>
      </c>
      <c r="O312" s="1" t="s">
        <v>19</v>
      </c>
      <c r="P312" s="1" t="s">
        <v>135</v>
      </c>
      <c r="Q312">
        <v>106</v>
      </c>
      <c r="R312" s="1" t="s">
        <v>12</v>
      </c>
      <c r="S312">
        <v>2</v>
      </c>
      <c r="T312">
        <v>1</v>
      </c>
      <c r="U312">
        <v>1</v>
      </c>
      <c r="V312">
        <v>62</v>
      </c>
      <c r="W312">
        <v>2</v>
      </c>
      <c r="X312">
        <v>2</v>
      </c>
      <c r="Y312" s="1" t="s">
        <v>12</v>
      </c>
      <c r="Z312">
        <v>1</v>
      </c>
      <c r="AA312">
        <v>6410</v>
      </c>
      <c r="AB312">
        <v>17822</v>
      </c>
      <c r="AC312" s="1" t="s">
        <v>19</v>
      </c>
      <c r="AD312">
        <v>12</v>
      </c>
      <c r="AE312">
        <v>3</v>
      </c>
      <c r="AF312">
        <v>4</v>
      </c>
      <c r="AG312">
        <v>80</v>
      </c>
      <c r="AH312">
        <v>0</v>
      </c>
      <c r="AI312">
        <v>3</v>
      </c>
      <c r="AJ312">
        <v>0</v>
      </c>
      <c r="AK312" s="1" t="s">
        <v>136</v>
      </c>
    </row>
    <row r="313" spans="1:37" x14ac:dyDescent="0.25">
      <c r="A313">
        <v>425</v>
      </c>
      <c r="B313">
        <v>45</v>
      </c>
      <c r="C313" s="1" t="s">
        <v>25</v>
      </c>
      <c r="D313" s="1" t="s">
        <v>69</v>
      </c>
      <c r="E313">
        <v>3</v>
      </c>
      <c r="F313" s="1" t="s">
        <v>134</v>
      </c>
      <c r="G313">
        <v>1</v>
      </c>
      <c r="H313" s="1" t="s">
        <v>18</v>
      </c>
      <c r="I313">
        <v>24</v>
      </c>
      <c r="J313">
        <v>2</v>
      </c>
      <c r="K313">
        <v>24</v>
      </c>
      <c r="L313">
        <v>9</v>
      </c>
      <c r="M313">
        <v>9</v>
      </c>
      <c r="N313">
        <v>11</v>
      </c>
      <c r="O313" s="1" t="s">
        <v>19</v>
      </c>
      <c r="P313" s="1" t="s">
        <v>137</v>
      </c>
      <c r="Q313">
        <v>1249</v>
      </c>
      <c r="R313" s="1" t="s">
        <v>63</v>
      </c>
      <c r="S313">
        <v>7</v>
      </c>
      <c r="T313">
        <v>1</v>
      </c>
      <c r="U313">
        <v>1</v>
      </c>
      <c r="V313">
        <v>97</v>
      </c>
      <c r="W313">
        <v>3</v>
      </c>
      <c r="X313">
        <v>3</v>
      </c>
      <c r="Y313" s="1" t="s">
        <v>6</v>
      </c>
      <c r="Z313">
        <v>1</v>
      </c>
      <c r="AA313">
        <v>5210</v>
      </c>
      <c r="AB313">
        <v>20308</v>
      </c>
      <c r="AC313" s="1" t="s">
        <v>19</v>
      </c>
      <c r="AD313">
        <v>18</v>
      </c>
      <c r="AE313">
        <v>3</v>
      </c>
      <c r="AF313">
        <v>1</v>
      </c>
      <c r="AG313">
        <v>80</v>
      </c>
      <c r="AH313">
        <v>1</v>
      </c>
      <c r="AI313">
        <v>3</v>
      </c>
      <c r="AJ313">
        <v>0</v>
      </c>
      <c r="AK313" s="1" t="s">
        <v>136</v>
      </c>
    </row>
    <row r="314" spans="1:37" x14ac:dyDescent="0.25">
      <c r="A314">
        <v>426</v>
      </c>
      <c r="B314">
        <v>31</v>
      </c>
      <c r="C314" s="1" t="s">
        <v>25</v>
      </c>
      <c r="D314" s="1" t="s">
        <v>69</v>
      </c>
      <c r="E314">
        <v>4</v>
      </c>
      <c r="F314" s="1" t="s">
        <v>134</v>
      </c>
      <c r="G314">
        <v>0</v>
      </c>
      <c r="H314" s="1" t="s">
        <v>18</v>
      </c>
      <c r="I314">
        <v>3</v>
      </c>
      <c r="J314">
        <v>2</v>
      </c>
      <c r="K314">
        <v>2</v>
      </c>
      <c r="L314">
        <v>2</v>
      </c>
      <c r="M314">
        <v>2</v>
      </c>
      <c r="N314">
        <v>2</v>
      </c>
      <c r="O314" s="1" t="s">
        <v>19</v>
      </c>
      <c r="P314" s="1" t="s">
        <v>135</v>
      </c>
      <c r="Q314">
        <v>192</v>
      </c>
      <c r="R314" s="1" t="s">
        <v>63</v>
      </c>
      <c r="S314">
        <v>2</v>
      </c>
      <c r="T314">
        <v>1</v>
      </c>
      <c r="U314">
        <v>3</v>
      </c>
      <c r="V314">
        <v>32</v>
      </c>
      <c r="W314">
        <v>3</v>
      </c>
      <c r="X314">
        <v>1</v>
      </c>
      <c r="Y314" s="1" t="s">
        <v>5</v>
      </c>
      <c r="Z314">
        <v>4</v>
      </c>
      <c r="AA314">
        <v>2695</v>
      </c>
      <c r="AB314">
        <v>7747</v>
      </c>
      <c r="AC314" s="1" t="s">
        <v>18</v>
      </c>
      <c r="AD314">
        <v>18</v>
      </c>
      <c r="AE314">
        <v>3</v>
      </c>
      <c r="AF314">
        <v>2</v>
      </c>
      <c r="AG314">
        <v>80</v>
      </c>
      <c r="AH314">
        <v>1</v>
      </c>
      <c r="AI314">
        <v>1</v>
      </c>
      <c r="AJ314">
        <v>0</v>
      </c>
      <c r="AK314" s="1" t="s">
        <v>136</v>
      </c>
    </row>
    <row r="315" spans="1:37" x14ac:dyDescent="0.25">
      <c r="A315">
        <v>428</v>
      </c>
      <c r="B315">
        <v>33</v>
      </c>
      <c r="C315" s="1" t="s">
        <v>24</v>
      </c>
      <c r="D315" s="1" t="s">
        <v>70</v>
      </c>
      <c r="E315">
        <v>4</v>
      </c>
      <c r="F315" s="1" t="s">
        <v>134</v>
      </c>
      <c r="G315">
        <v>6</v>
      </c>
      <c r="H315" s="1" t="s">
        <v>18</v>
      </c>
      <c r="I315">
        <v>12</v>
      </c>
      <c r="J315">
        <v>2</v>
      </c>
      <c r="K315">
        <v>10</v>
      </c>
      <c r="L315">
        <v>6</v>
      </c>
      <c r="M315">
        <v>8</v>
      </c>
      <c r="N315">
        <v>8</v>
      </c>
      <c r="O315" s="1" t="s">
        <v>19</v>
      </c>
      <c r="P315" s="1" t="s">
        <v>137</v>
      </c>
      <c r="Q315">
        <v>553</v>
      </c>
      <c r="R315" s="1" t="s">
        <v>63</v>
      </c>
      <c r="S315">
        <v>5</v>
      </c>
      <c r="T315">
        <v>1</v>
      </c>
      <c r="U315">
        <v>4</v>
      </c>
      <c r="V315">
        <v>74</v>
      </c>
      <c r="W315">
        <v>3</v>
      </c>
      <c r="X315">
        <v>3</v>
      </c>
      <c r="Y315" s="1" t="s">
        <v>9</v>
      </c>
      <c r="Z315">
        <v>2</v>
      </c>
      <c r="AA315">
        <v>11878</v>
      </c>
      <c r="AB315">
        <v>23364</v>
      </c>
      <c r="AC315" s="1" t="s">
        <v>19</v>
      </c>
      <c r="AD315">
        <v>11</v>
      </c>
      <c r="AE315">
        <v>3</v>
      </c>
      <c r="AF315">
        <v>2</v>
      </c>
      <c r="AG315">
        <v>80</v>
      </c>
      <c r="AH315">
        <v>2</v>
      </c>
      <c r="AI315">
        <v>3</v>
      </c>
      <c r="AJ315">
        <v>0</v>
      </c>
      <c r="AK315" s="1" t="s">
        <v>136</v>
      </c>
    </row>
    <row r="316" spans="1:37" x14ac:dyDescent="0.25">
      <c r="A316">
        <v>429</v>
      </c>
      <c r="B316">
        <v>39</v>
      </c>
      <c r="C316" s="1" t="s">
        <v>25</v>
      </c>
      <c r="D316" s="1" t="s">
        <v>70</v>
      </c>
      <c r="E316">
        <v>1</v>
      </c>
      <c r="F316" s="1" t="s">
        <v>139</v>
      </c>
      <c r="G316">
        <v>1</v>
      </c>
      <c r="H316" s="1" t="s">
        <v>18</v>
      </c>
      <c r="I316">
        <v>21</v>
      </c>
      <c r="J316">
        <v>3</v>
      </c>
      <c r="K316">
        <v>21</v>
      </c>
      <c r="L316">
        <v>9</v>
      </c>
      <c r="M316">
        <v>11</v>
      </c>
      <c r="N316">
        <v>10</v>
      </c>
      <c r="O316" s="1" t="s">
        <v>19</v>
      </c>
      <c r="P316" s="1" t="s">
        <v>135</v>
      </c>
      <c r="Q316">
        <v>117</v>
      </c>
      <c r="R316" s="1" t="s">
        <v>63</v>
      </c>
      <c r="S316">
        <v>10</v>
      </c>
      <c r="T316">
        <v>1</v>
      </c>
      <c r="U316">
        <v>3</v>
      </c>
      <c r="V316">
        <v>99</v>
      </c>
      <c r="W316">
        <v>3</v>
      </c>
      <c r="X316">
        <v>4</v>
      </c>
      <c r="Y316" s="1" t="s">
        <v>9</v>
      </c>
      <c r="Z316">
        <v>1</v>
      </c>
      <c r="AA316">
        <v>17068</v>
      </c>
      <c r="AB316">
        <v>5355</v>
      </c>
      <c r="AC316" s="1" t="s">
        <v>18</v>
      </c>
      <c r="AD316">
        <v>14</v>
      </c>
      <c r="AE316">
        <v>3</v>
      </c>
      <c r="AF316">
        <v>4</v>
      </c>
      <c r="AG316">
        <v>80</v>
      </c>
      <c r="AH316">
        <v>0</v>
      </c>
      <c r="AI316">
        <v>3</v>
      </c>
      <c r="AJ316">
        <v>0</v>
      </c>
      <c r="AK316" s="1" t="s">
        <v>136</v>
      </c>
    </row>
    <row r="317" spans="1:37" x14ac:dyDescent="0.25">
      <c r="A317">
        <v>430</v>
      </c>
      <c r="B317">
        <v>43</v>
      </c>
      <c r="C317" s="1" t="s">
        <v>24</v>
      </c>
      <c r="D317" s="1" t="s">
        <v>71</v>
      </c>
      <c r="E317">
        <v>4</v>
      </c>
      <c r="F317" s="1" t="s">
        <v>134</v>
      </c>
      <c r="G317">
        <v>0</v>
      </c>
      <c r="H317" s="1" t="s">
        <v>18</v>
      </c>
      <c r="I317">
        <v>9</v>
      </c>
      <c r="J317">
        <v>5</v>
      </c>
      <c r="K317">
        <v>8</v>
      </c>
      <c r="L317">
        <v>7</v>
      </c>
      <c r="M317">
        <v>1</v>
      </c>
      <c r="N317">
        <v>7</v>
      </c>
      <c r="O317" s="1" t="s">
        <v>19</v>
      </c>
      <c r="P317" s="1" t="s">
        <v>137</v>
      </c>
      <c r="Q317">
        <v>185</v>
      </c>
      <c r="R317" s="1" t="s">
        <v>63</v>
      </c>
      <c r="S317">
        <v>10</v>
      </c>
      <c r="T317">
        <v>1</v>
      </c>
      <c r="U317">
        <v>3</v>
      </c>
      <c r="V317">
        <v>33</v>
      </c>
      <c r="W317">
        <v>3</v>
      </c>
      <c r="X317">
        <v>1</v>
      </c>
      <c r="Y317" s="1" t="s">
        <v>6</v>
      </c>
      <c r="Z317">
        <v>4</v>
      </c>
      <c r="AA317">
        <v>2455</v>
      </c>
      <c r="AB317">
        <v>10675</v>
      </c>
      <c r="AC317" s="1" t="s">
        <v>19</v>
      </c>
      <c r="AD317">
        <v>19</v>
      </c>
      <c r="AE317">
        <v>3</v>
      </c>
      <c r="AF317">
        <v>1</v>
      </c>
      <c r="AG317">
        <v>80</v>
      </c>
      <c r="AH317">
        <v>0</v>
      </c>
      <c r="AI317">
        <v>3</v>
      </c>
      <c r="AJ317">
        <v>0</v>
      </c>
      <c r="AK317" s="1" t="s">
        <v>136</v>
      </c>
    </row>
    <row r="318" spans="1:37" x14ac:dyDescent="0.25">
      <c r="A318">
        <v>431</v>
      </c>
      <c r="B318">
        <v>49</v>
      </c>
      <c r="C318" s="1" t="s">
        <v>24</v>
      </c>
      <c r="D318" s="1" t="s">
        <v>71</v>
      </c>
      <c r="E318">
        <v>2</v>
      </c>
      <c r="F318" s="1" t="s">
        <v>143</v>
      </c>
      <c r="G318">
        <v>7</v>
      </c>
      <c r="H318" s="1" t="s">
        <v>18</v>
      </c>
      <c r="I318">
        <v>25</v>
      </c>
      <c r="J318">
        <v>2</v>
      </c>
      <c r="K318">
        <v>7</v>
      </c>
      <c r="L318">
        <v>1</v>
      </c>
      <c r="M318">
        <v>0</v>
      </c>
      <c r="N318">
        <v>7</v>
      </c>
      <c r="O318" s="1" t="s">
        <v>19</v>
      </c>
      <c r="P318" s="1" t="s">
        <v>135</v>
      </c>
      <c r="Q318">
        <v>1091</v>
      </c>
      <c r="R318" s="1" t="s">
        <v>63</v>
      </c>
      <c r="S318">
        <v>1</v>
      </c>
      <c r="T318">
        <v>1</v>
      </c>
      <c r="U318">
        <v>3</v>
      </c>
      <c r="V318">
        <v>90</v>
      </c>
      <c r="W318">
        <v>2</v>
      </c>
      <c r="X318">
        <v>4</v>
      </c>
      <c r="Y318" s="1" t="s">
        <v>8</v>
      </c>
      <c r="Z318">
        <v>3</v>
      </c>
      <c r="AA318">
        <v>13964</v>
      </c>
      <c r="AB318">
        <v>17810</v>
      </c>
      <c r="AC318" s="1" t="s">
        <v>18</v>
      </c>
      <c r="AD318">
        <v>12</v>
      </c>
      <c r="AE318">
        <v>3</v>
      </c>
      <c r="AF318">
        <v>4</v>
      </c>
      <c r="AG318">
        <v>80</v>
      </c>
      <c r="AH318">
        <v>0</v>
      </c>
      <c r="AI318">
        <v>3</v>
      </c>
      <c r="AJ318">
        <v>0</v>
      </c>
      <c r="AK318" s="1" t="s">
        <v>136</v>
      </c>
    </row>
    <row r="319" spans="1:37" x14ac:dyDescent="0.25">
      <c r="A319">
        <v>433</v>
      </c>
      <c r="B319">
        <v>52</v>
      </c>
      <c r="C319" s="1" t="s">
        <v>25</v>
      </c>
      <c r="D319" s="1" t="s">
        <v>70</v>
      </c>
      <c r="E319">
        <v>4</v>
      </c>
      <c r="F319" s="1" t="s">
        <v>139</v>
      </c>
      <c r="G319">
        <v>2</v>
      </c>
      <c r="H319" s="1" t="s">
        <v>18</v>
      </c>
      <c r="I319">
        <v>11</v>
      </c>
      <c r="J319">
        <v>3</v>
      </c>
      <c r="K319">
        <v>8</v>
      </c>
      <c r="L319">
        <v>2</v>
      </c>
      <c r="M319">
        <v>7</v>
      </c>
      <c r="N319">
        <v>7</v>
      </c>
      <c r="O319" s="1" t="s">
        <v>18</v>
      </c>
      <c r="P319" s="1" t="s">
        <v>135</v>
      </c>
      <c r="Q319">
        <v>723</v>
      </c>
      <c r="R319" s="1" t="s">
        <v>63</v>
      </c>
      <c r="S319">
        <v>8</v>
      </c>
      <c r="T319">
        <v>1</v>
      </c>
      <c r="U319">
        <v>3</v>
      </c>
      <c r="V319">
        <v>85</v>
      </c>
      <c r="W319">
        <v>2</v>
      </c>
      <c r="X319">
        <v>2</v>
      </c>
      <c r="Y319" s="1" t="s">
        <v>5</v>
      </c>
      <c r="Z319">
        <v>2</v>
      </c>
      <c r="AA319">
        <v>4941</v>
      </c>
      <c r="AB319">
        <v>17747</v>
      </c>
      <c r="AC319" s="1" t="s">
        <v>19</v>
      </c>
      <c r="AD319">
        <v>15</v>
      </c>
      <c r="AE319">
        <v>3</v>
      </c>
      <c r="AF319">
        <v>1</v>
      </c>
      <c r="AG319">
        <v>80</v>
      </c>
      <c r="AH319">
        <v>0</v>
      </c>
      <c r="AI319">
        <v>2</v>
      </c>
      <c r="AJ319">
        <v>1</v>
      </c>
      <c r="AK319" s="1" t="s">
        <v>140</v>
      </c>
    </row>
    <row r="320" spans="1:37" x14ac:dyDescent="0.25">
      <c r="A320">
        <v>434</v>
      </c>
      <c r="B320">
        <v>27</v>
      </c>
      <c r="C320" s="1" t="s">
        <v>24</v>
      </c>
      <c r="D320" s="1" t="s">
        <v>71</v>
      </c>
      <c r="E320">
        <v>3</v>
      </c>
      <c r="F320" s="1" t="s">
        <v>134</v>
      </c>
      <c r="G320">
        <v>1</v>
      </c>
      <c r="H320" s="1" t="s">
        <v>18</v>
      </c>
      <c r="I320">
        <v>4</v>
      </c>
      <c r="J320">
        <v>2</v>
      </c>
      <c r="K320">
        <v>4</v>
      </c>
      <c r="L320">
        <v>3</v>
      </c>
      <c r="M320">
        <v>1</v>
      </c>
      <c r="N320">
        <v>2</v>
      </c>
      <c r="O320" s="1" t="s">
        <v>19</v>
      </c>
      <c r="P320" s="1" t="s">
        <v>135</v>
      </c>
      <c r="Q320">
        <v>1220</v>
      </c>
      <c r="R320" s="1" t="s">
        <v>63</v>
      </c>
      <c r="S320">
        <v>5</v>
      </c>
      <c r="T320">
        <v>1</v>
      </c>
      <c r="U320">
        <v>3</v>
      </c>
      <c r="V320">
        <v>85</v>
      </c>
      <c r="W320">
        <v>3</v>
      </c>
      <c r="X320">
        <v>1</v>
      </c>
      <c r="Y320" s="1" t="s">
        <v>5</v>
      </c>
      <c r="Z320">
        <v>2</v>
      </c>
      <c r="AA320">
        <v>2478</v>
      </c>
      <c r="AB320">
        <v>20938</v>
      </c>
      <c r="AC320" s="1" t="s">
        <v>18</v>
      </c>
      <c r="AD320">
        <v>12</v>
      </c>
      <c r="AE320">
        <v>3</v>
      </c>
      <c r="AF320">
        <v>2</v>
      </c>
      <c r="AG320">
        <v>80</v>
      </c>
      <c r="AH320">
        <v>0</v>
      </c>
      <c r="AI320">
        <v>2</v>
      </c>
      <c r="AJ320">
        <v>0</v>
      </c>
      <c r="AK320" s="1" t="s">
        <v>136</v>
      </c>
    </row>
    <row r="321" spans="1:37" x14ac:dyDescent="0.25">
      <c r="A321">
        <v>436</v>
      </c>
      <c r="B321">
        <v>32</v>
      </c>
      <c r="C321" s="1" t="s">
        <v>24</v>
      </c>
      <c r="D321" s="1" t="s">
        <v>70</v>
      </c>
      <c r="E321">
        <v>2</v>
      </c>
      <c r="F321" s="1" t="s">
        <v>143</v>
      </c>
      <c r="G321">
        <v>1</v>
      </c>
      <c r="H321" s="1" t="s">
        <v>18</v>
      </c>
      <c r="I321">
        <v>13</v>
      </c>
      <c r="J321">
        <v>2</v>
      </c>
      <c r="K321">
        <v>13</v>
      </c>
      <c r="L321">
        <v>12</v>
      </c>
      <c r="M321">
        <v>11</v>
      </c>
      <c r="N321">
        <v>9</v>
      </c>
      <c r="O321" s="1" t="s">
        <v>19</v>
      </c>
      <c r="P321" s="1" t="s">
        <v>135</v>
      </c>
      <c r="Q321">
        <v>588</v>
      </c>
      <c r="R321" s="1" t="s">
        <v>64</v>
      </c>
      <c r="S321">
        <v>8</v>
      </c>
      <c r="T321">
        <v>1</v>
      </c>
      <c r="U321">
        <v>3</v>
      </c>
      <c r="V321">
        <v>65</v>
      </c>
      <c r="W321">
        <v>2</v>
      </c>
      <c r="X321">
        <v>2</v>
      </c>
      <c r="Y321" s="1" t="s">
        <v>4</v>
      </c>
      <c r="Z321">
        <v>2</v>
      </c>
      <c r="AA321">
        <v>5228</v>
      </c>
      <c r="AB321">
        <v>24624</v>
      </c>
      <c r="AC321" s="1" t="s">
        <v>18</v>
      </c>
      <c r="AD321">
        <v>11</v>
      </c>
      <c r="AE321">
        <v>3</v>
      </c>
      <c r="AF321">
        <v>4</v>
      </c>
      <c r="AG321">
        <v>80</v>
      </c>
      <c r="AH321">
        <v>0</v>
      </c>
      <c r="AI321">
        <v>3</v>
      </c>
      <c r="AJ321">
        <v>0</v>
      </c>
      <c r="AK321" s="1" t="s">
        <v>136</v>
      </c>
    </row>
    <row r="322" spans="1:37" x14ac:dyDescent="0.25">
      <c r="A322">
        <v>437</v>
      </c>
      <c r="B322">
        <v>27</v>
      </c>
      <c r="C322" s="1" t="s">
        <v>25</v>
      </c>
      <c r="D322" s="1" t="s">
        <v>71</v>
      </c>
      <c r="E322">
        <v>3</v>
      </c>
      <c r="F322" s="1" t="s">
        <v>134</v>
      </c>
      <c r="G322">
        <v>1</v>
      </c>
      <c r="H322" s="1" t="s">
        <v>18</v>
      </c>
      <c r="I322">
        <v>5</v>
      </c>
      <c r="J322">
        <v>3</v>
      </c>
      <c r="K322">
        <v>5</v>
      </c>
      <c r="L322">
        <v>4</v>
      </c>
      <c r="M322">
        <v>0</v>
      </c>
      <c r="N322">
        <v>4</v>
      </c>
      <c r="O322" s="1" t="s">
        <v>19</v>
      </c>
      <c r="P322" s="1" t="s">
        <v>135</v>
      </c>
      <c r="Q322">
        <v>1377</v>
      </c>
      <c r="R322" s="1" t="s">
        <v>64</v>
      </c>
      <c r="S322">
        <v>2</v>
      </c>
      <c r="T322">
        <v>1</v>
      </c>
      <c r="U322">
        <v>4</v>
      </c>
      <c r="V322">
        <v>74</v>
      </c>
      <c r="W322">
        <v>3</v>
      </c>
      <c r="X322">
        <v>2</v>
      </c>
      <c r="Y322" s="1" t="s">
        <v>4</v>
      </c>
      <c r="Z322">
        <v>3</v>
      </c>
      <c r="AA322">
        <v>4478</v>
      </c>
      <c r="AB322">
        <v>5242</v>
      </c>
      <c r="AC322" s="1" t="s">
        <v>18</v>
      </c>
      <c r="AD322">
        <v>11</v>
      </c>
      <c r="AE322">
        <v>3</v>
      </c>
      <c r="AF322">
        <v>1</v>
      </c>
      <c r="AG322">
        <v>80</v>
      </c>
      <c r="AH322">
        <v>0</v>
      </c>
      <c r="AI322">
        <v>3</v>
      </c>
      <c r="AJ322">
        <v>0</v>
      </c>
      <c r="AK322" s="1" t="s">
        <v>136</v>
      </c>
    </row>
    <row r="323" spans="1:37" x14ac:dyDescent="0.25">
      <c r="A323">
        <v>438</v>
      </c>
      <c r="B323">
        <v>31</v>
      </c>
      <c r="C323" s="1" t="s">
        <v>25</v>
      </c>
      <c r="D323" s="1" t="s">
        <v>69</v>
      </c>
      <c r="E323">
        <v>3</v>
      </c>
      <c r="F323" s="1" t="s">
        <v>142</v>
      </c>
      <c r="G323">
        <v>4</v>
      </c>
      <c r="H323" s="1" t="s">
        <v>18</v>
      </c>
      <c r="I323">
        <v>13</v>
      </c>
      <c r="J323">
        <v>3</v>
      </c>
      <c r="K323">
        <v>7</v>
      </c>
      <c r="L323">
        <v>7</v>
      </c>
      <c r="M323">
        <v>1</v>
      </c>
      <c r="N323">
        <v>7</v>
      </c>
      <c r="O323" s="1" t="s">
        <v>19</v>
      </c>
      <c r="P323" s="1" t="s">
        <v>135</v>
      </c>
      <c r="Q323">
        <v>691</v>
      </c>
      <c r="R323" s="1" t="s">
        <v>64</v>
      </c>
      <c r="S323">
        <v>7</v>
      </c>
      <c r="T323">
        <v>1</v>
      </c>
      <c r="U323">
        <v>4</v>
      </c>
      <c r="V323">
        <v>73</v>
      </c>
      <c r="W323">
        <v>3</v>
      </c>
      <c r="X323">
        <v>2</v>
      </c>
      <c r="Y323" s="1" t="s">
        <v>4</v>
      </c>
      <c r="Z323">
        <v>4</v>
      </c>
      <c r="AA323">
        <v>7547</v>
      </c>
      <c r="AB323">
        <v>7143</v>
      </c>
      <c r="AC323" s="1" t="s">
        <v>19</v>
      </c>
      <c r="AD323">
        <v>12</v>
      </c>
      <c r="AE323">
        <v>3</v>
      </c>
      <c r="AF323">
        <v>4</v>
      </c>
      <c r="AG323">
        <v>80</v>
      </c>
      <c r="AH323">
        <v>3</v>
      </c>
      <c r="AI323">
        <v>3</v>
      </c>
      <c r="AJ323">
        <v>0</v>
      </c>
      <c r="AK323" s="1" t="s">
        <v>136</v>
      </c>
    </row>
    <row r="324" spans="1:37" x14ac:dyDescent="0.25">
      <c r="A324">
        <v>439</v>
      </c>
      <c r="B324">
        <v>32</v>
      </c>
      <c r="C324" s="1" t="s">
        <v>24</v>
      </c>
      <c r="D324" s="1" t="s">
        <v>71</v>
      </c>
      <c r="E324">
        <v>4</v>
      </c>
      <c r="F324" s="1" t="s">
        <v>139</v>
      </c>
      <c r="G324">
        <v>7</v>
      </c>
      <c r="H324" s="1" t="s">
        <v>18</v>
      </c>
      <c r="I324">
        <v>10</v>
      </c>
      <c r="J324">
        <v>0</v>
      </c>
      <c r="K324">
        <v>7</v>
      </c>
      <c r="L324">
        <v>7</v>
      </c>
      <c r="M324">
        <v>0</v>
      </c>
      <c r="N324">
        <v>7</v>
      </c>
      <c r="O324" s="1" t="s">
        <v>19</v>
      </c>
      <c r="P324" s="1" t="s">
        <v>135</v>
      </c>
      <c r="Q324">
        <v>1018</v>
      </c>
      <c r="R324" s="1" t="s">
        <v>63</v>
      </c>
      <c r="S324">
        <v>2</v>
      </c>
      <c r="T324">
        <v>1</v>
      </c>
      <c r="U324">
        <v>1</v>
      </c>
      <c r="V324">
        <v>74</v>
      </c>
      <c r="W324">
        <v>4</v>
      </c>
      <c r="X324">
        <v>2</v>
      </c>
      <c r="Y324" s="1" t="s">
        <v>5</v>
      </c>
      <c r="Z324">
        <v>4</v>
      </c>
      <c r="AA324">
        <v>5055</v>
      </c>
      <c r="AB324">
        <v>10557</v>
      </c>
      <c r="AC324" s="1" t="s">
        <v>19</v>
      </c>
      <c r="AD324">
        <v>16</v>
      </c>
      <c r="AE324">
        <v>3</v>
      </c>
      <c r="AF324">
        <v>3</v>
      </c>
      <c r="AG324">
        <v>80</v>
      </c>
      <c r="AH324">
        <v>0</v>
      </c>
      <c r="AI324">
        <v>2</v>
      </c>
      <c r="AJ324">
        <v>0</v>
      </c>
      <c r="AK324" s="1" t="s">
        <v>136</v>
      </c>
    </row>
    <row r="325" spans="1:37" x14ac:dyDescent="0.25">
      <c r="A325">
        <v>440</v>
      </c>
      <c r="B325">
        <v>28</v>
      </c>
      <c r="C325" s="1" t="s">
        <v>25</v>
      </c>
      <c r="D325" s="1" t="s">
        <v>70</v>
      </c>
      <c r="E325">
        <v>4</v>
      </c>
      <c r="F325" s="1" t="s">
        <v>139</v>
      </c>
      <c r="G325">
        <v>5</v>
      </c>
      <c r="H325" s="1" t="s">
        <v>18</v>
      </c>
      <c r="I325">
        <v>5</v>
      </c>
      <c r="J325">
        <v>4</v>
      </c>
      <c r="K325">
        <v>3</v>
      </c>
      <c r="L325">
        <v>2</v>
      </c>
      <c r="M325">
        <v>2</v>
      </c>
      <c r="N325">
        <v>2</v>
      </c>
      <c r="O325" s="1" t="s">
        <v>18</v>
      </c>
      <c r="P325" s="1" t="s">
        <v>135</v>
      </c>
      <c r="Q325">
        <v>1157</v>
      </c>
      <c r="R325" s="1" t="s">
        <v>63</v>
      </c>
      <c r="S325">
        <v>2</v>
      </c>
      <c r="T325">
        <v>1</v>
      </c>
      <c r="U325">
        <v>1</v>
      </c>
      <c r="V325">
        <v>84</v>
      </c>
      <c r="W325">
        <v>1</v>
      </c>
      <c r="X325">
        <v>1</v>
      </c>
      <c r="Y325" s="1" t="s">
        <v>5</v>
      </c>
      <c r="Z325">
        <v>4</v>
      </c>
      <c r="AA325">
        <v>3464</v>
      </c>
      <c r="AB325">
        <v>24737</v>
      </c>
      <c r="AC325" s="1" t="s">
        <v>18</v>
      </c>
      <c r="AD325">
        <v>13</v>
      </c>
      <c r="AE325">
        <v>3</v>
      </c>
      <c r="AF325">
        <v>4</v>
      </c>
      <c r="AG325">
        <v>80</v>
      </c>
      <c r="AH325">
        <v>0</v>
      </c>
      <c r="AI325">
        <v>2</v>
      </c>
      <c r="AJ325">
        <v>1</v>
      </c>
      <c r="AK325" s="1" t="s">
        <v>136</v>
      </c>
    </row>
    <row r="326" spans="1:37" x14ac:dyDescent="0.25">
      <c r="A326">
        <v>441</v>
      </c>
      <c r="B326">
        <v>30</v>
      </c>
      <c r="C326" s="1" t="s">
        <v>24</v>
      </c>
      <c r="D326" s="1" t="s">
        <v>70</v>
      </c>
      <c r="E326">
        <v>2</v>
      </c>
      <c r="F326" s="1" t="s">
        <v>139</v>
      </c>
      <c r="G326">
        <v>1</v>
      </c>
      <c r="H326" s="1" t="s">
        <v>18</v>
      </c>
      <c r="I326">
        <v>11</v>
      </c>
      <c r="J326">
        <v>2</v>
      </c>
      <c r="K326">
        <v>10</v>
      </c>
      <c r="L326">
        <v>8</v>
      </c>
      <c r="M326">
        <v>1</v>
      </c>
      <c r="N326">
        <v>9</v>
      </c>
      <c r="O326" s="1" t="s">
        <v>19</v>
      </c>
      <c r="P326" s="1" t="s">
        <v>135</v>
      </c>
      <c r="Q326">
        <v>1275</v>
      </c>
      <c r="R326" s="1" t="s">
        <v>63</v>
      </c>
      <c r="S326">
        <v>28</v>
      </c>
      <c r="T326">
        <v>1</v>
      </c>
      <c r="U326">
        <v>4</v>
      </c>
      <c r="V326">
        <v>64</v>
      </c>
      <c r="W326">
        <v>3</v>
      </c>
      <c r="X326">
        <v>2</v>
      </c>
      <c r="Y326" s="1" t="s">
        <v>5</v>
      </c>
      <c r="Z326">
        <v>4</v>
      </c>
      <c r="AA326">
        <v>5775</v>
      </c>
      <c r="AB326">
        <v>11934</v>
      </c>
      <c r="AC326" s="1" t="s">
        <v>19</v>
      </c>
      <c r="AD326">
        <v>13</v>
      </c>
      <c r="AE326">
        <v>3</v>
      </c>
      <c r="AF326">
        <v>4</v>
      </c>
      <c r="AG326">
        <v>80</v>
      </c>
      <c r="AH326">
        <v>2</v>
      </c>
      <c r="AI326">
        <v>3</v>
      </c>
      <c r="AJ326">
        <v>0</v>
      </c>
      <c r="AK326" s="1" t="s">
        <v>136</v>
      </c>
    </row>
    <row r="327" spans="1:37" x14ac:dyDescent="0.25">
      <c r="A327">
        <v>442</v>
      </c>
      <c r="B327">
        <v>31</v>
      </c>
      <c r="C327" s="1" t="s">
        <v>24</v>
      </c>
      <c r="D327" s="1" t="s">
        <v>70</v>
      </c>
      <c r="E327">
        <v>2</v>
      </c>
      <c r="F327" s="1" t="s">
        <v>134</v>
      </c>
      <c r="G327">
        <v>1</v>
      </c>
      <c r="H327" s="1" t="s">
        <v>18</v>
      </c>
      <c r="I327">
        <v>10</v>
      </c>
      <c r="J327">
        <v>2</v>
      </c>
      <c r="K327">
        <v>10</v>
      </c>
      <c r="L327">
        <v>9</v>
      </c>
      <c r="M327">
        <v>8</v>
      </c>
      <c r="N327">
        <v>9</v>
      </c>
      <c r="O327" s="1" t="s">
        <v>19</v>
      </c>
      <c r="P327" s="1" t="s">
        <v>137</v>
      </c>
      <c r="Q327">
        <v>798</v>
      </c>
      <c r="R327" s="1" t="s">
        <v>63</v>
      </c>
      <c r="S327">
        <v>7</v>
      </c>
      <c r="T327">
        <v>1</v>
      </c>
      <c r="U327">
        <v>3</v>
      </c>
      <c r="V327">
        <v>48</v>
      </c>
      <c r="W327">
        <v>2</v>
      </c>
      <c r="X327">
        <v>3</v>
      </c>
      <c r="Y327" s="1" t="s">
        <v>7</v>
      </c>
      <c r="Z327">
        <v>3</v>
      </c>
      <c r="AA327">
        <v>8943</v>
      </c>
      <c r="AB327">
        <v>14034</v>
      </c>
      <c r="AC327" s="1" t="s">
        <v>19</v>
      </c>
      <c r="AD327">
        <v>24</v>
      </c>
      <c r="AE327">
        <v>4</v>
      </c>
      <c r="AF327">
        <v>1</v>
      </c>
      <c r="AG327">
        <v>80</v>
      </c>
      <c r="AH327">
        <v>1</v>
      </c>
      <c r="AI327">
        <v>3</v>
      </c>
      <c r="AJ327">
        <v>0</v>
      </c>
      <c r="AK327" s="1" t="s">
        <v>136</v>
      </c>
    </row>
    <row r="328" spans="1:37" x14ac:dyDescent="0.25">
      <c r="A328">
        <v>444</v>
      </c>
      <c r="B328">
        <v>39</v>
      </c>
      <c r="C328" s="1" t="s">
        <v>25</v>
      </c>
      <c r="D328" s="1" t="s">
        <v>70</v>
      </c>
      <c r="E328">
        <v>2</v>
      </c>
      <c r="F328" s="1" t="s">
        <v>139</v>
      </c>
      <c r="G328">
        <v>1</v>
      </c>
      <c r="H328" s="1" t="s">
        <v>18</v>
      </c>
      <c r="I328">
        <v>21</v>
      </c>
      <c r="J328">
        <v>2</v>
      </c>
      <c r="K328">
        <v>21</v>
      </c>
      <c r="L328">
        <v>9</v>
      </c>
      <c r="M328">
        <v>13</v>
      </c>
      <c r="N328">
        <v>3</v>
      </c>
      <c r="O328" s="1" t="s">
        <v>19</v>
      </c>
      <c r="P328" s="1" t="s">
        <v>137</v>
      </c>
      <c r="Q328">
        <v>672</v>
      </c>
      <c r="R328" s="1" t="s">
        <v>63</v>
      </c>
      <c r="S328">
        <v>7</v>
      </c>
      <c r="T328">
        <v>1</v>
      </c>
      <c r="U328">
        <v>3</v>
      </c>
      <c r="V328">
        <v>54</v>
      </c>
      <c r="W328">
        <v>2</v>
      </c>
      <c r="X328">
        <v>5</v>
      </c>
      <c r="Y328" s="1" t="s">
        <v>9</v>
      </c>
      <c r="Z328">
        <v>4</v>
      </c>
      <c r="AA328">
        <v>19272</v>
      </c>
      <c r="AB328">
        <v>21141</v>
      </c>
      <c r="AC328" s="1" t="s">
        <v>19</v>
      </c>
      <c r="AD328">
        <v>15</v>
      </c>
      <c r="AE328">
        <v>3</v>
      </c>
      <c r="AF328">
        <v>1</v>
      </c>
      <c r="AG328">
        <v>80</v>
      </c>
      <c r="AH328">
        <v>1</v>
      </c>
      <c r="AI328">
        <v>3</v>
      </c>
      <c r="AJ328">
        <v>0</v>
      </c>
      <c r="AK328" s="1" t="s">
        <v>136</v>
      </c>
    </row>
    <row r="329" spans="1:37" x14ac:dyDescent="0.25">
      <c r="A329">
        <v>445</v>
      </c>
      <c r="B329">
        <v>39</v>
      </c>
      <c r="C329" s="1" t="s">
        <v>24</v>
      </c>
      <c r="D329" s="1" t="s">
        <v>70</v>
      </c>
      <c r="E329">
        <v>2</v>
      </c>
      <c r="F329" s="1" t="s">
        <v>139</v>
      </c>
      <c r="G329">
        <v>4</v>
      </c>
      <c r="H329" s="1" t="s">
        <v>18</v>
      </c>
      <c r="I329">
        <v>12</v>
      </c>
      <c r="J329">
        <v>3</v>
      </c>
      <c r="K329">
        <v>1</v>
      </c>
      <c r="L329">
        <v>0</v>
      </c>
      <c r="M329">
        <v>0</v>
      </c>
      <c r="N329">
        <v>0</v>
      </c>
      <c r="O329" s="1" t="s">
        <v>18</v>
      </c>
      <c r="P329" s="1" t="s">
        <v>135</v>
      </c>
      <c r="Q329">
        <v>1162</v>
      </c>
      <c r="R329" s="1" t="s">
        <v>64</v>
      </c>
      <c r="S329">
        <v>3</v>
      </c>
      <c r="T329">
        <v>1</v>
      </c>
      <c r="U329">
        <v>4</v>
      </c>
      <c r="V329">
        <v>41</v>
      </c>
      <c r="W329">
        <v>3</v>
      </c>
      <c r="X329">
        <v>2</v>
      </c>
      <c r="Y329" s="1" t="s">
        <v>4</v>
      </c>
      <c r="Z329">
        <v>3</v>
      </c>
      <c r="AA329">
        <v>5238</v>
      </c>
      <c r="AB329">
        <v>17778</v>
      </c>
      <c r="AC329" s="1" t="s">
        <v>18</v>
      </c>
      <c r="AD329">
        <v>18</v>
      </c>
      <c r="AE329">
        <v>3</v>
      </c>
      <c r="AF329">
        <v>1</v>
      </c>
      <c r="AG329">
        <v>80</v>
      </c>
      <c r="AH329">
        <v>0</v>
      </c>
      <c r="AI329">
        <v>2</v>
      </c>
      <c r="AJ329">
        <v>1</v>
      </c>
      <c r="AK329" s="1" t="s">
        <v>136</v>
      </c>
    </row>
    <row r="330" spans="1:37" x14ac:dyDescent="0.25">
      <c r="A330">
        <v>446</v>
      </c>
      <c r="B330">
        <v>33</v>
      </c>
      <c r="C330" s="1" t="s">
        <v>25</v>
      </c>
      <c r="D330" s="1" t="s">
        <v>71</v>
      </c>
      <c r="E330">
        <v>3</v>
      </c>
      <c r="F330" s="1" t="s">
        <v>142</v>
      </c>
      <c r="G330">
        <v>3</v>
      </c>
      <c r="H330" s="1" t="s">
        <v>18</v>
      </c>
      <c r="I330">
        <v>9</v>
      </c>
      <c r="J330">
        <v>6</v>
      </c>
      <c r="K330">
        <v>7</v>
      </c>
      <c r="L330">
        <v>7</v>
      </c>
      <c r="M330">
        <v>0</v>
      </c>
      <c r="N330">
        <v>1</v>
      </c>
      <c r="O330" s="1" t="s">
        <v>19</v>
      </c>
      <c r="P330" s="1" t="s">
        <v>137</v>
      </c>
      <c r="Q330">
        <v>508</v>
      </c>
      <c r="R330" s="1" t="s">
        <v>64</v>
      </c>
      <c r="S330">
        <v>10</v>
      </c>
      <c r="T330">
        <v>1</v>
      </c>
      <c r="U330">
        <v>2</v>
      </c>
      <c r="V330">
        <v>46</v>
      </c>
      <c r="W330">
        <v>2</v>
      </c>
      <c r="X330">
        <v>2</v>
      </c>
      <c r="Y330" s="1" t="s">
        <v>4</v>
      </c>
      <c r="Z330">
        <v>4</v>
      </c>
      <c r="AA330">
        <v>4682</v>
      </c>
      <c r="AB330">
        <v>4317</v>
      </c>
      <c r="AC330" s="1" t="s">
        <v>19</v>
      </c>
      <c r="AD330">
        <v>14</v>
      </c>
      <c r="AE330">
        <v>3</v>
      </c>
      <c r="AF330">
        <v>3</v>
      </c>
      <c r="AG330">
        <v>80</v>
      </c>
      <c r="AH330">
        <v>0</v>
      </c>
      <c r="AI330">
        <v>2</v>
      </c>
      <c r="AJ330">
        <v>0</v>
      </c>
      <c r="AK330" s="1" t="s">
        <v>136</v>
      </c>
    </row>
    <row r="331" spans="1:37" x14ac:dyDescent="0.25">
      <c r="A331">
        <v>447</v>
      </c>
      <c r="B331">
        <v>47</v>
      </c>
      <c r="C331" s="1" t="s">
        <v>25</v>
      </c>
      <c r="D331" s="1" t="s">
        <v>70</v>
      </c>
      <c r="E331">
        <v>5</v>
      </c>
      <c r="F331" s="1" t="s">
        <v>134</v>
      </c>
      <c r="G331">
        <v>4</v>
      </c>
      <c r="H331" s="1" t="s">
        <v>18</v>
      </c>
      <c r="I331">
        <v>21</v>
      </c>
      <c r="J331">
        <v>2</v>
      </c>
      <c r="K331">
        <v>3</v>
      </c>
      <c r="L331">
        <v>2</v>
      </c>
      <c r="M331">
        <v>1</v>
      </c>
      <c r="N331">
        <v>1</v>
      </c>
      <c r="O331" s="1" t="s">
        <v>19</v>
      </c>
      <c r="P331" s="1" t="s">
        <v>135</v>
      </c>
      <c r="Q331">
        <v>1482</v>
      </c>
      <c r="R331" s="1" t="s">
        <v>63</v>
      </c>
      <c r="S331">
        <v>5</v>
      </c>
      <c r="T331">
        <v>1</v>
      </c>
      <c r="U331">
        <v>4</v>
      </c>
      <c r="V331">
        <v>42</v>
      </c>
      <c r="W331">
        <v>3</v>
      </c>
      <c r="X331">
        <v>5</v>
      </c>
      <c r="Y331" s="1" t="s">
        <v>11</v>
      </c>
      <c r="Z331">
        <v>3</v>
      </c>
      <c r="AA331">
        <v>18300</v>
      </c>
      <c r="AB331">
        <v>16375</v>
      </c>
      <c r="AC331" s="1" t="s">
        <v>19</v>
      </c>
      <c r="AD331">
        <v>11</v>
      </c>
      <c r="AE331">
        <v>3</v>
      </c>
      <c r="AF331">
        <v>2</v>
      </c>
      <c r="AG331">
        <v>80</v>
      </c>
      <c r="AH331">
        <v>1</v>
      </c>
      <c r="AI331">
        <v>3</v>
      </c>
      <c r="AJ331">
        <v>0</v>
      </c>
      <c r="AK331" s="1" t="s">
        <v>136</v>
      </c>
    </row>
    <row r="332" spans="1:37" x14ac:dyDescent="0.25">
      <c r="A332">
        <v>448</v>
      </c>
      <c r="B332">
        <v>43</v>
      </c>
      <c r="C332" s="1" t="s">
        <v>24</v>
      </c>
      <c r="D332" s="1" t="s">
        <v>69</v>
      </c>
      <c r="E332">
        <v>4</v>
      </c>
      <c r="F332" s="1" t="s">
        <v>134</v>
      </c>
      <c r="G332">
        <v>1</v>
      </c>
      <c r="H332" s="1" t="s">
        <v>18</v>
      </c>
      <c r="I332">
        <v>9</v>
      </c>
      <c r="J332">
        <v>3</v>
      </c>
      <c r="K332">
        <v>9</v>
      </c>
      <c r="L332">
        <v>7</v>
      </c>
      <c r="M332">
        <v>0</v>
      </c>
      <c r="N332">
        <v>0</v>
      </c>
      <c r="O332" s="1" t="s">
        <v>19</v>
      </c>
      <c r="P332" s="1" t="s">
        <v>137</v>
      </c>
      <c r="Q332">
        <v>559</v>
      </c>
      <c r="R332" s="1" t="s">
        <v>63</v>
      </c>
      <c r="S332">
        <v>10</v>
      </c>
      <c r="T332">
        <v>1</v>
      </c>
      <c r="U332">
        <v>3</v>
      </c>
      <c r="V332">
        <v>82</v>
      </c>
      <c r="W332">
        <v>2</v>
      </c>
      <c r="X332">
        <v>2</v>
      </c>
      <c r="Y332" s="1" t="s">
        <v>6</v>
      </c>
      <c r="Z332">
        <v>3</v>
      </c>
      <c r="AA332">
        <v>5257</v>
      </c>
      <c r="AB332">
        <v>6227</v>
      </c>
      <c r="AC332" s="1" t="s">
        <v>19</v>
      </c>
      <c r="AD332">
        <v>11</v>
      </c>
      <c r="AE332">
        <v>3</v>
      </c>
      <c r="AF332">
        <v>2</v>
      </c>
      <c r="AG332">
        <v>80</v>
      </c>
      <c r="AH332">
        <v>1</v>
      </c>
      <c r="AI332">
        <v>4</v>
      </c>
      <c r="AJ332">
        <v>0</v>
      </c>
      <c r="AK332" s="1" t="s">
        <v>136</v>
      </c>
    </row>
    <row r="333" spans="1:37" x14ac:dyDescent="0.25">
      <c r="A333">
        <v>449</v>
      </c>
      <c r="B333">
        <v>27</v>
      </c>
      <c r="C333" s="1" t="s">
        <v>25</v>
      </c>
      <c r="D333" s="1" t="s">
        <v>70</v>
      </c>
      <c r="E333">
        <v>1</v>
      </c>
      <c r="F333" s="1" t="s">
        <v>142</v>
      </c>
      <c r="G333">
        <v>0</v>
      </c>
      <c r="H333" s="1" t="s">
        <v>18</v>
      </c>
      <c r="I333">
        <v>6</v>
      </c>
      <c r="J333">
        <v>0</v>
      </c>
      <c r="K333">
        <v>5</v>
      </c>
      <c r="L333">
        <v>4</v>
      </c>
      <c r="M333">
        <v>1</v>
      </c>
      <c r="N333">
        <v>4</v>
      </c>
      <c r="O333" s="1" t="s">
        <v>19</v>
      </c>
      <c r="P333" s="1" t="s">
        <v>141</v>
      </c>
      <c r="Q333">
        <v>210</v>
      </c>
      <c r="R333" s="1" t="s">
        <v>64</v>
      </c>
      <c r="S333">
        <v>1</v>
      </c>
      <c r="T333">
        <v>1</v>
      </c>
      <c r="U333">
        <v>3</v>
      </c>
      <c r="V333">
        <v>73</v>
      </c>
      <c r="W333">
        <v>3</v>
      </c>
      <c r="X333">
        <v>2</v>
      </c>
      <c r="Y333" s="1" t="s">
        <v>4</v>
      </c>
      <c r="Z333">
        <v>2</v>
      </c>
      <c r="AA333">
        <v>6349</v>
      </c>
      <c r="AB333">
        <v>22107</v>
      </c>
      <c r="AC333" s="1" t="s">
        <v>18</v>
      </c>
      <c r="AD333">
        <v>13</v>
      </c>
      <c r="AE333">
        <v>3</v>
      </c>
      <c r="AF333">
        <v>4</v>
      </c>
      <c r="AG333">
        <v>80</v>
      </c>
      <c r="AH333">
        <v>1</v>
      </c>
      <c r="AI333">
        <v>3</v>
      </c>
      <c r="AJ333">
        <v>0</v>
      </c>
      <c r="AK333" s="1" t="s">
        <v>136</v>
      </c>
    </row>
    <row r="334" spans="1:37" x14ac:dyDescent="0.25">
      <c r="A334">
        <v>450</v>
      </c>
      <c r="B334">
        <v>54</v>
      </c>
      <c r="C334" s="1" t="s">
        <v>24</v>
      </c>
      <c r="D334" s="1" t="s">
        <v>71</v>
      </c>
      <c r="E334">
        <v>4</v>
      </c>
      <c r="F334" s="1" t="s">
        <v>134</v>
      </c>
      <c r="G334">
        <v>3</v>
      </c>
      <c r="H334" s="1" t="s">
        <v>18</v>
      </c>
      <c r="I334">
        <v>20</v>
      </c>
      <c r="J334">
        <v>4</v>
      </c>
      <c r="K334">
        <v>4</v>
      </c>
      <c r="L334">
        <v>3</v>
      </c>
      <c r="M334">
        <v>0</v>
      </c>
      <c r="N334">
        <v>3</v>
      </c>
      <c r="O334" s="1" t="s">
        <v>19</v>
      </c>
      <c r="P334" s="1" t="s">
        <v>137</v>
      </c>
      <c r="Q334">
        <v>928</v>
      </c>
      <c r="R334" s="1" t="s">
        <v>63</v>
      </c>
      <c r="S334">
        <v>20</v>
      </c>
      <c r="T334">
        <v>1</v>
      </c>
      <c r="U334">
        <v>4</v>
      </c>
      <c r="V334">
        <v>31</v>
      </c>
      <c r="W334">
        <v>3</v>
      </c>
      <c r="X334">
        <v>2</v>
      </c>
      <c r="Y334" s="1" t="s">
        <v>5</v>
      </c>
      <c r="Z334">
        <v>3</v>
      </c>
      <c r="AA334">
        <v>4869</v>
      </c>
      <c r="AB334">
        <v>16885</v>
      </c>
      <c r="AC334" s="1" t="s">
        <v>19</v>
      </c>
      <c r="AD334">
        <v>12</v>
      </c>
      <c r="AE334">
        <v>3</v>
      </c>
      <c r="AF334">
        <v>4</v>
      </c>
      <c r="AG334">
        <v>80</v>
      </c>
      <c r="AH334">
        <v>0</v>
      </c>
      <c r="AI334">
        <v>2</v>
      </c>
      <c r="AJ334">
        <v>0</v>
      </c>
      <c r="AK334" s="1" t="s">
        <v>140</v>
      </c>
    </row>
    <row r="335" spans="1:37" x14ac:dyDescent="0.25">
      <c r="A335">
        <v>451</v>
      </c>
      <c r="B335">
        <v>43</v>
      </c>
      <c r="C335" s="1" t="s">
        <v>24</v>
      </c>
      <c r="D335" s="1" t="s">
        <v>70</v>
      </c>
      <c r="E335">
        <v>3</v>
      </c>
      <c r="F335" s="1" t="s">
        <v>134</v>
      </c>
      <c r="G335">
        <v>8</v>
      </c>
      <c r="H335" s="1" t="s">
        <v>18</v>
      </c>
      <c r="I335">
        <v>10</v>
      </c>
      <c r="J335">
        <v>1</v>
      </c>
      <c r="K335">
        <v>1</v>
      </c>
      <c r="L335">
        <v>0</v>
      </c>
      <c r="M335">
        <v>0</v>
      </c>
      <c r="N335">
        <v>0</v>
      </c>
      <c r="O335" s="1" t="s">
        <v>19</v>
      </c>
      <c r="P335" s="1" t="s">
        <v>135</v>
      </c>
      <c r="Q335">
        <v>1001</v>
      </c>
      <c r="R335" s="1" t="s">
        <v>63</v>
      </c>
      <c r="S335">
        <v>7</v>
      </c>
      <c r="T335">
        <v>1</v>
      </c>
      <c r="U335">
        <v>3</v>
      </c>
      <c r="V335">
        <v>43</v>
      </c>
      <c r="W335">
        <v>3</v>
      </c>
      <c r="X335">
        <v>3</v>
      </c>
      <c r="Y335" s="1" t="s">
        <v>8</v>
      </c>
      <c r="Z335">
        <v>1</v>
      </c>
      <c r="AA335">
        <v>9985</v>
      </c>
      <c r="AB335">
        <v>9262</v>
      </c>
      <c r="AC335" s="1" t="s">
        <v>19</v>
      </c>
      <c r="AD335">
        <v>16</v>
      </c>
      <c r="AE335">
        <v>3</v>
      </c>
      <c r="AF335">
        <v>1</v>
      </c>
      <c r="AG335">
        <v>80</v>
      </c>
      <c r="AH335">
        <v>1</v>
      </c>
      <c r="AI335">
        <v>2</v>
      </c>
      <c r="AJ335">
        <v>0</v>
      </c>
      <c r="AK335" s="1" t="s">
        <v>136</v>
      </c>
    </row>
    <row r="336" spans="1:37" x14ac:dyDescent="0.25">
      <c r="A336">
        <v>452</v>
      </c>
      <c r="B336">
        <v>45</v>
      </c>
      <c r="C336" s="1" t="s">
        <v>25</v>
      </c>
      <c r="D336" s="1" t="s">
        <v>70</v>
      </c>
      <c r="E336">
        <v>4</v>
      </c>
      <c r="F336" s="1" t="s">
        <v>138</v>
      </c>
      <c r="G336">
        <v>9</v>
      </c>
      <c r="H336" s="1" t="s">
        <v>18</v>
      </c>
      <c r="I336">
        <v>12</v>
      </c>
      <c r="J336">
        <v>3</v>
      </c>
      <c r="K336">
        <v>10</v>
      </c>
      <c r="L336">
        <v>9</v>
      </c>
      <c r="M336">
        <v>9</v>
      </c>
      <c r="N336">
        <v>8</v>
      </c>
      <c r="O336" s="1" t="s">
        <v>19</v>
      </c>
      <c r="P336" s="1" t="s">
        <v>135</v>
      </c>
      <c r="Q336">
        <v>549</v>
      </c>
      <c r="R336" s="1" t="s">
        <v>63</v>
      </c>
      <c r="S336">
        <v>8</v>
      </c>
      <c r="T336">
        <v>1</v>
      </c>
      <c r="U336">
        <v>4</v>
      </c>
      <c r="V336">
        <v>75</v>
      </c>
      <c r="W336">
        <v>3</v>
      </c>
      <c r="X336">
        <v>2</v>
      </c>
      <c r="Y336" s="1" t="s">
        <v>5</v>
      </c>
      <c r="Z336">
        <v>4</v>
      </c>
      <c r="AA336">
        <v>3697</v>
      </c>
      <c r="AB336">
        <v>9278</v>
      </c>
      <c r="AC336" s="1" t="s">
        <v>19</v>
      </c>
      <c r="AD336">
        <v>14</v>
      </c>
      <c r="AE336">
        <v>3</v>
      </c>
      <c r="AF336">
        <v>1</v>
      </c>
      <c r="AG336">
        <v>80</v>
      </c>
      <c r="AH336">
        <v>2</v>
      </c>
      <c r="AI336">
        <v>3</v>
      </c>
      <c r="AJ336">
        <v>0</v>
      </c>
      <c r="AK336" s="1" t="s">
        <v>136</v>
      </c>
    </row>
    <row r="337" spans="1:37" x14ac:dyDescent="0.25">
      <c r="A337">
        <v>453</v>
      </c>
      <c r="B337">
        <v>40</v>
      </c>
      <c r="C337" s="1" t="s">
        <v>25</v>
      </c>
      <c r="D337" s="1" t="s">
        <v>70</v>
      </c>
      <c r="E337">
        <v>2</v>
      </c>
      <c r="F337" s="1" t="s">
        <v>139</v>
      </c>
      <c r="G337">
        <v>2</v>
      </c>
      <c r="H337" s="1" t="s">
        <v>18</v>
      </c>
      <c r="I337">
        <v>6</v>
      </c>
      <c r="J337">
        <v>2</v>
      </c>
      <c r="K337">
        <v>4</v>
      </c>
      <c r="L337">
        <v>3</v>
      </c>
      <c r="M337">
        <v>0</v>
      </c>
      <c r="N337">
        <v>2</v>
      </c>
      <c r="O337" s="1" t="s">
        <v>19</v>
      </c>
      <c r="P337" s="1" t="s">
        <v>135</v>
      </c>
      <c r="Q337">
        <v>1124</v>
      </c>
      <c r="R337" s="1" t="s">
        <v>64</v>
      </c>
      <c r="S337">
        <v>1</v>
      </c>
      <c r="T337">
        <v>1</v>
      </c>
      <c r="U337">
        <v>2</v>
      </c>
      <c r="V337">
        <v>57</v>
      </c>
      <c r="W337">
        <v>1</v>
      </c>
      <c r="X337">
        <v>2</v>
      </c>
      <c r="Y337" s="1" t="s">
        <v>4</v>
      </c>
      <c r="Z337">
        <v>4</v>
      </c>
      <c r="AA337">
        <v>7457</v>
      </c>
      <c r="AB337">
        <v>13273</v>
      </c>
      <c r="AC337" s="1" t="s">
        <v>18</v>
      </c>
      <c r="AD337">
        <v>22</v>
      </c>
      <c r="AE337">
        <v>4</v>
      </c>
      <c r="AF337">
        <v>3</v>
      </c>
      <c r="AG337">
        <v>80</v>
      </c>
      <c r="AH337">
        <v>3</v>
      </c>
      <c r="AI337">
        <v>2</v>
      </c>
      <c r="AJ337">
        <v>0</v>
      </c>
      <c r="AK337" s="1" t="s">
        <v>136</v>
      </c>
    </row>
    <row r="338" spans="1:37" x14ac:dyDescent="0.25">
      <c r="A338">
        <v>454</v>
      </c>
      <c r="B338">
        <v>29</v>
      </c>
      <c r="C338" s="1" t="s">
        <v>25</v>
      </c>
      <c r="D338" s="1" t="s">
        <v>70</v>
      </c>
      <c r="E338">
        <v>4</v>
      </c>
      <c r="F338" s="1" t="s">
        <v>138</v>
      </c>
      <c r="G338">
        <v>1</v>
      </c>
      <c r="H338" s="1" t="s">
        <v>18</v>
      </c>
      <c r="I338">
        <v>7</v>
      </c>
      <c r="J338">
        <v>4</v>
      </c>
      <c r="K338">
        <v>7</v>
      </c>
      <c r="L338">
        <v>7</v>
      </c>
      <c r="M338">
        <v>0</v>
      </c>
      <c r="N338">
        <v>7</v>
      </c>
      <c r="O338" s="1" t="s">
        <v>18</v>
      </c>
      <c r="P338" s="1" t="s">
        <v>135</v>
      </c>
      <c r="Q338">
        <v>318</v>
      </c>
      <c r="R338" s="1" t="s">
        <v>63</v>
      </c>
      <c r="S338">
        <v>8</v>
      </c>
      <c r="T338">
        <v>1</v>
      </c>
      <c r="U338">
        <v>2</v>
      </c>
      <c r="V338">
        <v>77</v>
      </c>
      <c r="W338">
        <v>1</v>
      </c>
      <c r="X338">
        <v>1</v>
      </c>
      <c r="Y338" s="1" t="s">
        <v>6</v>
      </c>
      <c r="Z338">
        <v>1</v>
      </c>
      <c r="AA338">
        <v>2119</v>
      </c>
      <c r="AB338">
        <v>4759</v>
      </c>
      <c r="AC338" s="1" t="s">
        <v>18</v>
      </c>
      <c r="AD338">
        <v>11</v>
      </c>
      <c r="AE338">
        <v>3</v>
      </c>
      <c r="AF338">
        <v>4</v>
      </c>
      <c r="AG338">
        <v>80</v>
      </c>
      <c r="AH338">
        <v>0</v>
      </c>
      <c r="AI338">
        <v>2</v>
      </c>
      <c r="AJ338">
        <v>1</v>
      </c>
      <c r="AK338" s="1" t="s">
        <v>136</v>
      </c>
    </row>
    <row r="339" spans="1:37" x14ac:dyDescent="0.25">
      <c r="A339">
        <v>455</v>
      </c>
      <c r="B339">
        <v>29</v>
      </c>
      <c r="C339" s="1" t="s">
        <v>25</v>
      </c>
      <c r="D339" s="1" t="s">
        <v>71</v>
      </c>
      <c r="E339">
        <v>5</v>
      </c>
      <c r="F339" s="1" t="s">
        <v>138</v>
      </c>
      <c r="G339">
        <v>0</v>
      </c>
      <c r="H339" s="1" t="s">
        <v>18</v>
      </c>
      <c r="I339">
        <v>4</v>
      </c>
      <c r="J339">
        <v>2</v>
      </c>
      <c r="K339">
        <v>3</v>
      </c>
      <c r="L339">
        <v>2</v>
      </c>
      <c r="M339">
        <v>2</v>
      </c>
      <c r="N339">
        <v>2</v>
      </c>
      <c r="O339" s="1" t="s">
        <v>19</v>
      </c>
      <c r="P339" s="1" t="s">
        <v>135</v>
      </c>
      <c r="Q339">
        <v>738</v>
      </c>
      <c r="R339" s="1" t="s">
        <v>63</v>
      </c>
      <c r="S339">
        <v>9</v>
      </c>
      <c r="T339">
        <v>1</v>
      </c>
      <c r="U339">
        <v>2</v>
      </c>
      <c r="V339">
        <v>30</v>
      </c>
      <c r="W339">
        <v>2</v>
      </c>
      <c r="X339">
        <v>1</v>
      </c>
      <c r="Y339" s="1" t="s">
        <v>6</v>
      </c>
      <c r="Z339">
        <v>4</v>
      </c>
      <c r="AA339">
        <v>3983</v>
      </c>
      <c r="AB339">
        <v>7621</v>
      </c>
      <c r="AC339" s="1" t="s">
        <v>19</v>
      </c>
      <c r="AD339">
        <v>17</v>
      </c>
      <c r="AE339">
        <v>3</v>
      </c>
      <c r="AF339">
        <v>3</v>
      </c>
      <c r="AG339">
        <v>80</v>
      </c>
      <c r="AH339">
        <v>0</v>
      </c>
      <c r="AI339">
        <v>3</v>
      </c>
      <c r="AJ339">
        <v>0</v>
      </c>
      <c r="AK339" s="1" t="s">
        <v>136</v>
      </c>
    </row>
    <row r="340" spans="1:37" x14ac:dyDescent="0.25">
      <c r="A340">
        <v>456</v>
      </c>
      <c r="B340">
        <v>30</v>
      </c>
      <c r="C340" s="1" t="s">
        <v>24</v>
      </c>
      <c r="D340" s="1" t="s">
        <v>69</v>
      </c>
      <c r="E340">
        <v>3</v>
      </c>
      <c r="F340" s="1" t="s">
        <v>142</v>
      </c>
      <c r="G340">
        <v>1</v>
      </c>
      <c r="H340" s="1" t="s">
        <v>18</v>
      </c>
      <c r="I340">
        <v>10</v>
      </c>
      <c r="J340">
        <v>2</v>
      </c>
      <c r="K340">
        <v>10</v>
      </c>
      <c r="L340">
        <v>9</v>
      </c>
      <c r="M340">
        <v>1</v>
      </c>
      <c r="N340">
        <v>2</v>
      </c>
      <c r="O340" s="1" t="s">
        <v>19</v>
      </c>
      <c r="P340" s="1" t="s">
        <v>135</v>
      </c>
      <c r="Q340">
        <v>570</v>
      </c>
      <c r="R340" s="1" t="s">
        <v>64</v>
      </c>
      <c r="S340">
        <v>5</v>
      </c>
      <c r="T340">
        <v>1</v>
      </c>
      <c r="U340">
        <v>4</v>
      </c>
      <c r="V340">
        <v>30</v>
      </c>
      <c r="W340">
        <v>2</v>
      </c>
      <c r="X340">
        <v>2</v>
      </c>
      <c r="Y340" s="1" t="s">
        <v>4</v>
      </c>
      <c r="Z340">
        <v>3</v>
      </c>
      <c r="AA340">
        <v>6118</v>
      </c>
      <c r="AB340">
        <v>5431</v>
      </c>
      <c r="AC340" s="1" t="s">
        <v>19</v>
      </c>
      <c r="AD340">
        <v>13</v>
      </c>
      <c r="AE340">
        <v>3</v>
      </c>
      <c r="AF340">
        <v>3</v>
      </c>
      <c r="AG340">
        <v>80</v>
      </c>
      <c r="AH340">
        <v>3</v>
      </c>
      <c r="AI340">
        <v>3</v>
      </c>
      <c r="AJ340">
        <v>0</v>
      </c>
      <c r="AK340" s="1" t="s">
        <v>136</v>
      </c>
    </row>
    <row r="341" spans="1:37" x14ac:dyDescent="0.25">
      <c r="A341">
        <v>458</v>
      </c>
      <c r="B341">
        <v>27</v>
      </c>
      <c r="C341" s="1" t="s">
        <v>24</v>
      </c>
      <c r="D341" s="1" t="s">
        <v>70</v>
      </c>
      <c r="E341">
        <v>4</v>
      </c>
      <c r="F341" s="1" t="s">
        <v>142</v>
      </c>
      <c r="G341">
        <v>1</v>
      </c>
      <c r="H341" s="1" t="s">
        <v>18</v>
      </c>
      <c r="I341">
        <v>8</v>
      </c>
      <c r="J341">
        <v>3</v>
      </c>
      <c r="K341">
        <v>8</v>
      </c>
      <c r="L341">
        <v>7</v>
      </c>
      <c r="M341">
        <v>0</v>
      </c>
      <c r="N341">
        <v>7</v>
      </c>
      <c r="O341" s="1" t="s">
        <v>19</v>
      </c>
      <c r="P341" s="1" t="s">
        <v>135</v>
      </c>
      <c r="Q341">
        <v>1130</v>
      </c>
      <c r="R341" s="1" t="s">
        <v>64</v>
      </c>
      <c r="S341">
        <v>8</v>
      </c>
      <c r="T341">
        <v>1</v>
      </c>
      <c r="U341">
        <v>2</v>
      </c>
      <c r="V341">
        <v>56</v>
      </c>
      <c r="W341">
        <v>3</v>
      </c>
      <c r="X341">
        <v>2</v>
      </c>
      <c r="Y341" s="1" t="s">
        <v>4</v>
      </c>
      <c r="Z341">
        <v>2</v>
      </c>
      <c r="AA341">
        <v>6214</v>
      </c>
      <c r="AB341">
        <v>3415</v>
      </c>
      <c r="AC341" s="1" t="s">
        <v>19</v>
      </c>
      <c r="AD341">
        <v>18</v>
      </c>
      <c r="AE341">
        <v>3</v>
      </c>
      <c r="AF341">
        <v>1</v>
      </c>
      <c r="AG341">
        <v>80</v>
      </c>
      <c r="AH341">
        <v>1</v>
      </c>
      <c r="AI341">
        <v>3</v>
      </c>
      <c r="AJ341">
        <v>0</v>
      </c>
      <c r="AK341" s="1" t="s">
        <v>136</v>
      </c>
    </row>
    <row r="342" spans="1:37" x14ac:dyDescent="0.25">
      <c r="A342">
        <v>460</v>
      </c>
      <c r="B342">
        <v>37</v>
      </c>
      <c r="C342" s="1" t="s">
        <v>25</v>
      </c>
      <c r="D342" s="1" t="s">
        <v>69</v>
      </c>
      <c r="E342">
        <v>2</v>
      </c>
      <c r="F342" s="1" t="s">
        <v>139</v>
      </c>
      <c r="G342">
        <v>7</v>
      </c>
      <c r="H342" s="1" t="s">
        <v>18</v>
      </c>
      <c r="I342">
        <v>8</v>
      </c>
      <c r="J342">
        <v>2</v>
      </c>
      <c r="K342">
        <v>6</v>
      </c>
      <c r="L342">
        <v>2</v>
      </c>
      <c r="M342">
        <v>0</v>
      </c>
      <c r="N342">
        <v>4</v>
      </c>
      <c r="O342" s="1" t="s">
        <v>19</v>
      </c>
      <c r="P342" s="1" t="s">
        <v>135</v>
      </c>
      <c r="Q342">
        <v>1192</v>
      </c>
      <c r="R342" s="1" t="s">
        <v>63</v>
      </c>
      <c r="S342">
        <v>5</v>
      </c>
      <c r="T342">
        <v>1</v>
      </c>
      <c r="U342">
        <v>4</v>
      </c>
      <c r="V342">
        <v>61</v>
      </c>
      <c r="W342">
        <v>3</v>
      </c>
      <c r="X342">
        <v>2</v>
      </c>
      <c r="Y342" s="1" t="s">
        <v>7</v>
      </c>
      <c r="Z342">
        <v>4</v>
      </c>
      <c r="AA342">
        <v>6347</v>
      </c>
      <c r="AB342">
        <v>23177</v>
      </c>
      <c r="AC342" s="1" t="s">
        <v>19</v>
      </c>
      <c r="AD342">
        <v>16</v>
      </c>
      <c r="AE342">
        <v>3</v>
      </c>
      <c r="AF342">
        <v>3</v>
      </c>
      <c r="AG342">
        <v>80</v>
      </c>
      <c r="AH342">
        <v>2</v>
      </c>
      <c r="AI342">
        <v>2</v>
      </c>
      <c r="AJ342">
        <v>0</v>
      </c>
      <c r="AK342" s="1" t="s">
        <v>136</v>
      </c>
    </row>
    <row r="343" spans="1:37" x14ac:dyDescent="0.25">
      <c r="A343">
        <v>461</v>
      </c>
      <c r="B343">
        <v>38</v>
      </c>
      <c r="C343" s="1" t="s">
        <v>25</v>
      </c>
      <c r="D343" s="1" t="s">
        <v>69</v>
      </c>
      <c r="E343">
        <v>2</v>
      </c>
      <c r="F343" s="1" t="s">
        <v>134</v>
      </c>
      <c r="G343">
        <v>0</v>
      </c>
      <c r="H343" s="1" t="s">
        <v>18</v>
      </c>
      <c r="I343">
        <v>12</v>
      </c>
      <c r="J343">
        <v>3</v>
      </c>
      <c r="K343">
        <v>11</v>
      </c>
      <c r="L343">
        <v>10</v>
      </c>
      <c r="M343">
        <v>2</v>
      </c>
      <c r="N343">
        <v>9</v>
      </c>
      <c r="O343" s="1" t="s">
        <v>19</v>
      </c>
      <c r="P343" s="1" t="s">
        <v>135</v>
      </c>
      <c r="Q343">
        <v>343</v>
      </c>
      <c r="R343" s="1" t="s">
        <v>63</v>
      </c>
      <c r="S343">
        <v>15</v>
      </c>
      <c r="T343">
        <v>1</v>
      </c>
      <c r="U343">
        <v>3</v>
      </c>
      <c r="V343">
        <v>92</v>
      </c>
      <c r="W343">
        <v>2</v>
      </c>
      <c r="X343">
        <v>3</v>
      </c>
      <c r="Y343" s="1" t="s">
        <v>11</v>
      </c>
      <c r="Z343">
        <v>4</v>
      </c>
      <c r="AA343">
        <v>11510</v>
      </c>
      <c r="AB343">
        <v>15682</v>
      </c>
      <c r="AC343" s="1" t="s">
        <v>18</v>
      </c>
      <c r="AD343">
        <v>14</v>
      </c>
      <c r="AE343">
        <v>3</v>
      </c>
      <c r="AF343">
        <v>2</v>
      </c>
      <c r="AG343">
        <v>80</v>
      </c>
      <c r="AH343">
        <v>1</v>
      </c>
      <c r="AI343">
        <v>3</v>
      </c>
      <c r="AJ343">
        <v>0</v>
      </c>
      <c r="AK343" s="1" t="s">
        <v>136</v>
      </c>
    </row>
    <row r="344" spans="1:37" x14ac:dyDescent="0.25">
      <c r="A344">
        <v>462</v>
      </c>
      <c r="B344">
        <v>31</v>
      </c>
      <c r="C344" s="1" t="s">
        <v>24</v>
      </c>
      <c r="D344" s="1" t="s">
        <v>71</v>
      </c>
      <c r="E344">
        <v>4</v>
      </c>
      <c r="F344" s="1" t="s">
        <v>139</v>
      </c>
      <c r="G344">
        <v>1</v>
      </c>
      <c r="H344" s="1" t="s">
        <v>18</v>
      </c>
      <c r="I344">
        <v>11</v>
      </c>
      <c r="J344">
        <v>2</v>
      </c>
      <c r="K344">
        <v>11</v>
      </c>
      <c r="L344">
        <v>9</v>
      </c>
      <c r="M344">
        <v>4</v>
      </c>
      <c r="N344">
        <v>10</v>
      </c>
      <c r="O344" s="1" t="s">
        <v>19</v>
      </c>
      <c r="P344" s="1" t="s">
        <v>135</v>
      </c>
      <c r="Q344">
        <v>1232</v>
      </c>
      <c r="R344" s="1" t="s">
        <v>63</v>
      </c>
      <c r="S344">
        <v>7</v>
      </c>
      <c r="T344">
        <v>1</v>
      </c>
      <c r="U344">
        <v>3</v>
      </c>
      <c r="V344">
        <v>39</v>
      </c>
      <c r="W344">
        <v>3</v>
      </c>
      <c r="X344">
        <v>3</v>
      </c>
      <c r="Y344" s="1" t="s">
        <v>7</v>
      </c>
      <c r="Z344">
        <v>4</v>
      </c>
      <c r="AA344">
        <v>7143</v>
      </c>
      <c r="AB344">
        <v>25713</v>
      </c>
      <c r="AC344" s="1" t="s">
        <v>18</v>
      </c>
      <c r="AD344">
        <v>14</v>
      </c>
      <c r="AE344">
        <v>3</v>
      </c>
      <c r="AF344">
        <v>3</v>
      </c>
      <c r="AG344">
        <v>80</v>
      </c>
      <c r="AH344">
        <v>0</v>
      </c>
      <c r="AI344">
        <v>2</v>
      </c>
      <c r="AJ344">
        <v>0</v>
      </c>
      <c r="AK344" s="1" t="s">
        <v>136</v>
      </c>
    </row>
    <row r="345" spans="1:37" x14ac:dyDescent="0.25">
      <c r="A345">
        <v>463</v>
      </c>
      <c r="B345">
        <v>29</v>
      </c>
      <c r="C345" s="1" t="s">
        <v>24</v>
      </c>
      <c r="D345" s="1" t="s">
        <v>69</v>
      </c>
      <c r="E345">
        <v>1</v>
      </c>
      <c r="F345" s="1" t="s">
        <v>142</v>
      </c>
      <c r="G345">
        <v>1</v>
      </c>
      <c r="H345" s="1" t="s">
        <v>18</v>
      </c>
      <c r="I345">
        <v>7</v>
      </c>
      <c r="J345">
        <v>2</v>
      </c>
      <c r="K345">
        <v>7</v>
      </c>
      <c r="L345">
        <v>7</v>
      </c>
      <c r="M345">
        <v>1</v>
      </c>
      <c r="N345">
        <v>7</v>
      </c>
      <c r="O345" s="1" t="s">
        <v>19</v>
      </c>
      <c r="P345" s="1" t="s">
        <v>135</v>
      </c>
      <c r="Q345">
        <v>144</v>
      </c>
      <c r="R345" s="1" t="s">
        <v>64</v>
      </c>
      <c r="S345">
        <v>10</v>
      </c>
      <c r="T345">
        <v>1</v>
      </c>
      <c r="U345">
        <v>4</v>
      </c>
      <c r="V345">
        <v>39</v>
      </c>
      <c r="W345">
        <v>2</v>
      </c>
      <c r="X345">
        <v>2</v>
      </c>
      <c r="Y345" s="1" t="s">
        <v>4</v>
      </c>
      <c r="Z345">
        <v>2</v>
      </c>
      <c r="AA345">
        <v>8268</v>
      </c>
      <c r="AB345">
        <v>11866</v>
      </c>
      <c r="AC345" s="1" t="s">
        <v>18</v>
      </c>
      <c r="AD345">
        <v>14</v>
      </c>
      <c r="AE345">
        <v>3</v>
      </c>
      <c r="AF345">
        <v>1</v>
      </c>
      <c r="AG345">
        <v>80</v>
      </c>
      <c r="AH345">
        <v>2</v>
      </c>
      <c r="AI345">
        <v>3</v>
      </c>
      <c r="AJ345">
        <v>0</v>
      </c>
      <c r="AK345" s="1" t="s">
        <v>136</v>
      </c>
    </row>
    <row r="346" spans="1:37" x14ac:dyDescent="0.25">
      <c r="A346">
        <v>464</v>
      </c>
      <c r="B346">
        <v>35</v>
      </c>
      <c r="C346" s="1" t="s">
        <v>25</v>
      </c>
      <c r="D346" s="1" t="s">
        <v>71</v>
      </c>
      <c r="E346">
        <v>4</v>
      </c>
      <c r="F346" s="1" t="s">
        <v>143</v>
      </c>
      <c r="G346">
        <v>0</v>
      </c>
      <c r="H346" s="1" t="s">
        <v>18</v>
      </c>
      <c r="I346">
        <v>17</v>
      </c>
      <c r="J346">
        <v>5</v>
      </c>
      <c r="K346">
        <v>16</v>
      </c>
      <c r="L346">
        <v>6</v>
      </c>
      <c r="M346">
        <v>0</v>
      </c>
      <c r="N346">
        <v>13</v>
      </c>
      <c r="O346" s="1" t="s">
        <v>19</v>
      </c>
      <c r="P346" s="1" t="s">
        <v>135</v>
      </c>
      <c r="Q346">
        <v>1296</v>
      </c>
      <c r="R346" s="1" t="s">
        <v>63</v>
      </c>
      <c r="S346">
        <v>5</v>
      </c>
      <c r="T346">
        <v>1</v>
      </c>
      <c r="U346">
        <v>3</v>
      </c>
      <c r="V346">
        <v>62</v>
      </c>
      <c r="W346">
        <v>3</v>
      </c>
      <c r="X346">
        <v>3</v>
      </c>
      <c r="Y346" s="1" t="s">
        <v>7</v>
      </c>
      <c r="Z346">
        <v>2</v>
      </c>
      <c r="AA346">
        <v>8095</v>
      </c>
      <c r="AB346">
        <v>18264</v>
      </c>
      <c r="AC346" s="1" t="s">
        <v>19</v>
      </c>
      <c r="AD346">
        <v>13</v>
      </c>
      <c r="AE346">
        <v>3</v>
      </c>
      <c r="AF346">
        <v>4</v>
      </c>
      <c r="AG346">
        <v>80</v>
      </c>
      <c r="AH346">
        <v>0</v>
      </c>
      <c r="AI346">
        <v>3</v>
      </c>
      <c r="AJ346">
        <v>0</v>
      </c>
      <c r="AK346" s="1" t="s">
        <v>136</v>
      </c>
    </row>
    <row r="347" spans="1:37" x14ac:dyDescent="0.25">
      <c r="A347">
        <v>465</v>
      </c>
      <c r="B347">
        <v>23</v>
      </c>
      <c r="C347" s="1" t="s">
        <v>25</v>
      </c>
      <c r="D347" s="1" t="s">
        <v>69</v>
      </c>
      <c r="E347">
        <v>1</v>
      </c>
      <c r="F347" s="1" t="s">
        <v>134</v>
      </c>
      <c r="G347">
        <v>1</v>
      </c>
      <c r="H347" s="1" t="s">
        <v>18</v>
      </c>
      <c r="I347">
        <v>4</v>
      </c>
      <c r="J347">
        <v>2</v>
      </c>
      <c r="K347">
        <v>4</v>
      </c>
      <c r="L347">
        <v>2</v>
      </c>
      <c r="M347">
        <v>0</v>
      </c>
      <c r="N347">
        <v>2</v>
      </c>
      <c r="O347" s="1" t="s">
        <v>19</v>
      </c>
      <c r="P347" s="1" t="s">
        <v>135</v>
      </c>
      <c r="Q347">
        <v>1309</v>
      </c>
      <c r="R347" s="1" t="s">
        <v>63</v>
      </c>
      <c r="S347">
        <v>26</v>
      </c>
      <c r="T347">
        <v>1</v>
      </c>
      <c r="U347">
        <v>3</v>
      </c>
      <c r="V347">
        <v>83</v>
      </c>
      <c r="W347">
        <v>3</v>
      </c>
      <c r="X347">
        <v>1</v>
      </c>
      <c r="Y347" s="1" t="s">
        <v>5</v>
      </c>
      <c r="Z347">
        <v>4</v>
      </c>
      <c r="AA347">
        <v>2904</v>
      </c>
      <c r="AB347">
        <v>16092</v>
      </c>
      <c r="AC347" s="1" t="s">
        <v>19</v>
      </c>
      <c r="AD347">
        <v>12</v>
      </c>
      <c r="AE347">
        <v>3</v>
      </c>
      <c r="AF347">
        <v>3</v>
      </c>
      <c r="AG347">
        <v>80</v>
      </c>
      <c r="AH347">
        <v>2</v>
      </c>
      <c r="AI347">
        <v>2</v>
      </c>
      <c r="AJ347">
        <v>0</v>
      </c>
      <c r="AK347" s="1" t="s">
        <v>136</v>
      </c>
    </row>
    <row r="348" spans="1:37" x14ac:dyDescent="0.25">
      <c r="A348">
        <v>466</v>
      </c>
      <c r="B348">
        <v>41</v>
      </c>
      <c r="C348" s="1" t="s">
        <v>25</v>
      </c>
      <c r="D348" s="1" t="s">
        <v>71</v>
      </c>
      <c r="E348">
        <v>3</v>
      </c>
      <c r="F348" s="1" t="s">
        <v>139</v>
      </c>
      <c r="G348">
        <v>6</v>
      </c>
      <c r="H348" s="1" t="s">
        <v>18</v>
      </c>
      <c r="I348">
        <v>8</v>
      </c>
      <c r="J348">
        <v>3</v>
      </c>
      <c r="K348">
        <v>5</v>
      </c>
      <c r="L348">
        <v>4</v>
      </c>
      <c r="M348">
        <v>1</v>
      </c>
      <c r="N348">
        <v>2</v>
      </c>
      <c r="O348" s="1" t="s">
        <v>19</v>
      </c>
      <c r="P348" s="1" t="s">
        <v>135</v>
      </c>
      <c r="Q348">
        <v>483</v>
      </c>
      <c r="R348" s="1" t="s">
        <v>63</v>
      </c>
      <c r="S348">
        <v>6</v>
      </c>
      <c r="T348">
        <v>1</v>
      </c>
      <c r="U348">
        <v>4</v>
      </c>
      <c r="V348">
        <v>95</v>
      </c>
      <c r="W348">
        <v>2</v>
      </c>
      <c r="X348">
        <v>2</v>
      </c>
      <c r="Y348" s="1" t="s">
        <v>7</v>
      </c>
      <c r="Z348">
        <v>2</v>
      </c>
      <c r="AA348">
        <v>6032</v>
      </c>
      <c r="AB348">
        <v>10110</v>
      </c>
      <c r="AC348" s="1" t="s">
        <v>18</v>
      </c>
      <c r="AD348">
        <v>15</v>
      </c>
      <c r="AE348">
        <v>3</v>
      </c>
      <c r="AF348">
        <v>4</v>
      </c>
      <c r="AG348">
        <v>80</v>
      </c>
      <c r="AH348">
        <v>0</v>
      </c>
      <c r="AI348">
        <v>3</v>
      </c>
      <c r="AJ348">
        <v>0</v>
      </c>
      <c r="AK348" s="1" t="s">
        <v>136</v>
      </c>
    </row>
    <row r="349" spans="1:37" x14ac:dyDescent="0.25">
      <c r="A349">
        <v>467</v>
      </c>
      <c r="B349">
        <v>47</v>
      </c>
      <c r="C349" s="1" t="s">
        <v>25</v>
      </c>
      <c r="D349" s="1" t="s">
        <v>71</v>
      </c>
      <c r="E349">
        <v>1</v>
      </c>
      <c r="F349" s="1" t="s">
        <v>139</v>
      </c>
      <c r="G349">
        <v>3</v>
      </c>
      <c r="H349" s="1" t="s">
        <v>18</v>
      </c>
      <c r="I349">
        <v>5</v>
      </c>
      <c r="J349">
        <v>3</v>
      </c>
      <c r="K349">
        <v>0</v>
      </c>
      <c r="L349">
        <v>0</v>
      </c>
      <c r="M349">
        <v>0</v>
      </c>
      <c r="N349">
        <v>0</v>
      </c>
      <c r="O349" s="1" t="s">
        <v>19</v>
      </c>
      <c r="P349" s="1" t="s">
        <v>137</v>
      </c>
      <c r="Q349">
        <v>1309</v>
      </c>
      <c r="R349" s="1" t="s">
        <v>64</v>
      </c>
      <c r="S349">
        <v>4</v>
      </c>
      <c r="T349">
        <v>1</v>
      </c>
      <c r="U349">
        <v>2</v>
      </c>
      <c r="V349">
        <v>99</v>
      </c>
      <c r="W349">
        <v>3</v>
      </c>
      <c r="X349">
        <v>2</v>
      </c>
      <c r="Y349" s="1" t="s">
        <v>10</v>
      </c>
      <c r="Z349">
        <v>3</v>
      </c>
      <c r="AA349">
        <v>2976</v>
      </c>
      <c r="AB349">
        <v>25751</v>
      </c>
      <c r="AC349" s="1" t="s">
        <v>19</v>
      </c>
      <c r="AD349">
        <v>19</v>
      </c>
      <c r="AE349">
        <v>3</v>
      </c>
      <c r="AF349">
        <v>1</v>
      </c>
      <c r="AG349">
        <v>80</v>
      </c>
      <c r="AH349">
        <v>0</v>
      </c>
      <c r="AI349">
        <v>3</v>
      </c>
      <c r="AJ349">
        <v>0</v>
      </c>
      <c r="AK349" s="1" t="s">
        <v>136</v>
      </c>
    </row>
    <row r="350" spans="1:37" x14ac:dyDescent="0.25">
      <c r="A350">
        <v>468</v>
      </c>
      <c r="B350">
        <v>42</v>
      </c>
      <c r="C350" s="1" t="s">
        <v>24</v>
      </c>
      <c r="D350" s="1" t="s">
        <v>71</v>
      </c>
      <c r="E350">
        <v>5</v>
      </c>
      <c r="F350" s="1" t="s">
        <v>134</v>
      </c>
      <c r="G350">
        <v>2</v>
      </c>
      <c r="H350" s="1" t="s">
        <v>18</v>
      </c>
      <c r="I350">
        <v>16</v>
      </c>
      <c r="J350">
        <v>2</v>
      </c>
      <c r="K350">
        <v>1</v>
      </c>
      <c r="L350">
        <v>0</v>
      </c>
      <c r="M350">
        <v>0</v>
      </c>
      <c r="N350">
        <v>0</v>
      </c>
      <c r="O350" s="1" t="s">
        <v>19</v>
      </c>
      <c r="P350" s="1" t="s">
        <v>135</v>
      </c>
      <c r="Q350">
        <v>810</v>
      </c>
      <c r="R350" s="1" t="s">
        <v>63</v>
      </c>
      <c r="S350">
        <v>23</v>
      </c>
      <c r="T350">
        <v>1</v>
      </c>
      <c r="U350">
        <v>1</v>
      </c>
      <c r="V350">
        <v>44</v>
      </c>
      <c r="W350">
        <v>3</v>
      </c>
      <c r="X350">
        <v>4</v>
      </c>
      <c r="Y350" s="1" t="s">
        <v>11</v>
      </c>
      <c r="Z350">
        <v>4</v>
      </c>
      <c r="AA350">
        <v>15992</v>
      </c>
      <c r="AB350">
        <v>15901</v>
      </c>
      <c r="AC350" s="1" t="s">
        <v>19</v>
      </c>
      <c r="AD350">
        <v>14</v>
      </c>
      <c r="AE350">
        <v>3</v>
      </c>
      <c r="AF350">
        <v>2</v>
      </c>
      <c r="AG350">
        <v>80</v>
      </c>
      <c r="AH350">
        <v>0</v>
      </c>
      <c r="AI350">
        <v>3</v>
      </c>
      <c r="AJ350">
        <v>0</v>
      </c>
      <c r="AK350" s="1" t="s">
        <v>136</v>
      </c>
    </row>
    <row r="351" spans="1:37" x14ac:dyDescent="0.25">
      <c r="A351">
        <v>469</v>
      </c>
      <c r="B351">
        <v>29</v>
      </c>
      <c r="C351" s="1" t="s">
        <v>25</v>
      </c>
      <c r="D351" s="1" t="s">
        <v>70</v>
      </c>
      <c r="E351">
        <v>3</v>
      </c>
      <c r="F351" s="1" t="s">
        <v>134</v>
      </c>
      <c r="G351">
        <v>1</v>
      </c>
      <c r="H351" s="1" t="s">
        <v>18</v>
      </c>
      <c r="I351">
        <v>4</v>
      </c>
      <c r="J351">
        <v>3</v>
      </c>
      <c r="K351">
        <v>4</v>
      </c>
      <c r="L351">
        <v>3</v>
      </c>
      <c r="M351">
        <v>0</v>
      </c>
      <c r="N351">
        <v>2</v>
      </c>
      <c r="O351" s="1" t="s">
        <v>19</v>
      </c>
      <c r="P351" s="1" t="s">
        <v>141</v>
      </c>
      <c r="Q351">
        <v>746</v>
      </c>
      <c r="R351" s="1" t="s">
        <v>64</v>
      </c>
      <c r="S351">
        <v>2</v>
      </c>
      <c r="T351">
        <v>1</v>
      </c>
      <c r="U351">
        <v>4</v>
      </c>
      <c r="V351">
        <v>61</v>
      </c>
      <c r="W351">
        <v>3</v>
      </c>
      <c r="X351">
        <v>2</v>
      </c>
      <c r="Y351" s="1" t="s">
        <v>4</v>
      </c>
      <c r="Z351">
        <v>3</v>
      </c>
      <c r="AA351">
        <v>4649</v>
      </c>
      <c r="AB351">
        <v>16928</v>
      </c>
      <c r="AC351" s="1" t="s">
        <v>19</v>
      </c>
      <c r="AD351">
        <v>14</v>
      </c>
      <c r="AE351">
        <v>3</v>
      </c>
      <c r="AF351">
        <v>1</v>
      </c>
      <c r="AG351">
        <v>80</v>
      </c>
      <c r="AH351">
        <v>1</v>
      </c>
      <c r="AI351">
        <v>2</v>
      </c>
      <c r="AJ351">
        <v>0</v>
      </c>
      <c r="AK351" s="1" t="s">
        <v>136</v>
      </c>
    </row>
    <row r="352" spans="1:37" x14ac:dyDescent="0.25">
      <c r="A352">
        <v>470</v>
      </c>
      <c r="B352">
        <v>42</v>
      </c>
      <c r="C352" s="1" t="s">
        <v>25</v>
      </c>
      <c r="D352" s="1" t="s">
        <v>69</v>
      </c>
      <c r="E352">
        <v>1</v>
      </c>
      <c r="F352" s="1" t="s">
        <v>143</v>
      </c>
      <c r="G352">
        <v>0</v>
      </c>
      <c r="H352" s="1" t="s">
        <v>18</v>
      </c>
      <c r="I352">
        <v>4</v>
      </c>
      <c r="J352">
        <v>5</v>
      </c>
      <c r="K352">
        <v>3</v>
      </c>
      <c r="L352">
        <v>2</v>
      </c>
      <c r="M352">
        <v>1</v>
      </c>
      <c r="N352">
        <v>0</v>
      </c>
      <c r="O352" s="1" t="s">
        <v>19</v>
      </c>
      <c r="P352" s="1" t="s">
        <v>135</v>
      </c>
      <c r="Q352">
        <v>544</v>
      </c>
      <c r="R352" s="1" t="s">
        <v>12</v>
      </c>
      <c r="S352">
        <v>2</v>
      </c>
      <c r="T352">
        <v>1</v>
      </c>
      <c r="U352">
        <v>3</v>
      </c>
      <c r="V352">
        <v>52</v>
      </c>
      <c r="W352">
        <v>3</v>
      </c>
      <c r="X352">
        <v>1</v>
      </c>
      <c r="Y352" s="1" t="s">
        <v>12</v>
      </c>
      <c r="Z352">
        <v>3</v>
      </c>
      <c r="AA352">
        <v>2696</v>
      </c>
      <c r="AB352">
        <v>24017</v>
      </c>
      <c r="AC352" s="1" t="s">
        <v>18</v>
      </c>
      <c r="AD352">
        <v>11</v>
      </c>
      <c r="AE352">
        <v>3</v>
      </c>
      <c r="AF352">
        <v>3</v>
      </c>
      <c r="AG352">
        <v>80</v>
      </c>
      <c r="AH352">
        <v>1</v>
      </c>
      <c r="AI352">
        <v>3</v>
      </c>
      <c r="AJ352">
        <v>0</v>
      </c>
      <c r="AK352" s="1" t="s">
        <v>136</v>
      </c>
    </row>
    <row r="353" spans="1:37" x14ac:dyDescent="0.25">
      <c r="A353">
        <v>471</v>
      </c>
      <c r="B353">
        <v>32</v>
      </c>
      <c r="C353" s="1" t="s">
        <v>24</v>
      </c>
      <c r="D353" s="1" t="s">
        <v>70</v>
      </c>
      <c r="E353">
        <v>3</v>
      </c>
      <c r="F353" s="1" t="s">
        <v>139</v>
      </c>
      <c r="G353">
        <v>1</v>
      </c>
      <c r="H353" s="1" t="s">
        <v>18</v>
      </c>
      <c r="I353">
        <v>8</v>
      </c>
      <c r="J353">
        <v>4</v>
      </c>
      <c r="K353">
        <v>8</v>
      </c>
      <c r="L353">
        <v>0</v>
      </c>
      <c r="M353">
        <v>0</v>
      </c>
      <c r="N353">
        <v>7</v>
      </c>
      <c r="O353" s="1" t="s">
        <v>19</v>
      </c>
      <c r="P353" s="1" t="s">
        <v>135</v>
      </c>
      <c r="Q353">
        <v>1062</v>
      </c>
      <c r="R353" s="1" t="s">
        <v>63</v>
      </c>
      <c r="S353">
        <v>2</v>
      </c>
      <c r="T353">
        <v>1</v>
      </c>
      <c r="U353">
        <v>3</v>
      </c>
      <c r="V353">
        <v>75</v>
      </c>
      <c r="W353">
        <v>3</v>
      </c>
      <c r="X353">
        <v>1</v>
      </c>
      <c r="Y353" s="1" t="s">
        <v>6</v>
      </c>
      <c r="Z353">
        <v>2</v>
      </c>
      <c r="AA353">
        <v>2370</v>
      </c>
      <c r="AB353">
        <v>3956</v>
      </c>
      <c r="AC353" s="1" t="s">
        <v>19</v>
      </c>
      <c r="AD353">
        <v>13</v>
      </c>
      <c r="AE353">
        <v>3</v>
      </c>
      <c r="AF353">
        <v>3</v>
      </c>
      <c r="AG353">
        <v>80</v>
      </c>
      <c r="AH353">
        <v>1</v>
      </c>
      <c r="AI353">
        <v>3</v>
      </c>
      <c r="AJ353">
        <v>0</v>
      </c>
      <c r="AK353" s="1" t="s">
        <v>136</v>
      </c>
    </row>
    <row r="354" spans="1:37" x14ac:dyDescent="0.25">
      <c r="A354">
        <v>473</v>
      </c>
      <c r="B354">
        <v>48</v>
      </c>
      <c r="C354" s="1" t="s">
        <v>24</v>
      </c>
      <c r="D354" s="1" t="s">
        <v>70</v>
      </c>
      <c r="E354">
        <v>1</v>
      </c>
      <c r="F354" s="1" t="s">
        <v>139</v>
      </c>
      <c r="G354">
        <v>3</v>
      </c>
      <c r="H354" s="1" t="s">
        <v>18</v>
      </c>
      <c r="I354">
        <v>15</v>
      </c>
      <c r="J354">
        <v>3</v>
      </c>
      <c r="K354">
        <v>0</v>
      </c>
      <c r="L354">
        <v>0</v>
      </c>
      <c r="M354">
        <v>0</v>
      </c>
      <c r="N354">
        <v>0</v>
      </c>
      <c r="O354" s="1" t="s">
        <v>19</v>
      </c>
      <c r="P354" s="1" t="s">
        <v>135</v>
      </c>
      <c r="Q354">
        <v>530</v>
      </c>
      <c r="R354" s="1" t="s">
        <v>64</v>
      </c>
      <c r="S354">
        <v>29</v>
      </c>
      <c r="T354">
        <v>1</v>
      </c>
      <c r="U354">
        <v>1</v>
      </c>
      <c r="V354">
        <v>91</v>
      </c>
      <c r="W354">
        <v>3</v>
      </c>
      <c r="X354">
        <v>3</v>
      </c>
      <c r="Y354" s="1" t="s">
        <v>9</v>
      </c>
      <c r="Z354">
        <v>3</v>
      </c>
      <c r="AA354">
        <v>12504</v>
      </c>
      <c r="AB354">
        <v>23978</v>
      </c>
      <c r="AC354" s="1" t="s">
        <v>19</v>
      </c>
      <c r="AD354">
        <v>21</v>
      </c>
      <c r="AE354">
        <v>4</v>
      </c>
      <c r="AF354">
        <v>2</v>
      </c>
      <c r="AG354">
        <v>80</v>
      </c>
      <c r="AH354">
        <v>1</v>
      </c>
      <c r="AI354">
        <v>1</v>
      </c>
      <c r="AJ354">
        <v>0</v>
      </c>
      <c r="AK354" s="1" t="s">
        <v>136</v>
      </c>
    </row>
    <row r="355" spans="1:37" x14ac:dyDescent="0.25">
      <c r="A355">
        <v>474</v>
      </c>
      <c r="B355">
        <v>37</v>
      </c>
      <c r="C355" s="1" t="s">
        <v>25</v>
      </c>
      <c r="D355" s="1" t="s">
        <v>69</v>
      </c>
      <c r="E355">
        <v>3</v>
      </c>
      <c r="F355" s="1" t="s">
        <v>139</v>
      </c>
      <c r="G355">
        <v>4</v>
      </c>
      <c r="H355" s="1" t="s">
        <v>18</v>
      </c>
      <c r="I355">
        <v>13</v>
      </c>
      <c r="J355">
        <v>2</v>
      </c>
      <c r="K355">
        <v>7</v>
      </c>
      <c r="L355">
        <v>7</v>
      </c>
      <c r="M355">
        <v>6</v>
      </c>
      <c r="N355">
        <v>7</v>
      </c>
      <c r="O355" s="1" t="s">
        <v>19</v>
      </c>
      <c r="P355" s="1" t="s">
        <v>135</v>
      </c>
      <c r="Q355">
        <v>1319</v>
      </c>
      <c r="R355" s="1" t="s">
        <v>63</v>
      </c>
      <c r="S355">
        <v>6</v>
      </c>
      <c r="T355">
        <v>1</v>
      </c>
      <c r="U355">
        <v>3</v>
      </c>
      <c r="V355">
        <v>51</v>
      </c>
      <c r="W355">
        <v>4</v>
      </c>
      <c r="X355">
        <v>2</v>
      </c>
      <c r="Y355" s="1" t="s">
        <v>5</v>
      </c>
      <c r="Z355">
        <v>1</v>
      </c>
      <c r="AA355">
        <v>5974</v>
      </c>
      <c r="AB355">
        <v>17001</v>
      </c>
      <c r="AC355" s="1" t="s">
        <v>18</v>
      </c>
      <c r="AD355">
        <v>13</v>
      </c>
      <c r="AE355">
        <v>3</v>
      </c>
      <c r="AF355">
        <v>1</v>
      </c>
      <c r="AG355">
        <v>80</v>
      </c>
      <c r="AH355">
        <v>2</v>
      </c>
      <c r="AI355">
        <v>3</v>
      </c>
      <c r="AJ355">
        <v>0</v>
      </c>
      <c r="AK355" s="1" t="s">
        <v>136</v>
      </c>
    </row>
    <row r="356" spans="1:37" x14ac:dyDescent="0.25">
      <c r="A356">
        <v>475</v>
      </c>
      <c r="B356">
        <v>30</v>
      </c>
      <c r="C356" s="1" t="s">
        <v>24</v>
      </c>
      <c r="D356" s="1" t="s">
        <v>70</v>
      </c>
      <c r="E356">
        <v>2</v>
      </c>
      <c r="F356" s="1" t="s">
        <v>143</v>
      </c>
      <c r="G356">
        <v>7</v>
      </c>
      <c r="H356" s="1" t="s">
        <v>18</v>
      </c>
      <c r="I356">
        <v>4</v>
      </c>
      <c r="J356">
        <v>2</v>
      </c>
      <c r="K356">
        <v>2</v>
      </c>
      <c r="L356">
        <v>2</v>
      </c>
      <c r="M356">
        <v>2</v>
      </c>
      <c r="N356">
        <v>2</v>
      </c>
      <c r="O356" s="1" t="s">
        <v>19</v>
      </c>
      <c r="P356" s="1" t="s">
        <v>141</v>
      </c>
      <c r="Q356">
        <v>641</v>
      </c>
      <c r="R356" s="1" t="s">
        <v>64</v>
      </c>
      <c r="S356">
        <v>25</v>
      </c>
      <c r="T356">
        <v>1</v>
      </c>
      <c r="U356">
        <v>4</v>
      </c>
      <c r="V356">
        <v>85</v>
      </c>
      <c r="W356">
        <v>3</v>
      </c>
      <c r="X356">
        <v>2</v>
      </c>
      <c r="Y356" s="1" t="s">
        <v>4</v>
      </c>
      <c r="Z356">
        <v>3</v>
      </c>
      <c r="AA356">
        <v>4736</v>
      </c>
      <c r="AB356">
        <v>6069</v>
      </c>
      <c r="AC356" s="1" t="s">
        <v>18</v>
      </c>
      <c r="AD356">
        <v>12</v>
      </c>
      <c r="AE356">
        <v>3</v>
      </c>
      <c r="AF356">
        <v>2</v>
      </c>
      <c r="AG356">
        <v>80</v>
      </c>
      <c r="AH356">
        <v>1</v>
      </c>
      <c r="AI356">
        <v>4</v>
      </c>
      <c r="AJ356">
        <v>0</v>
      </c>
      <c r="AK356" s="1" t="s">
        <v>136</v>
      </c>
    </row>
    <row r="357" spans="1:37" x14ac:dyDescent="0.25">
      <c r="A357">
        <v>476</v>
      </c>
      <c r="B357">
        <v>26</v>
      </c>
      <c r="C357" s="1" t="s">
        <v>25</v>
      </c>
      <c r="D357" s="1" t="s">
        <v>70</v>
      </c>
      <c r="E357">
        <v>3</v>
      </c>
      <c r="F357" s="1" t="s">
        <v>134</v>
      </c>
      <c r="G357">
        <v>1</v>
      </c>
      <c r="H357" s="1" t="s">
        <v>18</v>
      </c>
      <c r="I357">
        <v>8</v>
      </c>
      <c r="J357">
        <v>3</v>
      </c>
      <c r="K357">
        <v>8</v>
      </c>
      <c r="L357">
        <v>7</v>
      </c>
      <c r="M357">
        <v>7</v>
      </c>
      <c r="N357">
        <v>7</v>
      </c>
      <c r="O357" s="1" t="s">
        <v>19</v>
      </c>
      <c r="P357" s="1" t="s">
        <v>135</v>
      </c>
      <c r="Q357">
        <v>933</v>
      </c>
      <c r="R357" s="1" t="s">
        <v>64</v>
      </c>
      <c r="S357">
        <v>1</v>
      </c>
      <c r="T357">
        <v>1</v>
      </c>
      <c r="U357">
        <v>3</v>
      </c>
      <c r="V357">
        <v>57</v>
      </c>
      <c r="W357">
        <v>3</v>
      </c>
      <c r="X357">
        <v>2</v>
      </c>
      <c r="Y357" s="1" t="s">
        <v>4</v>
      </c>
      <c r="Z357">
        <v>3</v>
      </c>
      <c r="AA357">
        <v>5296</v>
      </c>
      <c r="AB357">
        <v>20156</v>
      </c>
      <c r="AC357" s="1" t="s">
        <v>19</v>
      </c>
      <c r="AD357">
        <v>17</v>
      </c>
      <c r="AE357">
        <v>3</v>
      </c>
      <c r="AF357">
        <v>2</v>
      </c>
      <c r="AG357">
        <v>80</v>
      </c>
      <c r="AH357">
        <v>1</v>
      </c>
      <c r="AI357">
        <v>3</v>
      </c>
      <c r="AJ357">
        <v>0</v>
      </c>
      <c r="AK357" s="1" t="s">
        <v>136</v>
      </c>
    </row>
    <row r="358" spans="1:37" x14ac:dyDescent="0.25">
      <c r="A358">
        <v>477</v>
      </c>
      <c r="B358">
        <v>42</v>
      </c>
      <c r="C358" s="1" t="s">
        <v>25</v>
      </c>
      <c r="D358" s="1" t="s">
        <v>71</v>
      </c>
      <c r="E358">
        <v>4</v>
      </c>
      <c r="F358" s="1" t="s">
        <v>138</v>
      </c>
      <c r="G358">
        <v>3</v>
      </c>
      <c r="H358" s="1" t="s">
        <v>18</v>
      </c>
      <c r="I358">
        <v>14</v>
      </c>
      <c r="J358">
        <v>6</v>
      </c>
      <c r="K358">
        <v>1</v>
      </c>
      <c r="L358">
        <v>0</v>
      </c>
      <c r="M358">
        <v>0</v>
      </c>
      <c r="N358">
        <v>0</v>
      </c>
      <c r="O358" s="1" t="s">
        <v>19</v>
      </c>
      <c r="P358" s="1" t="s">
        <v>135</v>
      </c>
      <c r="Q358">
        <v>1332</v>
      </c>
      <c r="R358" s="1" t="s">
        <v>63</v>
      </c>
      <c r="S358">
        <v>2</v>
      </c>
      <c r="T358">
        <v>1</v>
      </c>
      <c r="U358">
        <v>1</v>
      </c>
      <c r="V358">
        <v>98</v>
      </c>
      <c r="W358">
        <v>2</v>
      </c>
      <c r="X358">
        <v>2</v>
      </c>
      <c r="Y358" s="1" t="s">
        <v>8</v>
      </c>
      <c r="Z358">
        <v>4</v>
      </c>
      <c r="AA358">
        <v>6781</v>
      </c>
      <c r="AB358">
        <v>17078</v>
      </c>
      <c r="AC358" s="1" t="s">
        <v>19</v>
      </c>
      <c r="AD358">
        <v>23</v>
      </c>
      <c r="AE358">
        <v>4</v>
      </c>
      <c r="AF358">
        <v>2</v>
      </c>
      <c r="AG358">
        <v>80</v>
      </c>
      <c r="AH358">
        <v>0</v>
      </c>
      <c r="AI358">
        <v>3</v>
      </c>
      <c r="AJ358">
        <v>0</v>
      </c>
      <c r="AK358" s="1" t="s">
        <v>136</v>
      </c>
    </row>
    <row r="359" spans="1:37" x14ac:dyDescent="0.25">
      <c r="A359">
        <v>478</v>
      </c>
      <c r="B359">
        <v>21</v>
      </c>
      <c r="C359" s="1" t="s">
        <v>24</v>
      </c>
      <c r="D359" s="1" t="s">
        <v>71</v>
      </c>
      <c r="E359">
        <v>1</v>
      </c>
      <c r="F359" s="1" t="s">
        <v>143</v>
      </c>
      <c r="G359">
        <v>1</v>
      </c>
      <c r="H359" s="1" t="s">
        <v>18</v>
      </c>
      <c r="I359">
        <v>3</v>
      </c>
      <c r="J359">
        <v>3</v>
      </c>
      <c r="K359">
        <v>3</v>
      </c>
      <c r="L359">
        <v>2</v>
      </c>
      <c r="M359">
        <v>1</v>
      </c>
      <c r="N359">
        <v>2</v>
      </c>
      <c r="O359" s="1" t="s">
        <v>18</v>
      </c>
      <c r="P359" s="1" t="s">
        <v>137</v>
      </c>
      <c r="Q359">
        <v>756</v>
      </c>
      <c r="R359" s="1" t="s">
        <v>64</v>
      </c>
      <c r="S359">
        <v>1</v>
      </c>
      <c r="T359">
        <v>1</v>
      </c>
      <c r="U359">
        <v>1</v>
      </c>
      <c r="V359">
        <v>99</v>
      </c>
      <c r="W359">
        <v>2</v>
      </c>
      <c r="X359">
        <v>1</v>
      </c>
      <c r="Y359" s="1" t="s">
        <v>10</v>
      </c>
      <c r="Z359">
        <v>2</v>
      </c>
      <c r="AA359">
        <v>2174</v>
      </c>
      <c r="AB359">
        <v>9150</v>
      </c>
      <c r="AC359" s="1" t="s">
        <v>18</v>
      </c>
      <c r="AD359">
        <v>11</v>
      </c>
      <c r="AE359">
        <v>3</v>
      </c>
      <c r="AF359">
        <v>3</v>
      </c>
      <c r="AG359">
        <v>80</v>
      </c>
      <c r="AH359">
        <v>0</v>
      </c>
      <c r="AI359">
        <v>3</v>
      </c>
      <c r="AJ359">
        <v>1</v>
      </c>
      <c r="AK359" s="1" t="s">
        <v>136</v>
      </c>
    </row>
    <row r="360" spans="1:37" x14ac:dyDescent="0.25">
      <c r="A360">
        <v>479</v>
      </c>
      <c r="B360">
        <v>36</v>
      </c>
      <c r="C360" s="1" t="s">
        <v>24</v>
      </c>
      <c r="D360" s="1" t="s">
        <v>71</v>
      </c>
      <c r="E360">
        <v>5</v>
      </c>
      <c r="F360" s="1" t="s">
        <v>139</v>
      </c>
      <c r="G360">
        <v>4</v>
      </c>
      <c r="H360" s="1" t="s">
        <v>18</v>
      </c>
      <c r="I360">
        <v>7</v>
      </c>
      <c r="J360">
        <v>6</v>
      </c>
      <c r="K360">
        <v>1</v>
      </c>
      <c r="L360">
        <v>0</v>
      </c>
      <c r="M360">
        <v>0</v>
      </c>
      <c r="N360">
        <v>0</v>
      </c>
      <c r="O360" s="1" t="s">
        <v>19</v>
      </c>
      <c r="P360" s="1" t="s">
        <v>141</v>
      </c>
      <c r="Q360">
        <v>845</v>
      </c>
      <c r="R360" s="1" t="s">
        <v>64</v>
      </c>
      <c r="S360">
        <v>1</v>
      </c>
      <c r="T360">
        <v>1</v>
      </c>
      <c r="U360">
        <v>4</v>
      </c>
      <c r="V360">
        <v>45</v>
      </c>
      <c r="W360">
        <v>3</v>
      </c>
      <c r="X360">
        <v>2</v>
      </c>
      <c r="Y360" s="1" t="s">
        <v>4</v>
      </c>
      <c r="Z360">
        <v>4</v>
      </c>
      <c r="AA360">
        <v>6653</v>
      </c>
      <c r="AB360">
        <v>15276</v>
      </c>
      <c r="AC360" s="1" t="s">
        <v>19</v>
      </c>
      <c r="AD360">
        <v>15</v>
      </c>
      <c r="AE360">
        <v>3</v>
      </c>
      <c r="AF360">
        <v>2</v>
      </c>
      <c r="AG360">
        <v>80</v>
      </c>
      <c r="AH360">
        <v>0</v>
      </c>
      <c r="AI360">
        <v>3</v>
      </c>
      <c r="AJ360">
        <v>0</v>
      </c>
      <c r="AK360" s="1" t="s">
        <v>136</v>
      </c>
    </row>
    <row r="361" spans="1:37" x14ac:dyDescent="0.25">
      <c r="A361">
        <v>481</v>
      </c>
      <c r="B361">
        <v>36</v>
      </c>
      <c r="C361" s="1" t="s">
        <v>25</v>
      </c>
      <c r="D361" s="1" t="s">
        <v>70</v>
      </c>
      <c r="E361">
        <v>4</v>
      </c>
      <c r="F361" s="1" t="s">
        <v>139</v>
      </c>
      <c r="G361">
        <v>4</v>
      </c>
      <c r="H361" s="1" t="s">
        <v>18</v>
      </c>
      <c r="I361">
        <v>16</v>
      </c>
      <c r="J361">
        <v>2</v>
      </c>
      <c r="K361">
        <v>13</v>
      </c>
      <c r="L361">
        <v>9</v>
      </c>
      <c r="M361">
        <v>1</v>
      </c>
      <c r="N361">
        <v>12</v>
      </c>
      <c r="O361" s="1" t="s">
        <v>19</v>
      </c>
      <c r="P361" s="1" t="s">
        <v>137</v>
      </c>
      <c r="Q361">
        <v>541</v>
      </c>
      <c r="R361" s="1" t="s">
        <v>64</v>
      </c>
      <c r="S361">
        <v>3</v>
      </c>
      <c r="T361">
        <v>1</v>
      </c>
      <c r="U361">
        <v>1</v>
      </c>
      <c r="V361">
        <v>48</v>
      </c>
      <c r="W361">
        <v>2</v>
      </c>
      <c r="X361">
        <v>3</v>
      </c>
      <c r="Y361" s="1" t="s">
        <v>4</v>
      </c>
      <c r="Z361">
        <v>4</v>
      </c>
      <c r="AA361">
        <v>9699</v>
      </c>
      <c r="AB361">
        <v>7246</v>
      </c>
      <c r="AC361" s="1" t="s">
        <v>19</v>
      </c>
      <c r="AD361">
        <v>11</v>
      </c>
      <c r="AE361">
        <v>3</v>
      </c>
      <c r="AF361">
        <v>1</v>
      </c>
      <c r="AG361">
        <v>80</v>
      </c>
      <c r="AH361">
        <v>1</v>
      </c>
      <c r="AI361">
        <v>3</v>
      </c>
      <c r="AJ361">
        <v>0</v>
      </c>
      <c r="AK361" s="1" t="s">
        <v>136</v>
      </c>
    </row>
    <row r="362" spans="1:37" x14ac:dyDescent="0.25">
      <c r="A362">
        <v>482</v>
      </c>
      <c r="B362">
        <v>57</v>
      </c>
      <c r="C362" s="1" t="s">
        <v>25</v>
      </c>
      <c r="D362" s="1" t="s">
        <v>70</v>
      </c>
      <c r="E362">
        <v>4</v>
      </c>
      <c r="F362" s="1" t="s">
        <v>139</v>
      </c>
      <c r="G362">
        <v>2</v>
      </c>
      <c r="H362" s="1" t="s">
        <v>18</v>
      </c>
      <c r="I362">
        <v>15</v>
      </c>
      <c r="J362">
        <v>2</v>
      </c>
      <c r="K362">
        <v>3</v>
      </c>
      <c r="L362">
        <v>2</v>
      </c>
      <c r="M362">
        <v>1</v>
      </c>
      <c r="N362">
        <v>2</v>
      </c>
      <c r="O362" s="1" t="s">
        <v>19</v>
      </c>
      <c r="P362" s="1" t="s">
        <v>135</v>
      </c>
      <c r="Q362">
        <v>593</v>
      </c>
      <c r="R362" s="1" t="s">
        <v>63</v>
      </c>
      <c r="S362">
        <v>1</v>
      </c>
      <c r="T362">
        <v>1</v>
      </c>
      <c r="U362">
        <v>4</v>
      </c>
      <c r="V362">
        <v>88</v>
      </c>
      <c r="W362">
        <v>3</v>
      </c>
      <c r="X362">
        <v>2</v>
      </c>
      <c r="Y362" s="1" t="s">
        <v>8</v>
      </c>
      <c r="Z362">
        <v>3</v>
      </c>
      <c r="AA362">
        <v>6755</v>
      </c>
      <c r="AB362">
        <v>2967</v>
      </c>
      <c r="AC362" s="1" t="s">
        <v>19</v>
      </c>
      <c r="AD362">
        <v>11</v>
      </c>
      <c r="AE362">
        <v>3</v>
      </c>
      <c r="AF362">
        <v>3</v>
      </c>
      <c r="AG362">
        <v>80</v>
      </c>
      <c r="AH362">
        <v>0</v>
      </c>
      <c r="AI362">
        <v>3</v>
      </c>
      <c r="AJ362">
        <v>0</v>
      </c>
      <c r="AK362" s="1" t="s">
        <v>140</v>
      </c>
    </row>
    <row r="363" spans="1:37" x14ac:dyDescent="0.25">
      <c r="A363">
        <v>483</v>
      </c>
      <c r="B363">
        <v>40</v>
      </c>
      <c r="C363" s="1" t="s">
        <v>24</v>
      </c>
      <c r="D363" s="1" t="s">
        <v>70</v>
      </c>
      <c r="E363">
        <v>4</v>
      </c>
      <c r="F363" s="1" t="s">
        <v>134</v>
      </c>
      <c r="G363">
        <v>3</v>
      </c>
      <c r="H363" s="1" t="s">
        <v>18</v>
      </c>
      <c r="I363">
        <v>10</v>
      </c>
      <c r="J363">
        <v>3</v>
      </c>
      <c r="K363">
        <v>7</v>
      </c>
      <c r="L363">
        <v>7</v>
      </c>
      <c r="M363">
        <v>1</v>
      </c>
      <c r="N363">
        <v>7</v>
      </c>
      <c r="O363" s="1" t="s">
        <v>19</v>
      </c>
      <c r="P363" s="1" t="s">
        <v>135</v>
      </c>
      <c r="Q363">
        <v>1171</v>
      </c>
      <c r="R363" s="1" t="s">
        <v>63</v>
      </c>
      <c r="S363">
        <v>10</v>
      </c>
      <c r="T363">
        <v>1</v>
      </c>
      <c r="U363">
        <v>4</v>
      </c>
      <c r="V363">
        <v>46</v>
      </c>
      <c r="W363">
        <v>4</v>
      </c>
      <c r="X363">
        <v>1</v>
      </c>
      <c r="Y363" s="1" t="s">
        <v>6</v>
      </c>
      <c r="Z363">
        <v>3</v>
      </c>
      <c r="AA363">
        <v>2213</v>
      </c>
      <c r="AB363">
        <v>22495</v>
      </c>
      <c r="AC363" s="1" t="s">
        <v>18</v>
      </c>
      <c r="AD363">
        <v>13</v>
      </c>
      <c r="AE363">
        <v>3</v>
      </c>
      <c r="AF363">
        <v>3</v>
      </c>
      <c r="AG363">
        <v>80</v>
      </c>
      <c r="AH363">
        <v>1</v>
      </c>
      <c r="AI363">
        <v>3</v>
      </c>
      <c r="AJ363">
        <v>0</v>
      </c>
      <c r="AK363" s="1" t="s">
        <v>136</v>
      </c>
    </row>
    <row r="364" spans="1:37" x14ac:dyDescent="0.25">
      <c r="A364">
        <v>484</v>
      </c>
      <c r="B364">
        <v>21</v>
      </c>
      <c r="C364" s="1" t="s">
        <v>25</v>
      </c>
      <c r="D364" s="1" t="s">
        <v>71</v>
      </c>
      <c r="E364">
        <v>2</v>
      </c>
      <c r="F364" s="1" t="s">
        <v>139</v>
      </c>
      <c r="G364">
        <v>1</v>
      </c>
      <c r="H364" s="1" t="s">
        <v>18</v>
      </c>
      <c r="I364">
        <v>3</v>
      </c>
      <c r="J364">
        <v>3</v>
      </c>
      <c r="K364">
        <v>3</v>
      </c>
      <c r="L364">
        <v>2</v>
      </c>
      <c r="M364">
        <v>2</v>
      </c>
      <c r="N364">
        <v>2</v>
      </c>
      <c r="O364" s="1" t="s">
        <v>19</v>
      </c>
      <c r="P364" s="1" t="s">
        <v>141</v>
      </c>
      <c r="Q364">
        <v>895</v>
      </c>
      <c r="R364" s="1" t="s">
        <v>64</v>
      </c>
      <c r="S364">
        <v>9</v>
      </c>
      <c r="T364">
        <v>1</v>
      </c>
      <c r="U364">
        <v>1</v>
      </c>
      <c r="V364">
        <v>39</v>
      </c>
      <c r="W364">
        <v>3</v>
      </c>
      <c r="X364">
        <v>1</v>
      </c>
      <c r="Y364" s="1" t="s">
        <v>10</v>
      </c>
      <c r="Z364">
        <v>4</v>
      </c>
      <c r="AA364">
        <v>2610</v>
      </c>
      <c r="AB364">
        <v>2851</v>
      </c>
      <c r="AC364" s="1" t="s">
        <v>19</v>
      </c>
      <c r="AD364">
        <v>24</v>
      </c>
      <c r="AE364">
        <v>4</v>
      </c>
      <c r="AF364">
        <v>3</v>
      </c>
      <c r="AG364">
        <v>80</v>
      </c>
      <c r="AH364">
        <v>0</v>
      </c>
      <c r="AI364">
        <v>2</v>
      </c>
      <c r="AJ364">
        <v>0</v>
      </c>
      <c r="AK364" s="1" t="s">
        <v>136</v>
      </c>
    </row>
    <row r="365" spans="1:37" x14ac:dyDescent="0.25">
      <c r="A365">
        <v>485</v>
      </c>
      <c r="B365">
        <v>33</v>
      </c>
      <c r="C365" s="1" t="s">
        <v>24</v>
      </c>
      <c r="D365" s="1" t="s">
        <v>71</v>
      </c>
      <c r="E365">
        <v>3</v>
      </c>
      <c r="F365" s="1" t="s">
        <v>142</v>
      </c>
      <c r="G365">
        <v>1</v>
      </c>
      <c r="H365" s="1" t="s">
        <v>18</v>
      </c>
      <c r="I365">
        <v>1</v>
      </c>
      <c r="J365">
        <v>2</v>
      </c>
      <c r="K365">
        <v>1</v>
      </c>
      <c r="L365">
        <v>0</v>
      </c>
      <c r="M365">
        <v>0</v>
      </c>
      <c r="N365">
        <v>0</v>
      </c>
      <c r="O365" s="1" t="s">
        <v>18</v>
      </c>
      <c r="P365" s="1" t="s">
        <v>135</v>
      </c>
      <c r="Q365">
        <v>350</v>
      </c>
      <c r="R365" s="1" t="s">
        <v>64</v>
      </c>
      <c r="S365">
        <v>5</v>
      </c>
      <c r="T365">
        <v>1</v>
      </c>
      <c r="U365">
        <v>4</v>
      </c>
      <c r="V365">
        <v>34</v>
      </c>
      <c r="W365">
        <v>3</v>
      </c>
      <c r="X365">
        <v>1</v>
      </c>
      <c r="Y365" s="1" t="s">
        <v>10</v>
      </c>
      <c r="Z365">
        <v>3</v>
      </c>
      <c r="AA365">
        <v>2851</v>
      </c>
      <c r="AB365">
        <v>9150</v>
      </c>
      <c r="AC365" s="1" t="s">
        <v>18</v>
      </c>
      <c r="AD365">
        <v>13</v>
      </c>
      <c r="AE365">
        <v>3</v>
      </c>
      <c r="AF365">
        <v>2</v>
      </c>
      <c r="AG365">
        <v>80</v>
      </c>
      <c r="AH365">
        <v>0</v>
      </c>
      <c r="AI365">
        <v>3</v>
      </c>
      <c r="AJ365">
        <v>1</v>
      </c>
      <c r="AK365" s="1" t="s">
        <v>136</v>
      </c>
    </row>
    <row r="366" spans="1:37" x14ac:dyDescent="0.25">
      <c r="A366">
        <v>486</v>
      </c>
      <c r="B366">
        <v>37</v>
      </c>
      <c r="C366" s="1" t="s">
        <v>24</v>
      </c>
      <c r="D366" s="1" t="s">
        <v>70</v>
      </c>
      <c r="E366">
        <v>3</v>
      </c>
      <c r="F366" s="1" t="s">
        <v>139</v>
      </c>
      <c r="G366">
        <v>6</v>
      </c>
      <c r="H366" s="1" t="s">
        <v>18</v>
      </c>
      <c r="I366">
        <v>17</v>
      </c>
      <c r="J366">
        <v>3</v>
      </c>
      <c r="K366">
        <v>5</v>
      </c>
      <c r="L366">
        <v>4</v>
      </c>
      <c r="M366">
        <v>0</v>
      </c>
      <c r="N366">
        <v>3</v>
      </c>
      <c r="O366" s="1" t="s">
        <v>19</v>
      </c>
      <c r="P366" s="1" t="s">
        <v>135</v>
      </c>
      <c r="Q366">
        <v>921</v>
      </c>
      <c r="R366" s="1" t="s">
        <v>63</v>
      </c>
      <c r="S366">
        <v>10</v>
      </c>
      <c r="T366">
        <v>1</v>
      </c>
      <c r="U366">
        <v>3</v>
      </c>
      <c r="V366">
        <v>98</v>
      </c>
      <c r="W366">
        <v>3</v>
      </c>
      <c r="X366">
        <v>1</v>
      </c>
      <c r="Y366" s="1" t="s">
        <v>6</v>
      </c>
      <c r="Z366">
        <v>1</v>
      </c>
      <c r="AA366">
        <v>3452</v>
      </c>
      <c r="AB366">
        <v>17663</v>
      </c>
      <c r="AC366" s="1" t="s">
        <v>19</v>
      </c>
      <c r="AD366">
        <v>20</v>
      </c>
      <c r="AE366">
        <v>4</v>
      </c>
      <c r="AF366">
        <v>2</v>
      </c>
      <c r="AG366">
        <v>80</v>
      </c>
      <c r="AH366">
        <v>1</v>
      </c>
      <c r="AI366">
        <v>3</v>
      </c>
      <c r="AJ366">
        <v>0</v>
      </c>
      <c r="AK366" s="1" t="s">
        <v>136</v>
      </c>
    </row>
    <row r="367" spans="1:37" x14ac:dyDescent="0.25">
      <c r="A367">
        <v>487</v>
      </c>
      <c r="B367">
        <v>46</v>
      </c>
      <c r="C367" s="1" t="s">
        <v>24</v>
      </c>
      <c r="D367" s="1" t="s">
        <v>70</v>
      </c>
      <c r="E367">
        <v>4</v>
      </c>
      <c r="F367" s="1" t="s">
        <v>139</v>
      </c>
      <c r="G367">
        <v>2</v>
      </c>
      <c r="H367" s="1" t="s">
        <v>18</v>
      </c>
      <c r="I367">
        <v>7</v>
      </c>
      <c r="J367">
        <v>2</v>
      </c>
      <c r="K367">
        <v>1</v>
      </c>
      <c r="L367">
        <v>0</v>
      </c>
      <c r="M367">
        <v>0</v>
      </c>
      <c r="N367">
        <v>0</v>
      </c>
      <c r="O367" s="1" t="s">
        <v>19</v>
      </c>
      <c r="P367" s="1" t="s">
        <v>141</v>
      </c>
      <c r="Q367">
        <v>1144</v>
      </c>
      <c r="R367" s="1" t="s">
        <v>63</v>
      </c>
      <c r="S367">
        <v>7</v>
      </c>
      <c r="T367">
        <v>1</v>
      </c>
      <c r="U367">
        <v>3</v>
      </c>
      <c r="V367">
        <v>30</v>
      </c>
      <c r="W367">
        <v>3</v>
      </c>
      <c r="X367">
        <v>2</v>
      </c>
      <c r="Y367" s="1" t="s">
        <v>7</v>
      </c>
      <c r="Z367">
        <v>3</v>
      </c>
      <c r="AA367">
        <v>5258</v>
      </c>
      <c r="AB367">
        <v>16044</v>
      </c>
      <c r="AC367" s="1" t="s">
        <v>19</v>
      </c>
      <c r="AD367">
        <v>14</v>
      </c>
      <c r="AE367">
        <v>3</v>
      </c>
      <c r="AF367">
        <v>3</v>
      </c>
      <c r="AG367">
        <v>80</v>
      </c>
      <c r="AH367">
        <v>0</v>
      </c>
      <c r="AI367">
        <v>4</v>
      </c>
      <c r="AJ367">
        <v>0</v>
      </c>
      <c r="AK367" s="1" t="s">
        <v>136</v>
      </c>
    </row>
    <row r="368" spans="1:37" x14ac:dyDescent="0.25">
      <c r="A368">
        <v>488</v>
      </c>
      <c r="B368">
        <v>41</v>
      </c>
      <c r="C368" s="1" t="s">
        <v>25</v>
      </c>
      <c r="D368" s="1" t="s">
        <v>71</v>
      </c>
      <c r="E368">
        <v>3</v>
      </c>
      <c r="F368" s="1" t="s">
        <v>142</v>
      </c>
      <c r="G368">
        <v>1</v>
      </c>
      <c r="H368" s="1" t="s">
        <v>18</v>
      </c>
      <c r="I368">
        <v>8</v>
      </c>
      <c r="J368">
        <v>5</v>
      </c>
      <c r="K368">
        <v>8</v>
      </c>
      <c r="L368">
        <v>7</v>
      </c>
      <c r="M368">
        <v>7</v>
      </c>
      <c r="N368">
        <v>7</v>
      </c>
      <c r="O368" s="1" t="s">
        <v>18</v>
      </c>
      <c r="P368" s="1" t="s">
        <v>137</v>
      </c>
      <c r="Q368">
        <v>143</v>
      </c>
      <c r="R368" s="1" t="s">
        <v>64</v>
      </c>
      <c r="S368">
        <v>4</v>
      </c>
      <c r="T368">
        <v>1</v>
      </c>
      <c r="U368">
        <v>1</v>
      </c>
      <c r="V368">
        <v>56</v>
      </c>
      <c r="W368">
        <v>3</v>
      </c>
      <c r="X368">
        <v>2</v>
      </c>
      <c r="Y368" s="1" t="s">
        <v>4</v>
      </c>
      <c r="Z368">
        <v>2</v>
      </c>
      <c r="AA368">
        <v>9355</v>
      </c>
      <c r="AB368">
        <v>9558</v>
      </c>
      <c r="AC368" s="1" t="s">
        <v>19</v>
      </c>
      <c r="AD368">
        <v>18</v>
      </c>
      <c r="AE368">
        <v>3</v>
      </c>
      <c r="AF368">
        <v>3</v>
      </c>
      <c r="AG368">
        <v>80</v>
      </c>
      <c r="AH368">
        <v>0</v>
      </c>
      <c r="AI368">
        <v>3</v>
      </c>
      <c r="AJ368">
        <v>1</v>
      </c>
      <c r="AK368" s="1" t="s">
        <v>136</v>
      </c>
    </row>
    <row r="369" spans="1:37" x14ac:dyDescent="0.25">
      <c r="A369">
        <v>491</v>
      </c>
      <c r="B369">
        <v>50</v>
      </c>
      <c r="C369" s="1" t="s">
        <v>25</v>
      </c>
      <c r="D369" s="1" t="s">
        <v>71</v>
      </c>
      <c r="E369">
        <v>3</v>
      </c>
      <c r="F369" s="1" t="s">
        <v>143</v>
      </c>
      <c r="G369">
        <v>6</v>
      </c>
      <c r="H369" s="1" t="s">
        <v>18</v>
      </c>
      <c r="I369">
        <v>20</v>
      </c>
      <c r="J369">
        <v>2</v>
      </c>
      <c r="K369">
        <v>4</v>
      </c>
      <c r="L369">
        <v>3</v>
      </c>
      <c r="M369">
        <v>1</v>
      </c>
      <c r="N369">
        <v>3</v>
      </c>
      <c r="O369" s="1" t="s">
        <v>19</v>
      </c>
      <c r="P369" s="1" t="s">
        <v>135</v>
      </c>
      <c r="Q369">
        <v>1046</v>
      </c>
      <c r="R369" s="1" t="s">
        <v>63</v>
      </c>
      <c r="S369">
        <v>10</v>
      </c>
      <c r="T369">
        <v>1</v>
      </c>
      <c r="U369">
        <v>4</v>
      </c>
      <c r="V369">
        <v>100</v>
      </c>
      <c r="W369">
        <v>2</v>
      </c>
      <c r="X369">
        <v>3</v>
      </c>
      <c r="Y369" s="1" t="s">
        <v>8</v>
      </c>
      <c r="Z369">
        <v>4</v>
      </c>
      <c r="AA369">
        <v>10496</v>
      </c>
      <c r="AB369">
        <v>2755</v>
      </c>
      <c r="AC369" s="1" t="s">
        <v>19</v>
      </c>
      <c r="AD369">
        <v>15</v>
      </c>
      <c r="AE369">
        <v>3</v>
      </c>
      <c r="AF369">
        <v>4</v>
      </c>
      <c r="AG369">
        <v>80</v>
      </c>
      <c r="AH369">
        <v>0</v>
      </c>
      <c r="AI369">
        <v>3</v>
      </c>
      <c r="AJ369">
        <v>0</v>
      </c>
      <c r="AK369" s="1" t="s">
        <v>140</v>
      </c>
    </row>
    <row r="370" spans="1:37" x14ac:dyDescent="0.25">
      <c r="A370">
        <v>492</v>
      </c>
      <c r="B370">
        <v>40</v>
      </c>
      <c r="C370" s="1" t="s">
        <v>25</v>
      </c>
      <c r="D370" s="1" t="s">
        <v>70</v>
      </c>
      <c r="E370">
        <v>2</v>
      </c>
      <c r="F370" s="1" t="s">
        <v>142</v>
      </c>
      <c r="G370">
        <v>2</v>
      </c>
      <c r="H370" s="1" t="s">
        <v>18</v>
      </c>
      <c r="I370">
        <v>8</v>
      </c>
      <c r="J370">
        <v>6</v>
      </c>
      <c r="K370">
        <v>6</v>
      </c>
      <c r="L370">
        <v>4</v>
      </c>
      <c r="M370">
        <v>1</v>
      </c>
      <c r="N370">
        <v>0</v>
      </c>
      <c r="O370" s="1" t="s">
        <v>18</v>
      </c>
      <c r="P370" s="1" t="s">
        <v>135</v>
      </c>
      <c r="Q370">
        <v>575</v>
      </c>
      <c r="R370" s="1" t="s">
        <v>64</v>
      </c>
      <c r="S370">
        <v>22</v>
      </c>
      <c r="T370">
        <v>1</v>
      </c>
      <c r="U370">
        <v>3</v>
      </c>
      <c r="V370">
        <v>68</v>
      </c>
      <c r="W370">
        <v>2</v>
      </c>
      <c r="X370">
        <v>2</v>
      </c>
      <c r="Y370" s="1" t="s">
        <v>4</v>
      </c>
      <c r="Z370">
        <v>3</v>
      </c>
      <c r="AA370">
        <v>6380</v>
      </c>
      <c r="AB370">
        <v>6110</v>
      </c>
      <c r="AC370" s="1" t="s">
        <v>18</v>
      </c>
      <c r="AD370">
        <v>12</v>
      </c>
      <c r="AE370">
        <v>3</v>
      </c>
      <c r="AF370">
        <v>1</v>
      </c>
      <c r="AG370">
        <v>80</v>
      </c>
      <c r="AH370">
        <v>2</v>
      </c>
      <c r="AI370">
        <v>3</v>
      </c>
      <c r="AJ370">
        <v>1</v>
      </c>
      <c r="AK370" s="1" t="s">
        <v>136</v>
      </c>
    </row>
    <row r="371" spans="1:37" x14ac:dyDescent="0.25">
      <c r="A371">
        <v>493</v>
      </c>
      <c r="B371">
        <v>31</v>
      </c>
      <c r="C371" s="1" t="s">
        <v>25</v>
      </c>
      <c r="D371" s="1" t="s">
        <v>71</v>
      </c>
      <c r="E371">
        <v>4</v>
      </c>
      <c r="F371" s="1" t="s">
        <v>134</v>
      </c>
      <c r="G371">
        <v>0</v>
      </c>
      <c r="H371" s="1" t="s">
        <v>18</v>
      </c>
      <c r="I371">
        <v>3</v>
      </c>
      <c r="J371">
        <v>5</v>
      </c>
      <c r="K371">
        <v>2</v>
      </c>
      <c r="L371">
        <v>2</v>
      </c>
      <c r="M371">
        <v>2</v>
      </c>
      <c r="N371">
        <v>2</v>
      </c>
      <c r="O371" s="1" t="s">
        <v>19</v>
      </c>
      <c r="P371" s="1" t="s">
        <v>135</v>
      </c>
      <c r="Q371">
        <v>408</v>
      </c>
      <c r="R371" s="1" t="s">
        <v>63</v>
      </c>
      <c r="S371">
        <v>9</v>
      </c>
      <c r="T371">
        <v>1</v>
      </c>
      <c r="U371">
        <v>3</v>
      </c>
      <c r="V371">
        <v>42</v>
      </c>
      <c r="W371">
        <v>2</v>
      </c>
      <c r="X371">
        <v>1</v>
      </c>
      <c r="Y371" s="1" t="s">
        <v>5</v>
      </c>
      <c r="Z371">
        <v>2</v>
      </c>
      <c r="AA371">
        <v>2657</v>
      </c>
      <c r="AB371">
        <v>7551</v>
      </c>
      <c r="AC371" s="1" t="s">
        <v>18</v>
      </c>
      <c r="AD371">
        <v>16</v>
      </c>
      <c r="AE371">
        <v>3</v>
      </c>
      <c r="AF371">
        <v>4</v>
      </c>
      <c r="AG371">
        <v>80</v>
      </c>
      <c r="AH371">
        <v>0</v>
      </c>
      <c r="AI371">
        <v>3</v>
      </c>
      <c r="AJ371">
        <v>0</v>
      </c>
      <c r="AK371" s="1" t="s">
        <v>136</v>
      </c>
    </row>
    <row r="372" spans="1:37" x14ac:dyDescent="0.25">
      <c r="A372">
        <v>494</v>
      </c>
      <c r="B372">
        <v>21</v>
      </c>
      <c r="C372" s="1" t="s">
        <v>24</v>
      </c>
      <c r="D372" s="1" t="s">
        <v>71</v>
      </c>
      <c r="E372">
        <v>3</v>
      </c>
      <c r="F372" s="1" t="s">
        <v>134</v>
      </c>
      <c r="G372">
        <v>1</v>
      </c>
      <c r="H372" s="1" t="s">
        <v>18</v>
      </c>
      <c r="I372">
        <v>1</v>
      </c>
      <c r="J372">
        <v>0</v>
      </c>
      <c r="K372">
        <v>1</v>
      </c>
      <c r="L372">
        <v>0</v>
      </c>
      <c r="M372">
        <v>0</v>
      </c>
      <c r="N372">
        <v>0</v>
      </c>
      <c r="O372" s="1" t="s">
        <v>18</v>
      </c>
      <c r="P372" s="1" t="s">
        <v>135</v>
      </c>
      <c r="Q372">
        <v>156</v>
      </c>
      <c r="R372" s="1" t="s">
        <v>64</v>
      </c>
      <c r="S372">
        <v>12</v>
      </c>
      <c r="T372">
        <v>1</v>
      </c>
      <c r="U372">
        <v>3</v>
      </c>
      <c r="V372">
        <v>90</v>
      </c>
      <c r="W372">
        <v>4</v>
      </c>
      <c r="X372">
        <v>1</v>
      </c>
      <c r="Y372" s="1" t="s">
        <v>10</v>
      </c>
      <c r="Z372">
        <v>2</v>
      </c>
      <c r="AA372">
        <v>2716</v>
      </c>
      <c r="AB372">
        <v>25422</v>
      </c>
      <c r="AC372" s="1" t="s">
        <v>19</v>
      </c>
      <c r="AD372">
        <v>15</v>
      </c>
      <c r="AE372">
        <v>3</v>
      </c>
      <c r="AF372">
        <v>4</v>
      </c>
      <c r="AG372">
        <v>80</v>
      </c>
      <c r="AH372">
        <v>0</v>
      </c>
      <c r="AI372">
        <v>3</v>
      </c>
      <c r="AJ372">
        <v>1</v>
      </c>
      <c r="AK372" s="1" t="s">
        <v>136</v>
      </c>
    </row>
    <row r="373" spans="1:37" x14ac:dyDescent="0.25">
      <c r="A373">
        <v>495</v>
      </c>
      <c r="B373">
        <v>29</v>
      </c>
      <c r="C373" s="1" t="s">
        <v>25</v>
      </c>
      <c r="D373" s="1" t="s">
        <v>71</v>
      </c>
      <c r="E373">
        <v>3</v>
      </c>
      <c r="F373" s="1" t="s">
        <v>134</v>
      </c>
      <c r="G373">
        <v>9</v>
      </c>
      <c r="H373" s="1" t="s">
        <v>18</v>
      </c>
      <c r="I373">
        <v>6</v>
      </c>
      <c r="J373">
        <v>4</v>
      </c>
      <c r="K373">
        <v>3</v>
      </c>
      <c r="L373">
        <v>2</v>
      </c>
      <c r="M373">
        <v>1</v>
      </c>
      <c r="N373">
        <v>2</v>
      </c>
      <c r="O373" s="1" t="s">
        <v>19</v>
      </c>
      <c r="P373" s="1" t="s">
        <v>135</v>
      </c>
      <c r="Q373">
        <v>1283</v>
      </c>
      <c r="R373" s="1" t="s">
        <v>63</v>
      </c>
      <c r="S373">
        <v>23</v>
      </c>
      <c r="T373">
        <v>1</v>
      </c>
      <c r="U373">
        <v>4</v>
      </c>
      <c r="V373">
        <v>54</v>
      </c>
      <c r="W373">
        <v>3</v>
      </c>
      <c r="X373">
        <v>1</v>
      </c>
      <c r="Y373" s="1" t="s">
        <v>5</v>
      </c>
      <c r="Z373">
        <v>4</v>
      </c>
      <c r="AA373">
        <v>2201</v>
      </c>
      <c r="AB373">
        <v>18168</v>
      </c>
      <c r="AC373" s="1" t="s">
        <v>19</v>
      </c>
      <c r="AD373">
        <v>16</v>
      </c>
      <c r="AE373">
        <v>3</v>
      </c>
      <c r="AF373">
        <v>4</v>
      </c>
      <c r="AG373">
        <v>80</v>
      </c>
      <c r="AH373">
        <v>0</v>
      </c>
      <c r="AI373">
        <v>3</v>
      </c>
      <c r="AJ373">
        <v>0</v>
      </c>
      <c r="AK373" s="1" t="s">
        <v>136</v>
      </c>
    </row>
    <row r="374" spans="1:37" x14ac:dyDescent="0.25">
      <c r="A374">
        <v>496</v>
      </c>
      <c r="B374">
        <v>35</v>
      </c>
      <c r="C374" s="1" t="s">
        <v>25</v>
      </c>
      <c r="D374" s="1" t="s">
        <v>71</v>
      </c>
      <c r="E374">
        <v>4</v>
      </c>
      <c r="F374" s="1" t="s">
        <v>134</v>
      </c>
      <c r="G374">
        <v>9</v>
      </c>
      <c r="H374" s="1" t="s">
        <v>18</v>
      </c>
      <c r="I374">
        <v>10</v>
      </c>
      <c r="J374">
        <v>5</v>
      </c>
      <c r="K374">
        <v>1</v>
      </c>
      <c r="L374">
        <v>1</v>
      </c>
      <c r="M374">
        <v>0</v>
      </c>
      <c r="N374">
        <v>0</v>
      </c>
      <c r="O374" s="1" t="s">
        <v>19</v>
      </c>
      <c r="P374" s="1" t="s">
        <v>135</v>
      </c>
      <c r="Q374">
        <v>755</v>
      </c>
      <c r="R374" s="1" t="s">
        <v>63</v>
      </c>
      <c r="S374">
        <v>9</v>
      </c>
      <c r="T374">
        <v>1</v>
      </c>
      <c r="U374">
        <v>3</v>
      </c>
      <c r="V374">
        <v>97</v>
      </c>
      <c r="W374">
        <v>2</v>
      </c>
      <c r="X374">
        <v>2</v>
      </c>
      <c r="Y374" s="1" t="s">
        <v>8</v>
      </c>
      <c r="Z374">
        <v>2</v>
      </c>
      <c r="AA374">
        <v>6540</v>
      </c>
      <c r="AB374">
        <v>19394</v>
      </c>
      <c r="AC374" s="1" t="s">
        <v>19</v>
      </c>
      <c r="AD374">
        <v>19</v>
      </c>
      <c r="AE374">
        <v>3</v>
      </c>
      <c r="AF374">
        <v>3</v>
      </c>
      <c r="AG374">
        <v>80</v>
      </c>
      <c r="AH374">
        <v>0</v>
      </c>
      <c r="AI374">
        <v>3</v>
      </c>
      <c r="AJ374">
        <v>0</v>
      </c>
      <c r="AK374" s="1" t="s">
        <v>136</v>
      </c>
    </row>
    <row r="375" spans="1:37" x14ac:dyDescent="0.25">
      <c r="A375">
        <v>497</v>
      </c>
      <c r="B375">
        <v>27</v>
      </c>
      <c r="C375" s="1" t="s">
        <v>25</v>
      </c>
      <c r="D375" s="1" t="s">
        <v>69</v>
      </c>
      <c r="E375">
        <v>2</v>
      </c>
      <c r="F375" s="1" t="s">
        <v>139</v>
      </c>
      <c r="G375">
        <v>1</v>
      </c>
      <c r="H375" s="1" t="s">
        <v>18</v>
      </c>
      <c r="I375">
        <v>5</v>
      </c>
      <c r="J375">
        <v>2</v>
      </c>
      <c r="K375">
        <v>5</v>
      </c>
      <c r="L375">
        <v>2</v>
      </c>
      <c r="M375">
        <v>0</v>
      </c>
      <c r="N375">
        <v>4</v>
      </c>
      <c r="O375" s="1" t="s">
        <v>19</v>
      </c>
      <c r="P375" s="1" t="s">
        <v>135</v>
      </c>
      <c r="Q375">
        <v>1469</v>
      </c>
      <c r="R375" s="1" t="s">
        <v>63</v>
      </c>
      <c r="S375">
        <v>1</v>
      </c>
      <c r="T375">
        <v>1</v>
      </c>
      <c r="U375">
        <v>4</v>
      </c>
      <c r="V375">
        <v>82</v>
      </c>
      <c r="W375">
        <v>3</v>
      </c>
      <c r="X375">
        <v>1</v>
      </c>
      <c r="Y375" s="1" t="s">
        <v>6</v>
      </c>
      <c r="Z375">
        <v>2</v>
      </c>
      <c r="AA375">
        <v>3816</v>
      </c>
      <c r="AB375">
        <v>17881</v>
      </c>
      <c r="AC375" s="1" t="s">
        <v>19</v>
      </c>
      <c r="AD375">
        <v>11</v>
      </c>
      <c r="AE375">
        <v>3</v>
      </c>
      <c r="AF375">
        <v>2</v>
      </c>
      <c r="AG375">
        <v>80</v>
      </c>
      <c r="AH375">
        <v>1</v>
      </c>
      <c r="AI375">
        <v>3</v>
      </c>
      <c r="AJ375">
        <v>0</v>
      </c>
      <c r="AK375" s="1" t="s">
        <v>136</v>
      </c>
    </row>
    <row r="376" spans="1:37" x14ac:dyDescent="0.25">
      <c r="A376">
        <v>498</v>
      </c>
      <c r="B376">
        <v>28</v>
      </c>
      <c r="C376" s="1" t="s">
        <v>25</v>
      </c>
      <c r="D376" s="1" t="s">
        <v>71</v>
      </c>
      <c r="E376">
        <v>4</v>
      </c>
      <c r="F376" s="1" t="s">
        <v>134</v>
      </c>
      <c r="G376">
        <v>1</v>
      </c>
      <c r="H376" s="1" t="s">
        <v>18</v>
      </c>
      <c r="I376">
        <v>7</v>
      </c>
      <c r="J376">
        <v>1</v>
      </c>
      <c r="K376">
        <v>7</v>
      </c>
      <c r="L376">
        <v>5</v>
      </c>
      <c r="M376">
        <v>0</v>
      </c>
      <c r="N376">
        <v>7</v>
      </c>
      <c r="O376" s="1" t="s">
        <v>19</v>
      </c>
      <c r="P376" s="1" t="s">
        <v>135</v>
      </c>
      <c r="Q376">
        <v>304</v>
      </c>
      <c r="R376" s="1" t="s">
        <v>64</v>
      </c>
      <c r="S376">
        <v>9</v>
      </c>
      <c r="T376">
        <v>1</v>
      </c>
      <c r="U376">
        <v>2</v>
      </c>
      <c r="V376">
        <v>92</v>
      </c>
      <c r="W376">
        <v>3</v>
      </c>
      <c r="X376">
        <v>2</v>
      </c>
      <c r="Y376" s="1" t="s">
        <v>4</v>
      </c>
      <c r="Z376">
        <v>4</v>
      </c>
      <c r="AA376">
        <v>5253</v>
      </c>
      <c r="AB376">
        <v>20750</v>
      </c>
      <c r="AC376" s="1" t="s">
        <v>19</v>
      </c>
      <c r="AD376">
        <v>16</v>
      </c>
      <c r="AE376">
        <v>3</v>
      </c>
      <c r="AF376">
        <v>4</v>
      </c>
      <c r="AG376">
        <v>80</v>
      </c>
      <c r="AH376">
        <v>0</v>
      </c>
      <c r="AI376">
        <v>3</v>
      </c>
      <c r="AJ376">
        <v>0</v>
      </c>
      <c r="AK376" s="1" t="s">
        <v>136</v>
      </c>
    </row>
    <row r="377" spans="1:37" x14ac:dyDescent="0.25">
      <c r="A377">
        <v>499</v>
      </c>
      <c r="B377">
        <v>49</v>
      </c>
      <c r="C377" s="1" t="s">
        <v>25</v>
      </c>
      <c r="D377" s="1" t="s">
        <v>71</v>
      </c>
      <c r="E377">
        <v>3</v>
      </c>
      <c r="F377" s="1" t="s">
        <v>138</v>
      </c>
      <c r="G377">
        <v>8</v>
      </c>
      <c r="H377" s="1" t="s">
        <v>18</v>
      </c>
      <c r="I377">
        <v>26</v>
      </c>
      <c r="J377">
        <v>2</v>
      </c>
      <c r="K377">
        <v>5</v>
      </c>
      <c r="L377">
        <v>2</v>
      </c>
      <c r="M377">
        <v>0</v>
      </c>
      <c r="N377">
        <v>0</v>
      </c>
      <c r="O377" s="1" t="s">
        <v>19</v>
      </c>
      <c r="P377" s="1" t="s">
        <v>135</v>
      </c>
      <c r="Q377">
        <v>1261</v>
      </c>
      <c r="R377" s="1" t="s">
        <v>63</v>
      </c>
      <c r="S377">
        <v>7</v>
      </c>
      <c r="T377">
        <v>1</v>
      </c>
      <c r="U377">
        <v>2</v>
      </c>
      <c r="V377">
        <v>31</v>
      </c>
      <c r="W377">
        <v>2</v>
      </c>
      <c r="X377">
        <v>3</v>
      </c>
      <c r="Y377" s="1" t="s">
        <v>8</v>
      </c>
      <c r="Z377">
        <v>3</v>
      </c>
      <c r="AA377">
        <v>10965</v>
      </c>
      <c r="AB377">
        <v>12066</v>
      </c>
      <c r="AC377" s="1" t="s">
        <v>19</v>
      </c>
      <c r="AD377">
        <v>24</v>
      </c>
      <c r="AE377">
        <v>4</v>
      </c>
      <c r="AF377">
        <v>3</v>
      </c>
      <c r="AG377">
        <v>80</v>
      </c>
      <c r="AH377">
        <v>0</v>
      </c>
      <c r="AI377">
        <v>3</v>
      </c>
      <c r="AJ377">
        <v>0</v>
      </c>
      <c r="AK377" s="1" t="s">
        <v>136</v>
      </c>
    </row>
    <row r="378" spans="1:37" x14ac:dyDescent="0.25">
      <c r="A378">
        <v>500</v>
      </c>
      <c r="B378">
        <v>51</v>
      </c>
      <c r="C378" s="1" t="s">
        <v>24</v>
      </c>
      <c r="D378" s="1" t="s">
        <v>70</v>
      </c>
      <c r="E378">
        <v>2</v>
      </c>
      <c r="F378" s="1" t="s">
        <v>134</v>
      </c>
      <c r="G378">
        <v>4</v>
      </c>
      <c r="H378" s="1" t="s">
        <v>18</v>
      </c>
      <c r="I378">
        <v>18</v>
      </c>
      <c r="J378">
        <v>2</v>
      </c>
      <c r="K378">
        <v>7</v>
      </c>
      <c r="L378">
        <v>7</v>
      </c>
      <c r="M378">
        <v>0</v>
      </c>
      <c r="N378">
        <v>7</v>
      </c>
      <c r="O378" s="1" t="s">
        <v>19</v>
      </c>
      <c r="P378" s="1" t="s">
        <v>135</v>
      </c>
      <c r="Q378">
        <v>1178</v>
      </c>
      <c r="R378" s="1" t="s">
        <v>64</v>
      </c>
      <c r="S378">
        <v>14</v>
      </c>
      <c r="T378">
        <v>1</v>
      </c>
      <c r="U378">
        <v>3</v>
      </c>
      <c r="V378">
        <v>87</v>
      </c>
      <c r="W378">
        <v>3</v>
      </c>
      <c r="X378">
        <v>2</v>
      </c>
      <c r="Y378" s="1" t="s">
        <v>4</v>
      </c>
      <c r="Z378">
        <v>4</v>
      </c>
      <c r="AA378">
        <v>4936</v>
      </c>
      <c r="AB378">
        <v>14862</v>
      </c>
      <c r="AC378" s="1" t="s">
        <v>19</v>
      </c>
      <c r="AD378">
        <v>11</v>
      </c>
      <c r="AE378">
        <v>3</v>
      </c>
      <c r="AF378">
        <v>3</v>
      </c>
      <c r="AG378">
        <v>80</v>
      </c>
      <c r="AH378">
        <v>1</v>
      </c>
      <c r="AI378">
        <v>2</v>
      </c>
      <c r="AJ378">
        <v>0</v>
      </c>
      <c r="AK378" s="1" t="s">
        <v>140</v>
      </c>
    </row>
    <row r="379" spans="1:37" x14ac:dyDescent="0.25">
      <c r="A379">
        <v>501</v>
      </c>
      <c r="B379">
        <v>36</v>
      </c>
      <c r="C379" s="1" t="s">
        <v>24</v>
      </c>
      <c r="D379" s="1" t="s">
        <v>70</v>
      </c>
      <c r="E379">
        <v>3</v>
      </c>
      <c r="F379" s="1" t="s">
        <v>134</v>
      </c>
      <c r="G379">
        <v>4</v>
      </c>
      <c r="H379" s="1" t="s">
        <v>18</v>
      </c>
      <c r="I379">
        <v>6</v>
      </c>
      <c r="J379">
        <v>3</v>
      </c>
      <c r="K379">
        <v>2</v>
      </c>
      <c r="L379">
        <v>2</v>
      </c>
      <c r="M379">
        <v>2</v>
      </c>
      <c r="N379">
        <v>2</v>
      </c>
      <c r="O379" s="1" t="s">
        <v>19</v>
      </c>
      <c r="P379" s="1" t="s">
        <v>135</v>
      </c>
      <c r="Q379">
        <v>329</v>
      </c>
      <c r="R379" s="1" t="s">
        <v>63</v>
      </c>
      <c r="S379">
        <v>2</v>
      </c>
      <c r="T379">
        <v>1</v>
      </c>
      <c r="U379">
        <v>4</v>
      </c>
      <c r="V379">
        <v>96</v>
      </c>
      <c r="W379">
        <v>3</v>
      </c>
      <c r="X379">
        <v>1</v>
      </c>
      <c r="Y379" s="1" t="s">
        <v>5</v>
      </c>
      <c r="Z379">
        <v>3</v>
      </c>
      <c r="AA379">
        <v>2543</v>
      </c>
      <c r="AB379">
        <v>11868</v>
      </c>
      <c r="AC379" s="1" t="s">
        <v>19</v>
      </c>
      <c r="AD379">
        <v>13</v>
      </c>
      <c r="AE379">
        <v>3</v>
      </c>
      <c r="AF379">
        <v>2</v>
      </c>
      <c r="AG379">
        <v>80</v>
      </c>
      <c r="AH379">
        <v>1</v>
      </c>
      <c r="AI379">
        <v>3</v>
      </c>
      <c r="AJ379">
        <v>0</v>
      </c>
      <c r="AK379" s="1" t="s">
        <v>136</v>
      </c>
    </row>
    <row r="380" spans="1:37" x14ac:dyDescent="0.25">
      <c r="A380">
        <v>502</v>
      </c>
      <c r="B380">
        <v>34</v>
      </c>
      <c r="C380" s="1" t="s">
        <v>25</v>
      </c>
      <c r="D380" s="1" t="s">
        <v>71</v>
      </c>
      <c r="E380">
        <v>3</v>
      </c>
      <c r="F380" s="1" t="s">
        <v>142</v>
      </c>
      <c r="G380">
        <v>8</v>
      </c>
      <c r="H380" s="1" t="s">
        <v>18</v>
      </c>
      <c r="I380">
        <v>9</v>
      </c>
      <c r="J380">
        <v>3</v>
      </c>
      <c r="K380">
        <v>5</v>
      </c>
      <c r="L380">
        <v>2</v>
      </c>
      <c r="M380">
        <v>0</v>
      </c>
      <c r="N380">
        <v>4</v>
      </c>
      <c r="O380" s="1" t="s">
        <v>18</v>
      </c>
      <c r="P380" s="1" t="s">
        <v>141</v>
      </c>
      <c r="Q380">
        <v>1362</v>
      </c>
      <c r="R380" s="1" t="s">
        <v>64</v>
      </c>
      <c r="S380">
        <v>19</v>
      </c>
      <c r="T380">
        <v>1</v>
      </c>
      <c r="U380">
        <v>1</v>
      </c>
      <c r="V380">
        <v>67</v>
      </c>
      <c r="W380">
        <v>4</v>
      </c>
      <c r="X380">
        <v>2</v>
      </c>
      <c r="Y380" s="1" t="s">
        <v>4</v>
      </c>
      <c r="Z380">
        <v>4</v>
      </c>
      <c r="AA380">
        <v>5304</v>
      </c>
      <c r="AB380">
        <v>4652</v>
      </c>
      <c r="AC380" s="1" t="s">
        <v>18</v>
      </c>
      <c r="AD380">
        <v>13</v>
      </c>
      <c r="AE380">
        <v>3</v>
      </c>
      <c r="AF380">
        <v>2</v>
      </c>
      <c r="AG380">
        <v>80</v>
      </c>
      <c r="AH380">
        <v>0</v>
      </c>
      <c r="AI380">
        <v>2</v>
      </c>
      <c r="AJ380">
        <v>1</v>
      </c>
      <c r="AK380" s="1" t="s">
        <v>136</v>
      </c>
    </row>
    <row r="381" spans="1:37" x14ac:dyDescent="0.25">
      <c r="A381">
        <v>505</v>
      </c>
      <c r="B381">
        <v>55</v>
      </c>
      <c r="C381" s="1" t="s">
        <v>24</v>
      </c>
      <c r="D381" s="1" t="s">
        <v>71</v>
      </c>
      <c r="E381">
        <v>3</v>
      </c>
      <c r="F381" s="1" t="s">
        <v>134</v>
      </c>
      <c r="G381">
        <v>2</v>
      </c>
      <c r="H381" s="1" t="s">
        <v>18</v>
      </c>
      <c r="I381">
        <v>30</v>
      </c>
      <c r="J381">
        <v>2</v>
      </c>
      <c r="K381">
        <v>5</v>
      </c>
      <c r="L381">
        <v>4</v>
      </c>
      <c r="M381">
        <v>1</v>
      </c>
      <c r="N381">
        <v>2</v>
      </c>
      <c r="O381" s="1" t="s">
        <v>19</v>
      </c>
      <c r="P381" s="1" t="s">
        <v>135</v>
      </c>
      <c r="Q381">
        <v>1311</v>
      </c>
      <c r="R381" s="1" t="s">
        <v>63</v>
      </c>
      <c r="S381">
        <v>2</v>
      </c>
      <c r="T381">
        <v>1</v>
      </c>
      <c r="U381">
        <v>3</v>
      </c>
      <c r="V381">
        <v>97</v>
      </c>
      <c r="W381">
        <v>3</v>
      </c>
      <c r="X381">
        <v>4</v>
      </c>
      <c r="Y381" s="1" t="s">
        <v>9</v>
      </c>
      <c r="Z381">
        <v>4</v>
      </c>
      <c r="AA381">
        <v>16659</v>
      </c>
      <c r="AB381">
        <v>23258</v>
      </c>
      <c r="AC381" s="1" t="s">
        <v>18</v>
      </c>
      <c r="AD381">
        <v>13</v>
      </c>
      <c r="AE381">
        <v>3</v>
      </c>
      <c r="AF381">
        <v>3</v>
      </c>
      <c r="AG381">
        <v>80</v>
      </c>
      <c r="AH381">
        <v>0</v>
      </c>
      <c r="AI381">
        <v>3</v>
      </c>
      <c r="AJ381">
        <v>0</v>
      </c>
      <c r="AK381" s="1" t="s">
        <v>140</v>
      </c>
    </row>
    <row r="382" spans="1:37" x14ac:dyDescent="0.25">
      <c r="A382">
        <v>507</v>
      </c>
      <c r="B382">
        <v>24</v>
      </c>
      <c r="C382" s="1" t="s">
        <v>24</v>
      </c>
      <c r="D382" s="1" t="s">
        <v>69</v>
      </c>
      <c r="E382">
        <v>4</v>
      </c>
      <c r="F382" s="1" t="s">
        <v>142</v>
      </c>
      <c r="G382">
        <v>1</v>
      </c>
      <c r="H382" s="1" t="s">
        <v>18</v>
      </c>
      <c r="I382">
        <v>5</v>
      </c>
      <c r="J382">
        <v>2</v>
      </c>
      <c r="K382">
        <v>5</v>
      </c>
      <c r="L382">
        <v>2</v>
      </c>
      <c r="M382">
        <v>0</v>
      </c>
      <c r="N382">
        <v>3</v>
      </c>
      <c r="O382" s="1" t="s">
        <v>19</v>
      </c>
      <c r="P382" s="1" t="s">
        <v>135</v>
      </c>
      <c r="Q382">
        <v>1371</v>
      </c>
      <c r="R382" s="1" t="s">
        <v>64</v>
      </c>
      <c r="S382">
        <v>10</v>
      </c>
      <c r="T382">
        <v>1</v>
      </c>
      <c r="U382">
        <v>4</v>
      </c>
      <c r="V382">
        <v>77</v>
      </c>
      <c r="W382">
        <v>3</v>
      </c>
      <c r="X382">
        <v>2</v>
      </c>
      <c r="Y382" s="1" t="s">
        <v>4</v>
      </c>
      <c r="Z382">
        <v>3</v>
      </c>
      <c r="AA382">
        <v>4260</v>
      </c>
      <c r="AB382">
        <v>5915</v>
      </c>
      <c r="AC382" s="1" t="s">
        <v>18</v>
      </c>
      <c r="AD382">
        <v>12</v>
      </c>
      <c r="AE382">
        <v>3</v>
      </c>
      <c r="AF382">
        <v>4</v>
      </c>
      <c r="AG382">
        <v>80</v>
      </c>
      <c r="AH382">
        <v>1</v>
      </c>
      <c r="AI382">
        <v>4</v>
      </c>
      <c r="AJ382">
        <v>0</v>
      </c>
      <c r="AK382" s="1" t="s">
        <v>136</v>
      </c>
    </row>
    <row r="383" spans="1:37" x14ac:dyDescent="0.25">
      <c r="A383">
        <v>508</v>
      </c>
      <c r="B383">
        <v>30</v>
      </c>
      <c r="C383" s="1" t="s">
        <v>25</v>
      </c>
      <c r="D383" s="1" t="s">
        <v>70</v>
      </c>
      <c r="E383">
        <v>1</v>
      </c>
      <c r="F383" s="1" t="s">
        <v>143</v>
      </c>
      <c r="G383">
        <v>1</v>
      </c>
      <c r="H383" s="1" t="s">
        <v>18</v>
      </c>
      <c r="I383">
        <v>1</v>
      </c>
      <c r="J383">
        <v>3</v>
      </c>
      <c r="K383">
        <v>1</v>
      </c>
      <c r="L383">
        <v>0</v>
      </c>
      <c r="M383">
        <v>0</v>
      </c>
      <c r="N383">
        <v>0</v>
      </c>
      <c r="O383" s="1" t="s">
        <v>19</v>
      </c>
      <c r="P383" s="1" t="s">
        <v>135</v>
      </c>
      <c r="Q383">
        <v>202</v>
      </c>
      <c r="R383" s="1" t="s">
        <v>64</v>
      </c>
      <c r="S383">
        <v>2</v>
      </c>
      <c r="T383">
        <v>1</v>
      </c>
      <c r="U383">
        <v>3</v>
      </c>
      <c r="V383">
        <v>72</v>
      </c>
      <c r="W383">
        <v>3</v>
      </c>
      <c r="X383">
        <v>1</v>
      </c>
      <c r="Y383" s="1" t="s">
        <v>10</v>
      </c>
      <c r="Z383">
        <v>2</v>
      </c>
      <c r="AA383">
        <v>2476</v>
      </c>
      <c r="AB383">
        <v>17434</v>
      </c>
      <c r="AC383" s="1" t="s">
        <v>19</v>
      </c>
      <c r="AD383">
        <v>18</v>
      </c>
      <c r="AE383">
        <v>3</v>
      </c>
      <c r="AF383">
        <v>1</v>
      </c>
      <c r="AG383">
        <v>80</v>
      </c>
      <c r="AH383">
        <v>1</v>
      </c>
      <c r="AI383">
        <v>3</v>
      </c>
      <c r="AJ383">
        <v>0</v>
      </c>
      <c r="AK383" s="1" t="s">
        <v>136</v>
      </c>
    </row>
    <row r="384" spans="1:37" x14ac:dyDescent="0.25">
      <c r="A384">
        <v>510</v>
      </c>
      <c r="B384">
        <v>26</v>
      </c>
      <c r="C384" s="1" t="s">
        <v>25</v>
      </c>
      <c r="D384" s="1" t="s">
        <v>71</v>
      </c>
      <c r="E384">
        <v>1</v>
      </c>
      <c r="F384" s="1" t="s">
        <v>143</v>
      </c>
      <c r="G384">
        <v>0</v>
      </c>
      <c r="H384" s="1" t="s">
        <v>18</v>
      </c>
      <c r="I384">
        <v>7</v>
      </c>
      <c r="J384">
        <v>2</v>
      </c>
      <c r="K384">
        <v>6</v>
      </c>
      <c r="L384">
        <v>4</v>
      </c>
      <c r="M384">
        <v>0</v>
      </c>
      <c r="N384">
        <v>4</v>
      </c>
      <c r="O384" s="1" t="s">
        <v>18</v>
      </c>
      <c r="P384" s="1" t="s">
        <v>137</v>
      </c>
      <c r="Q384">
        <v>575</v>
      </c>
      <c r="R384" s="1" t="s">
        <v>63</v>
      </c>
      <c r="S384">
        <v>3</v>
      </c>
      <c r="T384">
        <v>1</v>
      </c>
      <c r="U384">
        <v>3</v>
      </c>
      <c r="V384">
        <v>73</v>
      </c>
      <c r="W384">
        <v>3</v>
      </c>
      <c r="X384">
        <v>1</v>
      </c>
      <c r="Y384" s="1" t="s">
        <v>5</v>
      </c>
      <c r="Z384">
        <v>1</v>
      </c>
      <c r="AA384">
        <v>3102</v>
      </c>
      <c r="AB384">
        <v>6582</v>
      </c>
      <c r="AC384" s="1" t="s">
        <v>19</v>
      </c>
      <c r="AD384">
        <v>22</v>
      </c>
      <c r="AE384">
        <v>4</v>
      </c>
      <c r="AF384">
        <v>3</v>
      </c>
      <c r="AG384">
        <v>80</v>
      </c>
      <c r="AH384">
        <v>0</v>
      </c>
      <c r="AI384">
        <v>3</v>
      </c>
      <c r="AJ384">
        <v>1</v>
      </c>
      <c r="AK384" s="1" t="s">
        <v>136</v>
      </c>
    </row>
    <row r="385" spans="1:37" x14ac:dyDescent="0.25">
      <c r="A385">
        <v>511</v>
      </c>
      <c r="B385">
        <v>22</v>
      </c>
      <c r="C385" s="1" t="s">
        <v>24</v>
      </c>
      <c r="D385" s="1" t="s">
        <v>70</v>
      </c>
      <c r="E385">
        <v>3</v>
      </c>
      <c r="F385" s="1" t="s">
        <v>139</v>
      </c>
      <c r="G385">
        <v>1</v>
      </c>
      <c r="H385" s="1" t="s">
        <v>18</v>
      </c>
      <c r="I385">
        <v>2</v>
      </c>
      <c r="J385">
        <v>1</v>
      </c>
      <c r="K385">
        <v>2</v>
      </c>
      <c r="L385">
        <v>1</v>
      </c>
      <c r="M385">
        <v>1</v>
      </c>
      <c r="N385">
        <v>2</v>
      </c>
      <c r="O385" s="1" t="s">
        <v>19</v>
      </c>
      <c r="P385" s="1" t="s">
        <v>135</v>
      </c>
      <c r="Q385">
        <v>253</v>
      </c>
      <c r="R385" s="1" t="s">
        <v>63</v>
      </c>
      <c r="S385">
        <v>11</v>
      </c>
      <c r="T385">
        <v>1</v>
      </c>
      <c r="U385">
        <v>1</v>
      </c>
      <c r="V385">
        <v>43</v>
      </c>
      <c r="W385">
        <v>3</v>
      </c>
      <c r="X385">
        <v>1</v>
      </c>
      <c r="Y385" s="1" t="s">
        <v>5</v>
      </c>
      <c r="Z385">
        <v>2</v>
      </c>
      <c r="AA385">
        <v>2244</v>
      </c>
      <c r="AB385">
        <v>24440</v>
      </c>
      <c r="AC385" s="1" t="s">
        <v>19</v>
      </c>
      <c r="AD385">
        <v>13</v>
      </c>
      <c r="AE385">
        <v>3</v>
      </c>
      <c r="AF385">
        <v>4</v>
      </c>
      <c r="AG385">
        <v>80</v>
      </c>
      <c r="AH385">
        <v>1</v>
      </c>
      <c r="AI385">
        <v>3</v>
      </c>
      <c r="AJ385">
        <v>0</v>
      </c>
      <c r="AK385" s="1" t="s">
        <v>136</v>
      </c>
    </row>
    <row r="386" spans="1:37" x14ac:dyDescent="0.25">
      <c r="A386">
        <v>513</v>
      </c>
      <c r="B386">
        <v>36</v>
      </c>
      <c r="C386" s="1" t="s">
        <v>25</v>
      </c>
      <c r="D386" s="1" t="s">
        <v>70</v>
      </c>
      <c r="E386">
        <v>2</v>
      </c>
      <c r="F386" s="1" t="s">
        <v>139</v>
      </c>
      <c r="G386">
        <v>1</v>
      </c>
      <c r="H386" s="1" t="s">
        <v>18</v>
      </c>
      <c r="I386">
        <v>10</v>
      </c>
      <c r="J386">
        <v>2</v>
      </c>
      <c r="K386">
        <v>10</v>
      </c>
      <c r="L386">
        <v>9</v>
      </c>
      <c r="M386">
        <v>9</v>
      </c>
      <c r="N386">
        <v>0</v>
      </c>
      <c r="O386" s="1" t="s">
        <v>19</v>
      </c>
      <c r="P386" s="1" t="s">
        <v>135</v>
      </c>
      <c r="Q386">
        <v>164</v>
      </c>
      <c r="R386" s="1" t="s">
        <v>64</v>
      </c>
      <c r="S386">
        <v>2</v>
      </c>
      <c r="T386">
        <v>1</v>
      </c>
      <c r="U386">
        <v>2</v>
      </c>
      <c r="V386">
        <v>61</v>
      </c>
      <c r="W386">
        <v>2</v>
      </c>
      <c r="X386">
        <v>3</v>
      </c>
      <c r="Y386" s="1" t="s">
        <v>4</v>
      </c>
      <c r="Z386">
        <v>3</v>
      </c>
      <c r="AA386">
        <v>7596</v>
      </c>
      <c r="AB386">
        <v>3809</v>
      </c>
      <c r="AC386" s="1" t="s">
        <v>19</v>
      </c>
      <c r="AD386">
        <v>13</v>
      </c>
      <c r="AE386">
        <v>3</v>
      </c>
      <c r="AF386">
        <v>2</v>
      </c>
      <c r="AG386">
        <v>80</v>
      </c>
      <c r="AH386">
        <v>2</v>
      </c>
      <c r="AI386">
        <v>3</v>
      </c>
      <c r="AJ386">
        <v>0</v>
      </c>
      <c r="AK386" s="1" t="s">
        <v>136</v>
      </c>
    </row>
    <row r="387" spans="1:37" x14ac:dyDescent="0.25">
      <c r="A387">
        <v>514</v>
      </c>
      <c r="B387">
        <v>30</v>
      </c>
      <c r="C387" s="1" t="s">
        <v>25</v>
      </c>
      <c r="D387" s="1" t="s">
        <v>71</v>
      </c>
      <c r="E387">
        <v>3</v>
      </c>
      <c r="F387" s="1" t="s">
        <v>143</v>
      </c>
      <c r="G387">
        <v>9</v>
      </c>
      <c r="H387" s="1" t="s">
        <v>18</v>
      </c>
      <c r="I387">
        <v>3</v>
      </c>
      <c r="J387">
        <v>4</v>
      </c>
      <c r="K387">
        <v>1</v>
      </c>
      <c r="L387">
        <v>0</v>
      </c>
      <c r="M387">
        <v>0</v>
      </c>
      <c r="N387">
        <v>0</v>
      </c>
      <c r="O387" s="1" t="s">
        <v>18</v>
      </c>
      <c r="P387" s="1" t="s">
        <v>137</v>
      </c>
      <c r="Q387">
        <v>464</v>
      </c>
      <c r="R387" s="1" t="s">
        <v>63</v>
      </c>
      <c r="S387">
        <v>4</v>
      </c>
      <c r="T387">
        <v>1</v>
      </c>
      <c r="U387">
        <v>3</v>
      </c>
      <c r="V387">
        <v>40</v>
      </c>
      <c r="W387">
        <v>3</v>
      </c>
      <c r="X387">
        <v>1</v>
      </c>
      <c r="Y387" s="1" t="s">
        <v>5</v>
      </c>
      <c r="Z387">
        <v>4</v>
      </c>
      <c r="AA387">
        <v>2285</v>
      </c>
      <c r="AB387">
        <v>3427</v>
      </c>
      <c r="AC387" s="1" t="s">
        <v>18</v>
      </c>
      <c r="AD387">
        <v>23</v>
      </c>
      <c r="AE387">
        <v>4</v>
      </c>
      <c r="AF387">
        <v>3</v>
      </c>
      <c r="AG387">
        <v>80</v>
      </c>
      <c r="AH387">
        <v>0</v>
      </c>
      <c r="AI387">
        <v>3</v>
      </c>
      <c r="AJ387">
        <v>1</v>
      </c>
      <c r="AK387" s="1" t="s">
        <v>136</v>
      </c>
    </row>
    <row r="388" spans="1:37" x14ac:dyDescent="0.25">
      <c r="A388">
        <v>515</v>
      </c>
      <c r="B388">
        <v>37</v>
      </c>
      <c r="C388" s="1" t="s">
        <v>24</v>
      </c>
      <c r="D388" s="1" t="s">
        <v>69</v>
      </c>
      <c r="E388">
        <v>3</v>
      </c>
      <c r="F388" s="1" t="s">
        <v>134</v>
      </c>
      <c r="G388">
        <v>1</v>
      </c>
      <c r="H388" s="1" t="s">
        <v>18</v>
      </c>
      <c r="I388">
        <v>18</v>
      </c>
      <c r="J388">
        <v>2</v>
      </c>
      <c r="K388">
        <v>18</v>
      </c>
      <c r="L388">
        <v>7</v>
      </c>
      <c r="M388">
        <v>12</v>
      </c>
      <c r="N388">
        <v>17</v>
      </c>
      <c r="O388" s="1" t="s">
        <v>19</v>
      </c>
      <c r="P388" s="1" t="s">
        <v>135</v>
      </c>
      <c r="Q388">
        <v>1107</v>
      </c>
      <c r="R388" s="1" t="s">
        <v>63</v>
      </c>
      <c r="S388">
        <v>14</v>
      </c>
      <c r="T388">
        <v>1</v>
      </c>
      <c r="U388">
        <v>4</v>
      </c>
      <c r="V388">
        <v>95</v>
      </c>
      <c r="W388">
        <v>3</v>
      </c>
      <c r="X388">
        <v>1</v>
      </c>
      <c r="Y388" s="1" t="s">
        <v>6</v>
      </c>
      <c r="Z388">
        <v>1</v>
      </c>
      <c r="AA388">
        <v>3034</v>
      </c>
      <c r="AB388">
        <v>26914</v>
      </c>
      <c r="AC388" s="1" t="s">
        <v>19</v>
      </c>
      <c r="AD388">
        <v>12</v>
      </c>
      <c r="AE388">
        <v>3</v>
      </c>
      <c r="AF388">
        <v>3</v>
      </c>
      <c r="AG388">
        <v>80</v>
      </c>
      <c r="AH388">
        <v>1</v>
      </c>
      <c r="AI388">
        <v>2</v>
      </c>
      <c r="AJ388">
        <v>0</v>
      </c>
      <c r="AK388" s="1" t="s">
        <v>136</v>
      </c>
    </row>
    <row r="389" spans="1:37" x14ac:dyDescent="0.25">
      <c r="A389">
        <v>516</v>
      </c>
      <c r="B389">
        <v>40</v>
      </c>
      <c r="C389" s="1" t="s">
        <v>24</v>
      </c>
      <c r="D389" s="1" t="s">
        <v>69</v>
      </c>
      <c r="E389">
        <v>2</v>
      </c>
      <c r="F389" s="1" t="s">
        <v>142</v>
      </c>
      <c r="G389">
        <v>7</v>
      </c>
      <c r="H389" s="1" t="s">
        <v>18</v>
      </c>
      <c r="I389">
        <v>8</v>
      </c>
      <c r="J389">
        <v>5</v>
      </c>
      <c r="K389">
        <v>5</v>
      </c>
      <c r="L389">
        <v>4</v>
      </c>
      <c r="M389">
        <v>1</v>
      </c>
      <c r="N389">
        <v>3</v>
      </c>
      <c r="O389" s="1" t="s">
        <v>19</v>
      </c>
      <c r="P389" s="1" t="s">
        <v>135</v>
      </c>
      <c r="Q389">
        <v>759</v>
      </c>
      <c r="R389" s="1" t="s">
        <v>64</v>
      </c>
      <c r="S389">
        <v>2</v>
      </c>
      <c r="T389">
        <v>1</v>
      </c>
      <c r="U389">
        <v>4</v>
      </c>
      <c r="V389">
        <v>46</v>
      </c>
      <c r="W389">
        <v>3</v>
      </c>
      <c r="X389">
        <v>2</v>
      </c>
      <c r="Y389" s="1" t="s">
        <v>4</v>
      </c>
      <c r="Z389">
        <v>2</v>
      </c>
      <c r="AA389">
        <v>5715</v>
      </c>
      <c r="AB389">
        <v>22553</v>
      </c>
      <c r="AC389" s="1" t="s">
        <v>19</v>
      </c>
      <c r="AD389">
        <v>12</v>
      </c>
      <c r="AE389">
        <v>3</v>
      </c>
      <c r="AF389">
        <v>3</v>
      </c>
      <c r="AG389">
        <v>80</v>
      </c>
      <c r="AH389">
        <v>2</v>
      </c>
      <c r="AI389">
        <v>3</v>
      </c>
      <c r="AJ389">
        <v>0</v>
      </c>
      <c r="AK389" s="1" t="s">
        <v>136</v>
      </c>
    </row>
    <row r="390" spans="1:37" x14ac:dyDescent="0.25">
      <c r="A390">
        <v>517</v>
      </c>
      <c r="B390">
        <v>42</v>
      </c>
      <c r="C390" s="1" t="s">
        <v>24</v>
      </c>
      <c r="D390" s="1" t="s">
        <v>69</v>
      </c>
      <c r="E390">
        <v>4</v>
      </c>
      <c r="F390" s="1" t="s">
        <v>134</v>
      </c>
      <c r="G390">
        <v>3</v>
      </c>
      <c r="H390" s="1" t="s">
        <v>18</v>
      </c>
      <c r="I390">
        <v>8</v>
      </c>
      <c r="J390">
        <v>5</v>
      </c>
      <c r="K390">
        <v>5</v>
      </c>
      <c r="L390">
        <v>2</v>
      </c>
      <c r="M390">
        <v>1</v>
      </c>
      <c r="N390">
        <v>2</v>
      </c>
      <c r="O390" s="1" t="s">
        <v>19</v>
      </c>
      <c r="P390" s="1" t="s">
        <v>135</v>
      </c>
      <c r="Q390">
        <v>201</v>
      </c>
      <c r="R390" s="1" t="s">
        <v>63</v>
      </c>
      <c r="S390">
        <v>1</v>
      </c>
      <c r="T390">
        <v>1</v>
      </c>
      <c r="U390">
        <v>2</v>
      </c>
      <c r="V390">
        <v>95</v>
      </c>
      <c r="W390">
        <v>3</v>
      </c>
      <c r="X390">
        <v>1</v>
      </c>
      <c r="Y390" s="1" t="s">
        <v>6</v>
      </c>
      <c r="Z390">
        <v>1</v>
      </c>
      <c r="AA390">
        <v>2576</v>
      </c>
      <c r="AB390">
        <v>20490</v>
      </c>
      <c r="AC390" s="1" t="s">
        <v>19</v>
      </c>
      <c r="AD390">
        <v>16</v>
      </c>
      <c r="AE390">
        <v>3</v>
      </c>
      <c r="AF390">
        <v>2</v>
      </c>
      <c r="AG390">
        <v>80</v>
      </c>
      <c r="AH390">
        <v>1</v>
      </c>
      <c r="AI390">
        <v>3</v>
      </c>
      <c r="AJ390">
        <v>0</v>
      </c>
      <c r="AK390" s="1" t="s">
        <v>136</v>
      </c>
    </row>
    <row r="391" spans="1:37" x14ac:dyDescent="0.25">
      <c r="A391">
        <v>518</v>
      </c>
      <c r="B391">
        <v>37</v>
      </c>
      <c r="C391" s="1" t="s">
        <v>25</v>
      </c>
      <c r="D391" s="1" t="s">
        <v>71</v>
      </c>
      <c r="E391">
        <v>4</v>
      </c>
      <c r="F391" s="1" t="s">
        <v>134</v>
      </c>
      <c r="G391">
        <v>2</v>
      </c>
      <c r="H391" s="1" t="s">
        <v>18</v>
      </c>
      <c r="I391">
        <v>18</v>
      </c>
      <c r="J391">
        <v>2</v>
      </c>
      <c r="K391">
        <v>1</v>
      </c>
      <c r="L391">
        <v>0</v>
      </c>
      <c r="M391">
        <v>0</v>
      </c>
      <c r="N391">
        <v>1</v>
      </c>
      <c r="O391" s="1" t="s">
        <v>19</v>
      </c>
      <c r="P391" s="1" t="s">
        <v>135</v>
      </c>
      <c r="Q391">
        <v>1305</v>
      </c>
      <c r="R391" s="1" t="s">
        <v>63</v>
      </c>
      <c r="S391">
        <v>10</v>
      </c>
      <c r="T391">
        <v>1</v>
      </c>
      <c r="U391">
        <v>3</v>
      </c>
      <c r="V391">
        <v>49</v>
      </c>
      <c r="W391">
        <v>3</v>
      </c>
      <c r="X391">
        <v>2</v>
      </c>
      <c r="Y391" s="1" t="s">
        <v>7</v>
      </c>
      <c r="Z391">
        <v>2</v>
      </c>
      <c r="AA391">
        <v>4197</v>
      </c>
      <c r="AB391">
        <v>21123</v>
      </c>
      <c r="AC391" s="1" t="s">
        <v>18</v>
      </c>
      <c r="AD391">
        <v>12</v>
      </c>
      <c r="AE391">
        <v>3</v>
      </c>
      <c r="AF391">
        <v>4</v>
      </c>
      <c r="AG391">
        <v>80</v>
      </c>
      <c r="AH391">
        <v>0</v>
      </c>
      <c r="AI391">
        <v>2</v>
      </c>
      <c r="AJ391">
        <v>0</v>
      </c>
      <c r="AK391" s="1" t="s">
        <v>136</v>
      </c>
    </row>
    <row r="392" spans="1:37" x14ac:dyDescent="0.25">
      <c r="A392">
        <v>520</v>
      </c>
      <c r="B392">
        <v>43</v>
      </c>
      <c r="C392" s="1" t="s">
        <v>25</v>
      </c>
      <c r="D392" s="1" t="s">
        <v>69</v>
      </c>
      <c r="E392">
        <v>3</v>
      </c>
      <c r="F392" s="1" t="s">
        <v>134</v>
      </c>
      <c r="G392">
        <v>1</v>
      </c>
      <c r="H392" s="1" t="s">
        <v>18</v>
      </c>
      <c r="I392">
        <v>25</v>
      </c>
      <c r="J392">
        <v>3</v>
      </c>
      <c r="K392">
        <v>25</v>
      </c>
      <c r="L392">
        <v>10</v>
      </c>
      <c r="M392">
        <v>3</v>
      </c>
      <c r="N392">
        <v>9</v>
      </c>
      <c r="O392" s="1" t="s">
        <v>19</v>
      </c>
      <c r="P392" s="1" t="s">
        <v>135</v>
      </c>
      <c r="Q392">
        <v>982</v>
      </c>
      <c r="R392" s="1" t="s">
        <v>63</v>
      </c>
      <c r="S392">
        <v>12</v>
      </c>
      <c r="T392">
        <v>1</v>
      </c>
      <c r="U392">
        <v>1</v>
      </c>
      <c r="V392">
        <v>59</v>
      </c>
      <c r="W392">
        <v>2</v>
      </c>
      <c r="X392">
        <v>4</v>
      </c>
      <c r="Y392" s="1" t="s">
        <v>11</v>
      </c>
      <c r="Z392">
        <v>2</v>
      </c>
      <c r="AA392">
        <v>14336</v>
      </c>
      <c r="AB392">
        <v>4345</v>
      </c>
      <c r="AC392" s="1" t="s">
        <v>19</v>
      </c>
      <c r="AD392">
        <v>11</v>
      </c>
      <c r="AE392">
        <v>3</v>
      </c>
      <c r="AF392">
        <v>3</v>
      </c>
      <c r="AG392">
        <v>80</v>
      </c>
      <c r="AH392">
        <v>1</v>
      </c>
      <c r="AI392">
        <v>3</v>
      </c>
      <c r="AJ392">
        <v>0</v>
      </c>
      <c r="AK392" s="1" t="s">
        <v>136</v>
      </c>
    </row>
    <row r="393" spans="1:37" x14ac:dyDescent="0.25">
      <c r="A393">
        <v>521</v>
      </c>
      <c r="B393">
        <v>40</v>
      </c>
      <c r="C393" s="1" t="s">
        <v>24</v>
      </c>
      <c r="D393" s="1" t="s">
        <v>70</v>
      </c>
      <c r="E393">
        <v>3</v>
      </c>
      <c r="F393" s="1" t="s">
        <v>139</v>
      </c>
      <c r="G393">
        <v>6</v>
      </c>
      <c r="H393" s="1" t="s">
        <v>18</v>
      </c>
      <c r="I393">
        <v>20</v>
      </c>
      <c r="J393">
        <v>3</v>
      </c>
      <c r="K393">
        <v>1</v>
      </c>
      <c r="L393">
        <v>0</v>
      </c>
      <c r="M393">
        <v>0</v>
      </c>
      <c r="N393">
        <v>0</v>
      </c>
      <c r="O393" s="1" t="s">
        <v>19</v>
      </c>
      <c r="P393" s="1" t="s">
        <v>135</v>
      </c>
      <c r="Q393">
        <v>555</v>
      </c>
      <c r="R393" s="1" t="s">
        <v>63</v>
      </c>
      <c r="S393">
        <v>2</v>
      </c>
      <c r="T393">
        <v>1</v>
      </c>
      <c r="U393">
        <v>2</v>
      </c>
      <c r="V393">
        <v>78</v>
      </c>
      <c r="W393">
        <v>2</v>
      </c>
      <c r="X393">
        <v>2</v>
      </c>
      <c r="Y393" s="1" t="s">
        <v>6</v>
      </c>
      <c r="Z393">
        <v>3</v>
      </c>
      <c r="AA393">
        <v>3448</v>
      </c>
      <c r="AB393">
        <v>13436</v>
      </c>
      <c r="AC393" s="1" t="s">
        <v>19</v>
      </c>
      <c r="AD393">
        <v>22</v>
      </c>
      <c r="AE393">
        <v>4</v>
      </c>
      <c r="AF393">
        <v>2</v>
      </c>
      <c r="AG393">
        <v>80</v>
      </c>
      <c r="AH393">
        <v>1</v>
      </c>
      <c r="AI393">
        <v>3</v>
      </c>
      <c r="AJ393">
        <v>0</v>
      </c>
      <c r="AK393" s="1" t="s">
        <v>136</v>
      </c>
    </row>
    <row r="394" spans="1:37" x14ac:dyDescent="0.25">
      <c r="A394">
        <v>522</v>
      </c>
      <c r="B394">
        <v>54</v>
      </c>
      <c r="C394" s="1" t="s">
        <v>25</v>
      </c>
      <c r="D394" s="1" t="s">
        <v>70</v>
      </c>
      <c r="E394">
        <v>2</v>
      </c>
      <c r="F394" s="1" t="s">
        <v>139</v>
      </c>
      <c r="G394">
        <v>4</v>
      </c>
      <c r="H394" s="1" t="s">
        <v>18</v>
      </c>
      <c r="I394">
        <v>24</v>
      </c>
      <c r="J394">
        <v>4</v>
      </c>
      <c r="K394">
        <v>4</v>
      </c>
      <c r="L394">
        <v>2</v>
      </c>
      <c r="M394">
        <v>1</v>
      </c>
      <c r="N394">
        <v>2</v>
      </c>
      <c r="O394" s="1" t="s">
        <v>19</v>
      </c>
      <c r="P394" s="1" t="s">
        <v>135</v>
      </c>
      <c r="Q394">
        <v>821</v>
      </c>
      <c r="R394" s="1" t="s">
        <v>63</v>
      </c>
      <c r="S394">
        <v>5</v>
      </c>
      <c r="T394">
        <v>1</v>
      </c>
      <c r="U394">
        <v>1</v>
      </c>
      <c r="V394">
        <v>86</v>
      </c>
      <c r="W394">
        <v>3</v>
      </c>
      <c r="X394">
        <v>5</v>
      </c>
      <c r="Y394" s="1" t="s">
        <v>11</v>
      </c>
      <c r="Z394">
        <v>1</v>
      </c>
      <c r="AA394">
        <v>19406</v>
      </c>
      <c r="AB394">
        <v>8509</v>
      </c>
      <c r="AC394" s="1" t="s">
        <v>19</v>
      </c>
      <c r="AD394">
        <v>11</v>
      </c>
      <c r="AE394">
        <v>3</v>
      </c>
      <c r="AF394">
        <v>3</v>
      </c>
      <c r="AG394">
        <v>80</v>
      </c>
      <c r="AH394">
        <v>1</v>
      </c>
      <c r="AI394">
        <v>2</v>
      </c>
      <c r="AJ394">
        <v>0</v>
      </c>
      <c r="AK394" s="1" t="s">
        <v>140</v>
      </c>
    </row>
    <row r="395" spans="1:37" x14ac:dyDescent="0.25">
      <c r="A395">
        <v>523</v>
      </c>
      <c r="B395">
        <v>34</v>
      </c>
      <c r="C395" s="1" t="s">
        <v>24</v>
      </c>
      <c r="D395" s="1" t="s">
        <v>70</v>
      </c>
      <c r="E395">
        <v>4</v>
      </c>
      <c r="F395" s="1" t="s">
        <v>142</v>
      </c>
      <c r="G395">
        <v>9</v>
      </c>
      <c r="H395" s="1" t="s">
        <v>18</v>
      </c>
      <c r="I395">
        <v>6</v>
      </c>
      <c r="J395">
        <v>3</v>
      </c>
      <c r="K395">
        <v>3</v>
      </c>
      <c r="L395">
        <v>2</v>
      </c>
      <c r="M395">
        <v>1</v>
      </c>
      <c r="N395">
        <v>2</v>
      </c>
      <c r="O395" s="1" t="s">
        <v>19</v>
      </c>
      <c r="P395" s="1" t="s">
        <v>141</v>
      </c>
      <c r="Q395">
        <v>1381</v>
      </c>
      <c r="R395" s="1" t="s">
        <v>64</v>
      </c>
      <c r="S395">
        <v>4</v>
      </c>
      <c r="T395">
        <v>1</v>
      </c>
      <c r="U395">
        <v>3</v>
      </c>
      <c r="V395">
        <v>72</v>
      </c>
      <c r="W395">
        <v>3</v>
      </c>
      <c r="X395">
        <v>2</v>
      </c>
      <c r="Y395" s="1" t="s">
        <v>4</v>
      </c>
      <c r="Z395">
        <v>3</v>
      </c>
      <c r="AA395">
        <v>6538</v>
      </c>
      <c r="AB395">
        <v>12740</v>
      </c>
      <c r="AC395" s="1" t="s">
        <v>19</v>
      </c>
      <c r="AD395">
        <v>15</v>
      </c>
      <c r="AE395">
        <v>3</v>
      </c>
      <c r="AF395">
        <v>1</v>
      </c>
      <c r="AG395">
        <v>80</v>
      </c>
      <c r="AH395">
        <v>1</v>
      </c>
      <c r="AI395">
        <v>3</v>
      </c>
      <c r="AJ395">
        <v>0</v>
      </c>
      <c r="AK395" s="1" t="s">
        <v>136</v>
      </c>
    </row>
    <row r="396" spans="1:37" x14ac:dyDescent="0.25">
      <c r="A396">
        <v>524</v>
      </c>
      <c r="B396">
        <v>31</v>
      </c>
      <c r="C396" s="1" t="s">
        <v>24</v>
      </c>
      <c r="D396" s="1" t="s">
        <v>70</v>
      </c>
      <c r="E396">
        <v>2</v>
      </c>
      <c r="F396" s="1" t="s">
        <v>139</v>
      </c>
      <c r="G396">
        <v>1</v>
      </c>
      <c r="H396" s="1" t="s">
        <v>18</v>
      </c>
      <c r="I396">
        <v>13</v>
      </c>
      <c r="J396">
        <v>5</v>
      </c>
      <c r="K396">
        <v>13</v>
      </c>
      <c r="L396">
        <v>10</v>
      </c>
      <c r="M396">
        <v>3</v>
      </c>
      <c r="N396">
        <v>12</v>
      </c>
      <c r="O396" s="1" t="s">
        <v>19</v>
      </c>
      <c r="P396" s="1" t="s">
        <v>135</v>
      </c>
      <c r="Q396">
        <v>480</v>
      </c>
      <c r="R396" s="1" t="s">
        <v>63</v>
      </c>
      <c r="S396">
        <v>7</v>
      </c>
      <c r="T396">
        <v>1</v>
      </c>
      <c r="U396">
        <v>2</v>
      </c>
      <c r="V396">
        <v>31</v>
      </c>
      <c r="W396">
        <v>3</v>
      </c>
      <c r="X396">
        <v>2</v>
      </c>
      <c r="Y396" s="1" t="s">
        <v>7</v>
      </c>
      <c r="Z396">
        <v>1</v>
      </c>
      <c r="AA396">
        <v>4306</v>
      </c>
      <c r="AB396">
        <v>4156</v>
      </c>
      <c r="AC396" s="1" t="s">
        <v>19</v>
      </c>
      <c r="AD396">
        <v>12</v>
      </c>
      <c r="AE396">
        <v>3</v>
      </c>
      <c r="AF396">
        <v>2</v>
      </c>
      <c r="AG396">
        <v>80</v>
      </c>
      <c r="AH396">
        <v>1</v>
      </c>
      <c r="AI396">
        <v>1</v>
      </c>
      <c r="AJ396">
        <v>0</v>
      </c>
      <c r="AK396" s="1" t="s">
        <v>136</v>
      </c>
    </row>
    <row r="397" spans="1:37" x14ac:dyDescent="0.25">
      <c r="A397">
        <v>525</v>
      </c>
      <c r="B397">
        <v>43</v>
      </c>
      <c r="C397" s="1" t="s">
        <v>25</v>
      </c>
      <c r="D397" s="1" t="s">
        <v>70</v>
      </c>
      <c r="E397">
        <v>3</v>
      </c>
      <c r="F397" s="1" t="s">
        <v>139</v>
      </c>
      <c r="G397">
        <v>7</v>
      </c>
      <c r="H397" s="1" t="s">
        <v>18</v>
      </c>
      <c r="I397">
        <v>8</v>
      </c>
      <c r="J397">
        <v>1</v>
      </c>
      <c r="K397">
        <v>3</v>
      </c>
      <c r="L397">
        <v>2</v>
      </c>
      <c r="M397">
        <v>1</v>
      </c>
      <c r="N397">
        <v>2</v>
      </c>
      <c r="O397" s="1" t="s">
        <v>19</v>
      </c>
      <c r="P397" s="1" t="s">
        <v>137</v>
      </c>
      <c r="Q397">
        <v>313</v>
      </c>
      <c r="R397" s="1" t="s">
        <v>63</v>
      </c>
      <c r="S397">
        <v>21</v>
      </c>
      <c r="T397">
        <v>1</v>
      </c>
      <c r="U397">
        <v>4</v>
      </c>
      <c r="V397">
        <v>61</v>
      </c>
      <c r="W397">
        <v>3</v>
      </c>
      <c r="X397">
        <v>1</v>
      </c>
      <c r="Y397" s="1" t="s">
        <v>6</v>
      </c>
      <c r="Z397">
        <v>4</v>
      </c>
      <c r="AA397">
        <v>2258</v>
      </c>
      <c r="AB397">
        <v>15238</v>
      </c>
      <c r="AC397" s="1" t="s">
        <v>19</v>
      </c>
      <c r="AD397">
        <v>20</v>
      </c>
      <c r="AE397">
        <v>4</v>
      </c>
      <c r="AF397">
        <v>1</v>
      </c>
      <c r="AG397">
        <v>80</v>
      </c>
      <c r="AH397">
        <v>1</v>
      </c>
      <c r="AI397">
        <v>3</v>
      </c>
      <c r="AJ397">
        <v>0</v>
      </c>
      <c r="AK397" s="1" t="s">
        <v>136</v>
      </c>
    </row>
    <row r="398" spans="1:37" x14ac:dyDescent="0.25">
      <c r="A398">
        <v>526</v>
      </c>
      <c r="B398">
        <v>43</v>
      </c>
      <c r="C398" s="1" t="s">
        <v>24</v>
      </c>
      <c r="D398" s="1" t="s">
        <v>69</v>
      </c>
      <c r="E398">
        <v>4</v>
      </c>
      <c r="F398" s="1" t="s">
        <v>138</v>
      </c>
      <c r="G398">
        <v>4</v>
      </c>
      <c r="H398" s="1" t="s">
        <v>18</v>
      </c>
      <c r="I398">
        <v>8</v>
      </c>
      <c r="J398">
        <v>3</v>
      </c>
      <c r="K398">
        <v>5</v>
      </c>
      <c r="L398">
        <v>2</v>
      </c>
      <c r="M398">
        <v>0</v>
      </c>
      <c r="N398">
        <v>2</v>
      </c>
      <c r="O398" s="1" t="s">
        <v>19</v>
      </c>
      <c r="P398" s="1" t="s">
        <v>135</v>
      </c>
      <c r="Q398">
        <v>1473</v>
      </c>
      <c r="R398" s="1" t="s">
        <v>63</v>
      </c>
      <c r="S398">
        <v>8</v>
      </c>
      <c r="T398">
        <v>1</v>
      </c>
      <c r="U398">
        <v>3</v>
      </c>
      <c r="V398">
        <v>74</v>
      </c>
      <c r="W398">
        <v>3</v>
      </c>
      <c r="X398">
        <v>2</v>
      </c>
      <c r="Y398" s="1" t="s">
        <v>8</v>
      </c>
      <c r="Z398">
        <v>3</v>
      </c>
      <c r="AA398">
        <v>4522</v>
      </c>
      <c r="AB398">
        <v>2227</v>
      </c>
      <c r="AC398" s="1" t="s">
        <v>18</v>
      </c>
      <c r="AD398">
        <v>14</v>
      </c>
      <c r="AE398">
        <v>3</v>
      </c>
      <c r="AF398">
        <v>4</v>
      </c>
      <c r="AG398">
        <v>80</v>
      </c>
      <c r="AH398">
        <v>0</v>
      </c>
      <c r="AI398">
        <v>3</v>
      </c>
      <c r="AJ398">
        <v>0</v>
      </c>
      <c r="AK398" s="1" t="s">
        <v>136</v>
      </c>
    </row>
    <row r="399" spans="1:37" x14ac:dyDescent="0.25">
      <c r="A399">
        <v>527</v>
      </c>
      <c r="B399">
        <v>25</v>
      </c>
      <c r="C399" s="1" t="s">
        <v>24</v>
      </c>
      <c r="D399" s="1" t="s">
        <v>71</v>
      </c>
      <c r="E399">
        <v>2</v>
      </c>
      <c r="F399" s="1" t="s">
        <v>134</v>
      </c>
      <c r="G399">
        <v>1</v>
      </c>
      <c r="H399" s="1" t="s">
        <v>18</v>
      </c>
      <c r="I399">
        <v>5</v>
      </c>
      <c r="J399">
        <v>3</v>
      </c>
      <c r="K399">
        <v>5</v>
      </c>
      <c r="L399">
        <v>4</v>
      </c>
      <c r="M399">
        <v>1</v>
      </c>
      <c r="N399">
        <v>3</v>
      </c>
      <c r="O399" s="1" t="s">
        <v>19</v>
      </c>
      <c r="P399" s="1" t="s">
        <v>135</v>
      </c>
      <c r="Q399">
        <v>891</v>
      </c>
      <c r="R399" s="1" t="s">
        <v>64</v>
      </c>
      <c r="S399">
        <v>4</v>
      </c>
      <c r="T399">
        <v>1</v>
      </c>
      <c r="U399">
        <v>2</v>
      </c>
      <c r="V399">
        <v>99</v>
      </c>
      <c r="W399">
        <v>2</v>
      </c>
      <c r="X399">
        <v>2</v>
      </c>
      <c r="Y399" s="1" t="s">
        <v>4</v>
      </c>
      <c r="Z399">
        <v>4</v>
      </c>
      <c r="AA399">
        <v>4487</v>
      </c>
      <c r="AB399">
        <v>12090</v>
      </c>
      <c r="AC399" s="1" t="s">
        <v>18</v>
      </c>
      <c r="AD399">
        <v>11</v>
      </c>
      <c r="AE399">
        <v>3</v>
      </c>
      <c r="AF399">
        <v>2</v>
      </c>
      <c r="AG399">
        <v>80</v>
      </c>
      <c r="AH399">
        <v>0</v>
      </c>
      <c r="AI399">
        <v>3</v>
      </c>
      <c r="AJ399">
        <v>0</v>
      </c>
      <c r="AK399" s="1" t="s">
        <v>136</v>
      </c>
    </row>
    <row r="400" spans="1:37" x14ac:dyDescent="0.25">
      <c r="A400">
        <v>529</v>
      </c>
      <c r="B400">
        <v>37</v>
      </c>
      <c r="C400" s="1" t="s">
        <v>24</v>
      </c>
      <c r="D400" s="1" t="s">
        <v>70</v>
      </c>
      <c r="E400">
        <v>5</v>
      </c>
      <c r="F400" s="1" t="s">
        <v>139</v>
      </c>
      <c r="G400">
        <v>3</v>
      </c>
      <c r="H400" s="1" t="s">
        <v>18</v>
      </c>
      <c r="I400">
        <v>15</v>
      </c>
      <c r="J400">
        <v>2</v>
      </c>
      <c r="K400">
        <v>13</v>
      </c>
      <c r="L400">
        <v>11</v>
      </c>
      <c r="M400">
        <v>10</v>
      </c>
      <c r="N400">
        <v>7</v>
      </c>
      <c r="O400" s="1" t="s">
        <v>19</v>
      </c>
      <c r="P400" s="1" t="s">
        <v>141</v>
      </c>
      <c r="Q400">
        <v>1063</v>
      </c>
      <c r="R400" s="1" t="s">
        <v>63</v>
      </c>
      <c r="S400">
        <v>25</v>
      </c>
      <c r="T400">
        <v>1</v>
      </c>
      <c r="U400">
        <v>2</v>
      </c>
      <c r="V400">
        <v>72</v>
      </c>
      <c r="W400">
        <v>3</v>
      </c>
      <c r="X400">
        <v>2</v>
      </c>
      <c r="Y400" s="1" t="s">
        <v>5</v>
      </c>
      <c r="Z400">
        <v>3</v>
      </c>
      <c r="AA400">
        <v>4449</v>
      </c>
      <c r="AB400">
        <v>23866</v>
      </c>
      <c r="AC400" s="1" t="s">
        <v>18</v>
      </c>
      <c r="AD400">
        <v>15</v>
      </c>
      <c r="AE400">
        <v>3</v>
      </c>
      <c r="AF400">
        <v>1</v>
      </c>
      <c r="AG400">
        <v>80</v>
      </c>
      <c r="AH400">
        <v>2</v>
      </c>
      <c r="AI400">
        <v>3</v>
      </c>
      <c r="AJ400">
        <v>0</v>
      </c>
      <c r="AK400" s="1" t="s">
        <v>136</v>
      </c>
    </row>
    <row r="401" spans="1:37" x14ac:dyDescent="0.25">
      <c r="A401">
        <v>530</v>
      </c>
      <c r="B401">
        <v>31</v>
      </c>
      <c r="C401" s="1" t="s">
        <v>25</v>
      </c>
      <c r="D401" s="1" t="s">
        <v>70</v>
      </c>
      <c r="E401">
        <v>2</v>
      </c>
      <c r="F401" s="1" t="s">
        <v>134</v>
      </c>
      <c r="G401">
        <v>1</v>
      </c>
      <c r="H401" s="1" t="s">
        <v>18</v>
      </c>
      <c r="I401">
        <v>4</v>
      </c>
      <c r="J401">
        <v>3</v>
      </c>
      <c r="K401">
        <v>4</v>
      </c>
      <c r="L401">
        <v>2</v>
      </c>
      <c r="M401">
        <v>3</v>
      </c>
      <c r="N401">
        <v>2</v>
      </c>
      <c r="O401" s="1" t="s">
        <v>19</v>
      </c>
      <c r="P401" s="1" t="s">
        <v>135</v>
      </c>
      <c r="Q401">
        <v>329</v>
      </c>
      <c r="R401" s="1" t="s">
        <v>63</v>
      </c>
      <c r="S401">
        <v>1</v>
      </c>
      <c r="T401">
        <v>1</v>
      </c>
      <c r="U401">
        <v>4</v>
      </c>
      <c r="V401">
        <v>98</v>
      </c>
      <c r="W401">
        <v>2</v>
      </c>
      <c r="X401">
        <v>1</v>
      </c>
      <c r="Y401" s="1" t="s">
        <v>6</v>
      </c>
      <c r="Z401">
        <v>1</v>
      </c>
      <c r="AA401">
        <v>2218</v>
      </c>
      <c r="AB401">
        <v>16193</v>
      </c>
      <c r="AC401" s="1" t="s">
        <v>19</v>
      </c>
      <c r="AD401">
        <v>12</v>
      </c>
      <c r="AE401">
        <v>3</v>
      </c>
      <c r="AF401">
        <v>3</v>
      </c>
      <c r="AG401">
        <v>80</v>
      </c>
      <c r="AH401">
        <v>1</v>
      </c>
      <c r="AI401">
        <v>3</v>
      </c>
      <c r="AJ401">
        <v>0</v>
      </c>
      <c r="AK401" s="1" t="s">
        <v>136</v>
      </c>
    </row>
    <row r="402" spans="1:37" x14ac:dyDescent="0.25">
      <c r="A402">
        <v>531</v>
      </c>
      <c r="B402">
        <v>39</v>
      </c>
      <c r="C402" s="1" t="s">
        <v>25</v>
      </c>
      <c r="D402" s="1" t="s">
        <v>69</v>
      </c>
      <c r="E402">
        <v>1</v>
      </c>
      <c r="F402" s="1" t="s">
        <v>134</v>
      </c>
      <c r="G402">
        <v>1</v>
      </c>
      <c r="H402" s="1" t="s">
        <v>18</v>
      </c>
      <c r="I402">
        <v>21</v>
      </c>
      <c r="J402">
        <v>3</v>
      </c>
      <c r="K402">
        <v>21</v>
      </c>
      <c r="L402">
        <v>8</v>
      </c>
      <c r="M402">
        <v>1</v>
      </c>
      <c r="N402">
        <v>6</v>
      </c>
      <c r="O402" s="1" t="s">
        <v>19</v>
      </c>
      <c r="P402" s="1" t="s">
        <v>137</v>
      </c>
      <c r="Q402">
        <v>1218</v>
      </c>
      <c r="R402" s="1" t="s">
        <v>63</v>
      </c>
      <c r="S402">
        <v>1</v>
      </c>
      <c r="T402">
        <v>1</v>
      </c>
      <c r="U402">
        <v>2</v>
      </c>
      <c r="V402">
        <v>52</v>
      </c>
      <c r="W402">
        <v>3</v>
      </c>
      <c r="X402">
        <v>5</v>
      </c>
      <c r="Y402" s="1" t="s">
        <v>9</v>
      </c>
      <c r="Z402">
        <v>3</v>
      </c>
      <c r="AA402">
        <v>19197</v>
      </c>
      <c r="AB402">
        <v>8213</v>
      </c>
      <c r="AC402" s="1" t="s">
        <v>18</v>
      </c>
      <c r="AD402">
        <v>14</v>
      </c>
      <c r="AE402">
        <v>3</v>
      </c>
      <c r="AF402">
        <v>3</v>
      </c>
      <c r="AG402">
        <v>80</v>
      </c>
      <c r="AH402">
        <v>1</v>
      </c>
      <c r="AI402">
        <v>3</v>
      </c>
      <c r="AJ402">
        <v>0</v>
      </c>
      <c r="AK402" s="1" t="s">
        <v>136</v>
      </c>
    </row>
    <row r="403" spans="1:37" x14ac:dyDescent="0.25">
      <c r="A403">
        <v>532</v>
      </c>
      <c r="B403">
        <v>56</v>
      </c>
      <c r="C403" s="1" t="s">
        <v>24</v>
      </c>
      <c r="D403" s="1" t="s">
        <v>70</v>
      </c>
      <c r="E403">
        <v>3</v>
      </c>
      <c r="F403" s="1" t="s">
        <v>134</v>
      </c>
      <c r="G403">
        <v>9</v>
      </c>
      <c r="H403" s="1" t="s">
        <v>18</v>
      </c>
      <c r="I403">
        <v>36</v>
      </c>
      <c r="J403">
        <v>0</v>
      </c>
      <c r="K403">
        <v>7</v>
      </c>
      <c r="L403">
        <v>7</v>
      </c>
      <c r="M403">
        <v>7</v>
      </c>
      <c r="N403">
        <v>7</v>
      </c>
      <c r="O403" s="1" t="s">
        <v>19</v>
      </c>
      <c r="P403" s="1" t="s">
        <v>137</v>
      </c>
      <c r="Q403">
        <v>906</v>
      </c>
      <c r="R403" s="1" t="s">
        <v>64</v>
      </c>
      <c r="S403">
        <v>6</v>
      </c>
      <c r="T403">
        <v>1</v>
      </c>
      <c r="U403">
        <v>3</v>
      </c>
      <c r="V403">
        <v>86</v>
      </c>
      <c r="W403">
        <v>4</v>
      </c>
      <c r="X403">
        <v>4</v>
      </c>
      <c r="Y403" s="1" t="s">
        <v>4</v>
      </c>
      <c r="Z403">
        <v>1</v>
      </c>
      <c r="AA403">
        <v>13212</v>
      </c>
      <c r="AB403">
        <v>18256</v>
      </c>
      <c r="AC403" s="1" t="s">
        <v>19</v>
      </c>
      <c r="AD403">
        <v>11</v>
      </c>
      <c r="AE403">
        <v>3</v>
      </c>
      <c r="AF403">
        <v>4</v>
      </c>
      <c r="AG403">
        <v>80</v>
      </c>
      <c r="AH403">
        <v>3</v>
      </c>
      <c r="AI403">
        <v>2</v>
      </c>
      <c r="AJ403">
        <v>0</v>
      </c>
      <c r="AK403" s="1" t="s">
        <v>140</v>
      </c>
    </row>
    <row r="404" spans="1:37" x14ac:dyDescent="0.25">
      <c r="A404">
        <v>533</v>
      </c>
      <c r="B404">
        <v>30</v>
      </c>
      <c r="C404" s="1" t="s">
        <v>24</v>
      </c>
      <c r="D404" s="1" t="s">
        <v>71</v>
      </c>
      <c r="E404">
        <v>3</v>
      </c>
      <c r="F404" s="1" t="s">
        <v>143</v>
      </c>
      <c r="G404">
        <v>0</v>
      </c>
      <c r="H404" s="1" t="s">
        <v>18</v>
      </c>
      <c r="I404">
        <v>6</v>
      </c>
      <c r="J404">
        <v>6</v>
      </c>
      <c r="K404">
        <v>5</v>
      </c>
      <c r="L404">
        <v>4</v>
      </c>
      <c r="M404">
        <v>4</v>
      </c>
      <c r="N404">
        <v>4</v>
      </c>
      <c r="O404" s="1" t="s">
        <v>19</v>
      </c>
      <c r="P404" s="1" t="s">
        <v>135</v>
      </c>
      <c r="Q404">
        <v>1082</v>
      </c>
      <c r="R404" s="1" t="s">
        <v>64</v>
      </c>
      <c r="S404">
        <v>12</v>
      </c>
      <c r="T404">
        <v>1</v>
      </c>
      <c r="U404">
        <v>2</v>
      </c>
      <c r="V404">
        <v>83</v>
      </c>
      <c r="W404">
        <v>3</v>
      </c>
      <c r="X404">
        <v>2</v>
      </c>
      <c r="Y404" s="1" t="s">
        <v>4</v>
      </c>
      <c r="Z404">
        <v>3</v>
      </c>
      <c r="AA404">
        <v>6577</v>
      </c>
      <c r="AB404">
        <v>19558</v>
      </c>
      <c r="AC404" s="1" t="s">
        <v>19</v>
      </c>
      <c r="AD404">
        <v>11</v>
      </c>
      <c r="AE404">
        <v>3</v>
      </c>
      <c r="AF404">
        <v>2</v>
      </c>
      <c r="AG404">
        <v>80</v>
      </c>
      <c r="AH404">
        <v>0</v>
      </c>
      <c r="AI404">
        <v>3</v>
      </c>
      <c r="AJ404">
        <v>0</v>
      </c>
      <c r="AK404" s="1" t="s">
        <v>136</v>
      </c>
    </row>
    <row r="405" spans="1:37" x14ac:dyDescent="0.25">
      <c r="A405">
        <v>534</v>
      </c>
      <c r="B405">
        <v>41</v>
      </c>
      <c r="C405" s="1" t="s">
        <v>25</v>
      </c>
      <c r="D405" s="1" t="s">
        <v>70</v>
      </c>
      <c r="E405">
        <v>3</v>
      </c>
      <c r="F405" s="1" t="s">
        <v>142</v>
      </c>
      <c r="G405">
        <v>1</v>
      </c>
      <c r="H405" s="1" t="s">
        <v>18</v>
      </c>
      <c r="I405">
        <v>10</v>
      </c>
      <c r="J405">
        <v>2</v>
      </c>
      <c r="K405">
        <v>10</v>
      </c>
      <c r="L405">
        <v>7</v>
      </c>
      <c r="M405">
        <v>0</v>
      </c>
      <c r="N405">
        <v>7</v>
      </c>
      <c r="O405" s="1" t="s">
        <v>19</v>
      </c>
      <c r="P405" s="1" t="s">
        <v>135</v>
      </c>
      <c r="Q405">
        <v>645</v>
      </c>
      <c r="R405" s="1" t="s">
        <v>64</v>
      </c>
      <c r="S405">
        <v>1</v>
      </c>
      <c r="T405">
        <v>1</v>
      </c>
      <c r="U405">
        <v>2</v>
      </c>
      <c r="V405">
        <v>49</v>
      </c>
      <c r="W405">
        <v>4</v>
      </c>
      <c r="X405">
        <v>3</v>
      </c>
      <c r="Y405" s="1" t="s">
        <v>4</v>
      </c>
      <c r="Z405">
        <v>1</v>
      </c>
      <c r="AA405">
        <v>8392</v>
      </c>
      <c r="AB405">
        <v>19566</v>
      </c>
      <c r="AC405" s="1" t="s">
        <v>19</v>
      </c>
      <c r="AD405">
        <v>16</v>
      </c>
      <c r="AE405">
        <v>3</v>
      </c>
      <c r="AF405">
        <v>3</v>
      </c>
      <c r="AG405">
        <v>80</v>
      </c>
      <c r="AH405">
        <v>1</v>
      </c>
      <c r="AI405">
        <v>3</v>
      </c>
      <c r="AJ405">
        <v>0</v>
      </c>
      <c r="AK405" s="1" t="s">
        <v>136</v>
      </c>
    </row>
    <row r="406" spans="1:37" x14ac:dyDescent="0.25">
      <c r="A406">
        <v>536</v>
      </c>
      <c r="B406">
        <v>28</v>
      </c>
      <c r="C406" s="1" t="s">
        <v>25</v>
      </c>
      <c r="D406" s="1" t="s">
        <v>69</v>
      </c>
      <c r="E406">
        <v>2</v>
      </c>
      <c r="F406" s="1" t="s">
        <v>139</v>
      </c>
      <c r="G406">
        <v>1</v>
      </c>
      <c r="H406" s="1" t="s">
        <v>18</v>
      </c>
      <c r="I406">
        <v>10</v>
      </c>
      <c r="J406">
        <v>2</v>
      </c>
      <c r="K406">
        <v>10</v>
      </c>
      <c r="L406">
        <v>0</v>
      </c>
      <c r="M406">
        <v>1</v>
      </c>
      <c r="N406">
        <v>8</v>
      </c>
      <c r="O406" s="1" t="s">
        <v>19</v>
      </c>
      <c r="P406" s="1" t="s">
        <v>135</v>
      </c>
      <c r="Q406">
        <v>1300</v>
      </c>
      <c r="R406" s="1" t="s">
        <v>63</v>
      </c>
      <c r="S406">
        <v>17</v>
      </c>
      <c r="T406">
        <v>1</v>
      </c>
      <c r="U406">
        <v>3</v>
      </c>
      <c r="V406">
        <v>79</v>
      </c>
      <c r="W406">
        <v>3</v>
      </c>
      <c r="X406">
        <v>2</v>
      </c>
      <c r="Y406" s="1" t="s">
        <v>6</v>
      </c>
      <c r="Z406">
        <v>1</v>
      </c>
      <c r="AA406">
        <v>4558</v>
      </c>
      <c r="AB406">
        <v>13535</v>
      </c>
      <c r="AC406" s="1" t="s">
        <v>19</v>
      </c>
      <c r="AD406">
        <v>12</v>
      </c>
      <c r="AE406">
        <v>3</v>
      </c>
      <c r="AF406">
        <v>4</v>
      </c>
      <c r="AG406">
        <v>80</v>
      </c>
      <c r="AH406">
        <v>1</v>
      </c>
      <c r="AI406">
        <v>3</v>
      </c>
      <c r="AJ406">
        <v>0</v>
      </c>
      <c r="AK406" s="1" t="s">
        <v>136</v>
      </c>
    </row>
    <row r="407" spans="1:37" x14ac:dyDescent="0.25">
      <c r="A407">
        <v>538</v>
      </c>
      <c r="B407">
        <v>25</v>
      </c>
      <c r="C407" s="1" t="s">
        <v>25</v>
      </c>
      <c r="D407" s="1" t="s">
        <v>70</v>
      </c>
      <c r="E407">
        <v>3</v>
      </c>
      <c r="F407" s="1" t="s">
        <v>139</v>
      </c>
      <c r="G407">
        <v>5</v>
      </c>
      <c r="H407" s="1" t="s">
        <v>18</v>
      </c>
      <c r="I407">
        <v>6</v>
      </c>
      <c r="J407">
        <v>5</v>
      </c>
      <c r="K407">
        <v>2</v>
      </c>
      <c r="L407">
        <v>2</v>
      </c>
      <c r="M407">
        <v>0</v>
      </c>
      <c r="N407">
        <v>2</v>
      </c>
      <c r="O407" s="1" t="s">
        <v>18</v>
      </c>
      <c r="P407" s="1" t="s">
        <v>135</v>
      </c>
      <c r="Q407">
        <v>688</v>
      </c>
      <c r="R407" s="1" t="s">
        <v>63</v>
      </c>
      <c r="S407">
        <v>3</v>
      </c>
      <c r="T407">
        <v>1</v>
      </c>
      <c r="U407">
        <v>1</v>
      </c>
      <c r="V407">
        <v>91</v>
      </c>
      <c r="W407">
        <v>3</v>
      </c>
      <c r="X407">
        <v>1</v>
      </c>
      <c r="Y407" s="1" t="s">
        <v>6</v>
      </c>
      <c r="Z407">
        <v>1</v>
      </c>
      <c r="AA407">
        <v>4031</v>
      </c>
      <c r="AB407">
        <v>9396</v>
      </c>
      <c r="AC407" s="1" t="s">
        <v>19</v>
      </c>
      <c r="AD407">
        <v>13</v>
      </c>
      <c r="AE407">
        <v>3</v>
      </c>
      <c r="AF407">
        <v>3</v>
      </c>
      <c r="AG407">
        <v>80</v>
      </c>
      <c r="AH407">
        <v>1</v>
      </c>
      <c r="AI407">
        <v>3</v>
      </c>
      <c r="AJ407">
        <v>1</v>
      </c>
      <c r="AK407" s="1" t="s">
        <v>136</v>
      </c>
    </row>
    <row r="408" spans="1:37" x14ac:dyDescent="0.25">
      <c r="A408">
        <v>543</v>
      </c>
      <c r="B408">
        <v>52</v>
      </c>
      <c r="C408" s="1" t="s">
        <v>25</v>
      </c>
      <c r="D408" s="1" t="s">
        <v>70</v>
      </c>
      <c r="E408">
        <v>3</v>
      </c>
      <c r="F408" s="1" t="s">
        <v>139</v>
      </c>
      <c r="G408">
        <v>2</v>
      </c>
      <c r="H408" s="1" t="s">
        <v>18</v>
      </c>
      <c r="I408">
        <v>28</v>
      </c>
      <c r="J408">
        <v>4</v>
      </c>
      <c r="K408">
        <v>5</v>
      </c>
      <c r="L408">
        <v>4</v>
      </c>
      <c r="M408">
        <v>0</v>
      </c>
      <c r="N408">
        <v>4</v>
      </c>
      <c r="O408" s="1" t="s">
        <v>19</v>
      </c>
      <c r="P408" s="1" t="s">
        <v>135</v>
      </c>
      <c r="Q408">
        <v>319</v>
      </c>
      <c r="R408" s="1" t="s">
        <v>63</v>
      </c>
      <c r="S408">
        <v>3</v>
      </c>
      <c r="T408">
        <v>1</v>
      </c>
      <c r="U408">
        <v>4</v>
      </c>
      <c r="V408">
        <v>39</v>
      </c>
      <c r="W408">
        <v>2</v>
      </c>
      <c r="X408">
        <v>3</v>
      </c>
      <c r="Y408" s="1" t="s">
        <v>7</v>
      </c>
      <c r="Z408">
        <v>3</v>
      </c>
      <c r="AA408">
        <v>7969</v>
      </c>
      <c r="AB408">
        <v>19609</v>
      </c>
      <c r="AC408" s="1" t="s">
        <v>18</v>
      </c>
      <c r="AD408">
        <v>14</v>
      </c>
      <c r="AE408">
        <v>3</v>
      </c>
      <c r="AF408">
        <v>3</v>
      </c>
      <c r="AG408">
        <v>80</v>
      </c>
      <c r="AH408">
        <v>0</v>
      </c>
      <c r="AI408">
        <v>3</v>
      </c>
      <c r="AJ408">
        <v>0</v>
      </c>
      <c r="AK408" s="1" t="s">
        <v>140</v>
      </c>
    </row>
    <row r="409" spans="1:37" x14ac:dyDescent="0.25">
      <c r="A409">
        <v>544</v>
      </c>
      <c r="B409">
        <v>45</v>
      </c>
      <c r="C409" s="1" t="s">
        <v>25</v>
      </c>
      <c r="D409" s="1" t="s">
        <v>70</v>
      </c>
      <c r="E409">
        <v>2</v>
      </c>
      <c r="F409" s="1" t="s">
        <v>134</v>
      </c>
      <c r="G409">
        <v>3</v>
      </c>
      <c r="H409" s="1" t="s">
        <v>18</v>
      </c>
      <c r="I409">
        <v>8</v>
      </c>
      <c r="J409">
        <v>3</v>
      </c>
      <c r="K409">
        <v>2</v>
      </c>
      <c r="L409">
        <v>2</v>
      </c>
      <c r="M409">
        <v>0</v>
      </c>
      <c r="N409">
        <v>2</v>
      </c>
      <c r="O409" s="1" t="s">
        <v>19</v>
      </c>
      <c r="P409" s="1" t="s">
        <v>135</v>
      </c>
      <c r="Q409">
        <v>192</v>
      </c>
      <c r="R409" s="1" t="s">
        <v>63</v>
      </c>
      <c r="S409">
        <v>10</v>
      </c>
      <c r="T409">
        <v>1</v>
      </c>
      <c r="U409">
        <v>1</v>
      </c>
      <c r="V409">
        <v>69</v>
      </c>
      <c r="W409">
        <v>3</v>
      </c>
      <c r="X409">
        <v>1</v>
      </c>
      <c r="Y409" s="1" t="s">
        <v>5</v>
      </c>
      <c r="Z409">
        <v>4</v>
      </c>
      <c r="AA409">
        <v>2654</v>
      </c>
      <c r="AB409">
        <v>9655</v>
      </c>
      <c r="AC409" s="1" t="s">
        <v>19</v>
      </c>
      <c r="AD409">
        <v>21</v>
      </c>
      <c r="AE409">
        <v>4</v>
      </c>
      <c r="AF409">
        <v>4</v>
      </c>
      <c r="AG409">
        <v>80</v>
      </c>
      <c r="AH409">
        <v>2</v>
      </c>
      <c r="AI409">
        <v>2</v>
      </c>
      <c r="AJ409">
        <v>0</v>
      </c>
      <c r="AK409" s="1" t="s">
        <v>136</v>
      </c>
    </row>
    <row r="410" spans="1:37" x14ac:dyDescent="0.25">
      <c r="A410">
        <v>546</v>
      </c>
      <c r="B410">
        <v>52</v>
      </c>
      <c r="C410" s="1" t="s">
        <v>24</v>
      </c>
      <c r="D410" s="1" t="s">
        <v>70</v>
      </c>
      <c r="E410">
        <v>2</v>
      </c>
      <c r="F410" s="1" t="s">
        <v>134</v>
      </c>
      <c r="G410">
        <v>2</v>
      </c>
      <c r="H410" s="1" t="s">
        <v>18</v>
      </c>
      <c r="I410">
        <v>31</v>
      </c>
      <c r="J410">
        <v>2</v>
      </c>
      <c r="K410">
        <v>5</v>
      </c>
      <c r="L410">
        <v>2</v>
      </c>
      <c r="M410">
        <v>1</v>
      </c>
      <c r="N410">
        <v>4</v>
      </c>
      <c r="O410" s="1" t="s">
        <v>19</v>
      </c>
      <c r="P410" s="1" t="s">
        <v>135</v>
      </c>
      <c r="Q410">
        <v>1490</v>
      </c>
      <c r="R410" s="1" t="s">
        <v>63</v>
      </c>
      <c r="S410">
        <v>4</v>
      </c>
      <c r="T410">
        <v>1</v>
      </c>
      <c r="U410">
        <v>4</v>
      </c>
      <c r="V410">
        <v>30</v>
      </c>
      <c r="W410">
        <v>3</v>
      </c>
      <c r="X410">
        <v>4</v>
      </c>
      <c r="Y410" s="1" t="s">
        <v>9</v>
      </c>
      <c r="Z410">
        <v>4</v>
      </c>
      <c r="AA410">
        <v>16555</v>
      </c>
      <c r="AB410">
        <v>10310</v>
      </c>
      <c r="AC410" s="1" t="s">
        <v>19</v>
      </c>
      <c r="AD410">
        <v>13</v>
      </c>
      <c r="AE410">
        <v>3</v>
      </c>
      <c r="AF410">
        <v>4</v>
      </c>
      <c r="AG410">
        <v>80</v>
      </c>
      <c r="AH410">
        <v>0</v>
      </c>
      <c r="AI410">
        <v>1</v>
      </c>
      <c r="AJ410">
        <v>0</v>
      </c>
      <c r="AK410" s="1" t="s">
        <v>140</v>
      </c>
    </row>
    <row r="411" spans="1:37" x14ac:dyDescent="0.25">
      <c r="A411">
        <v>547</v>
      </c>
      <c r="B411">
        <v>42</v>
      </c>
      <c r="C411" s="1" t="s">
        <v>24</v>
      </c>
      <c r="D411" s="1" t="s">
        <v>69</v>
      </c>
      <c r="E411">
        <v>2</v>
      </c>
      <c r="F411" s="1" t="s">
        <v>134</v>
      </c>
      <c r="G411">
        <v>2</v>
      </c>
      <c r="H411" s="1" t="s">
        <v>18</v>
      </c>
      <c r="I411">
        <v>19</v>
      </c>
      <c r="J411">
        <v>3</v>
      </c>
      <c r="K411">
        <v>5</v>
      </c>
      <c r="L411">
        <v>4</v>
      </c>
      <c r="M411">
        <v>0</v>
      </c>
      <c r="N411">
        <v>2</v>
      </c>
      <c r="O411" s="1" t="s">
        <v>19</v>
      </c>
      <c r="P411" s="1" t="s">
        <v>137</v>
      </c>
      <c r="Q411">
        <v>532</v>
      </c>
      <c r="R411" s="1" t="s">
        <v>63</v>
      </c>
      <c r="S411">
        <v>29</v>
      </c>
      <c r="T411">
        <v>1</v>
      </c>
      <c r="U411">
        <v>1</v>
      </c>
      <c r="V411">
        <v>92</v>
      </c>
      <c r="W411">
        <v>3</v>
      </c>
      <c r="X411">
        <v>2</v>
      </c>
      <c r="Y411" s="1" t="s">
        <v>5</v>
      </c>
      <c r="Z411">
        <v>3</v>
      </c>
      <c r="AA411">
        <v>4556</v>
      </c>
      <c r="AB411">
        <v>12932</v>
      </c>
      <c r="AC411" s="1" t="s">
        <v>19</v>
      </c>
      <c r="AD411">
        <v>11</v>
      </c>
      <c r="AE411">
        <v>3</v>
      </c>
      <c r="AF411">
        <v>2</v>
      </c>
      <c r="AG411">
        <v>80</v>
      </c>
      <c r="AH411">
        <v>1</v>
      </c>
      <c r="AI411">
        <v>3</v>
      </c>
      <c r="AJ411">
        <v>0</v>
      </c>
      <c r="AK411" s="1" t="s">
        <v>136</v>
      </c>
    </row>
    <row r="412" spans="1:37" x14ac:dyDescent="0.25">
      <c r="A412">
        <v>548</v>
      </c>
      <c r="B412">
        <v>30</v>
      </c>
      <c r="C412" s="1" t="s">
        <v>24</v>
      </c>
      <c r="D412" s="1" t="s">
        <v>71</v>
      </c>
      <c r="E412">
        <v>3</v>
      </c>
      <c r="F412" s="1" t="s">
        <v>134</v>
      </c>
      <c r="G412">
        <v>2</v>
      </c>
      <c r="H412" s="1" t="s">
        <v>18</v>
      </c>
      <c r="I412">
        <v>11</v>
      </c>
      <c r="J412">
        <v>2</v>
      </c>
      <c r="K412">
        <v>5</v>
      </c>
      <c r="L412">
        <v>4</v>
      </c>
      <c r="M412">
        <v>0</v>
      </c>
      <c r="N412">
        <v>2</v>
      </c>
      <c r="O412" s="1" t="s">
        <v>19</v>
      </c>
      <c r="P412" s="1" t="s">
        <v>135</v>
      </c>
      <c r="Q412">
        <v>317</v>
      </c>
      <c r="R412" s="1" t="s">
        <v>63</v>
      </c>
      <c r="S412">
        <v>2</v>
      </c>
      <c r="T412">
        <v>1</v>
      </c>
      <c r="U412">
        <v>3</v>
      </c>
      <c r="V412">
        <v>43</v>
      </c>
      <c r="W412">
        <v>1</v>
      </c>
      <c r="X412">
        <v>2</v>
      </c>
      <c r="Y412" s="1" t="s">
        <v>7</v>
      </c>
      <c r="Z412">
        <v>4</v>
      </c>
      <c r="AA412">
        <v>6091</v>
      </c>
      <c r="AB412">
        <v>24793</v>
      </c>
      <c r="AC412" s="1" t="s">
        <v>19</v>
      </c>
      <c r="AD412">
        <v>20</v>
      </c>
      <c r="AE412">
        <v>4</v>
      </c>
      <c r="AF412">
        <v>3</v>
      </c>
      <c r="AG412">
        <v>80</v>
      </c>
      <c r="AH412">
        <v>0</v>
      </c>
      <c r="AI412">
        <v>3</v>
      </c>
      <c r="AJ412">
        <v>0</v>
      </c>
      <c r="AK412" s="1" t="s">
        <v>136</v>
      </c>
    </row>
    <row r="413" spans="1:37" x14ac:dyDescent="0.25">
      <c r="A413">
        <v>549</v>
      </c>
      <c r="B413">
        <v>60</v>
      </c>
      <c r="C413" s="1" t="s">
        <v>24</v>
      </c>
      <c r="D413" s="1" t="s">
        <v>70</v>
      </c>
      <c r="E413">
        <v>3</v>
      </c>
      <c r="F413" s="1" t="s">
        <v>134</v>
      </c>
      <c r="G413">
        <v>5</v>
      </c>
      <c r="H413" s="1" t="s">
        <v>18</v>
      </c>
      <c r="I413">
        <v>33</v>
      </c>
      <c r="J413">
        <v>5</v>
      </c>
      <c r="K413">
        <v>29</v>
      </c>
      <c r="L413">
        <v>8</v>
      </c>
      <c r="M413">
        <v>11</v>
      </c>
      <c r="N413">
        <v>10</v>
      </c>
      <c r="O413" s="1" t="s">
        <v>19</v>
      </c>
      <c r="P413" s="1" t="s">
        <v>135</v>
      </c>
      <c r="Q413">
        <v>422</v>
      </c>
      <c r="R413" s="1" t="s">
        <v>63</v>
      </c>
      <c r="S413">
        <v>7</v>
      </c>
      <c r="T413">
        <v>1</v>
      </c>
      <c r="U413">
        <v>1</v>
      </c>
      <c r="V413">
        <v>41</v>
      </c>
      <c r="W413">
        <v>3</v>
      </c>
      <c r="X413">
        <v>5</v>
      </c>
      <c r="Y413" s="1" t="s">
        <v>9</v>
      </c>
      <c r="Z413">
        <v>1</v>
      </c>
      <c r="AA413">
        <v>19566</v>
      </c>
      <c r="AB413">
        <v>3854</v>
      </c>
      <c r="AC413" s="1" t="s">
        <v>19</v>
      </c>
      <c r="AD413">
        <v>11</v>
      </c>
      <c r="AE413">
        <v>3</v>
      </c>
      <c r="AF413">
        <v>4</v>
      </c>
      <c r="AG413">
        <v>80</v>
      </c>
      <c r="AH413">
        <v>0</v>
      </c>
      <c r="AI413">
        <v>1</v>
      </c>
      <c r="AJ413">
        <v>0</v>
      </c>
      <c r="AK413" s="1" t="s">
        <v>140</v>
      </c>
    </row>
    <row r="414" spans="1:37" x14ac:dyDescent="0.25">
      <c r="A414">
        <v>550</v>
      </c>
      <c r="B414">
        <v>46</v>
      </c>
      <c r="C414" s="1" t="s">
        <v>24</v>
      </c>
      <c r="D414" s="1" t="s">
        <v>69</v>
      </c>
      <c r="E414">
        <v>3</v>
      </c>
      <c r="F414" s="1" t="s">
        <v>139</v>
      </c>
      <c r="G414">
        <v>2</v>
      </c>
      <c r="H414" s="1" t="s">
        <v>18</v>
      </c>
      <c r="I414">
        <v>19</v>
      </c>
      <c r="J414">
        <v>5</v>
      </c>
      <c r="K414">
        <v>10</v>
      </c>
      <c r="L414">
        <v>7</v>
      </c>
      <c r="M414">
        <v>0</v>
      </c>
      <c r="N414">
        <v>8</v>
      </c>
      <c r="O414" s="1" t="s">
        <v>19</v>
      </c>
      <c r="P414" s="1" t="s">
        <v>135</v>
      </c>
      <c r="Q414">
        <v>1485</v>
      </c>
      <c r="R414" s="1" t="s">
        <v>63</v>
      </c>
      <c r="S414">
        <v>18</v>
      </c>
      <c r="T414">
        <v>1</v>
      </c>
      <c r="U414">
        <v>3</v>
      </c>
      <c r="V414">
        <v>87</v>
      </c>
      <c r="W414">
        <v>3</v>
      </c>
      <c r="X414">
        <v>2</v>
      </c>
      <c r="Y414" s="1" t="s">
        <v>7</v>
      </c>
      <c r="Z414">
        <v>3</v>
      </c>
      <c r="AA414">
        <v>4810</v>
      </c>
      <c r="AB414">
        <v>26314</v>
      </c>
      <c r="AC414" s="1" t="s">
        <v>19</v>
      </c>
      <c r="AD414">
        <v>14</v>
      </c>
      <c r="AE414">
        <v>3</v>
      </c>
      <c r="AF414">
        <v>3</v>
      </c>
      <c r="AG414">
        <v>80</v>
      </c>
      <c r="AH414">
        <v>1</v>
      </c>
      <c r="AI414">
        <v>2</v>
      </c>
      <c r="AJ414">
        <v>0</v>
      </c>
      <c r="AK414" s="1" t="s">
        <v>136</v>
      </c>
    </row>
    <row r="415" spans="1:37" x14ac:dyDescent="0.25">
      <c r="A415">
        <v>551</v>
      </c>
      <c r="B415">
        <v>42</v>
      </c>
      <c r="C415" s="1" t="s">
        <v>24</v>
      </c>
      <c r="D415" s="1" t="s">
        <v>70</v>
      </c>
      <c r="E415">
        <v>4</v>
      </c>
      <c r="F415" s="1" t="s">
        <v>143</v>
      </c>
      <c r="G415">
        <v>0</v>
      </c>
      <c r="H415" s="1" t="s">
        <v>18</v>
      </c>
      <c r="I415">
        <v>7</v>
      </c>
      <c r="J415">
        <v>4</v>
      </c>
      <c r="K415">
        <v>6</v>
      </c>
      <c r="L415">
        <v>5</v>
      </c>
      <c r="M415">
        <v>0</v>
      </c>
      <c r="N415">
        <v>4</v>
      </c>
      <c r="O415" s="1" t="s">
        <v>19</v>
      </c>
      <c r="P415" s="1" t="s">
        <v>137</v>
      </c>
      <c r="Q415">
        <v>1368</v>
      </c>
      <c r="R415" s="1" t="s">
        <v>63</v>
      </c>
      <c r="S415">
        <v>28</v>
      </c>
      <c r="T415">
        <v>1</v>
      </c>
      <c r="U415">
        <v>4</v>
      </c>
      <c r="V415">
        <v>88</v>
      </c>
      <c r="W415">
        <v>2</v>
      </c>
      <c r="X415">
        <v>2</v>
      </c>
      <c r="Y415" s="1" t="s">
        <v>8</v>
      </c>
      <c r="Z415">
        <v>4</v>
      </c>
      <c r="AA415">
        <v>4523</v>
      </c>
      <c r="AB415">
        <v>4386</v>
      </c>
      <c r="AC415" s="1" t="s">
        <v>19</v>
      </c>
      <c r="AD415">
        <v>11</v>
      </c>
      <c r="AE415">
        <v>3</v>
      </c>
      <c r="AF415">
        <v>4</v>
      </c>
      <c r="AG415">
        <v>80</v>
      </c>
      <c r="AH415">
        <v>3</v>
      </c>
      <c r="AI415">
        <v>4</v>
      </c>
      <c r="AJ415">
        <v>0</v>
      </c>
      <c r="AK415" s="1" t="s">
        <v>136</v>
      </c>
    </row>
    <row r="416" spans="1:37" x14ac:dyDescent="0.25">
      <c r="A416">
        <v>554</v>
      </c>
      <c r="B416">
        <v>24</v>
      </c>
      <c r="C416" s="1" t="s">
        <v>24</v>
      </c>
      <c r="D416" s="1" t="s">
        <v>71</v>
      </c>
      <c r="E416">
        <v>1</v>
      </c>
      <c r="F416" s="1" t="s">
        <v>143</v>
      </c>
      <c r="G416">
        <v>1</v>
      </c>
      <c r="H416" s="1" t="s">
        <v>18</v>
      </c>
      <c r="I416">
        <v>6</v>
      </c>
      <c r="J416">
        <v>4</v>
      </c>
      <c r="K416">
        <v>5</v>
      </c>
      <c r="L416">
        <v>3</v>
      </c>
      <c r="M416">
        <v>1</v>
      </c>
      <c r="N416">
        <v>4</v>
      </c>
      <c r="O416" s="1" t="s">
        <v>18</v>
      </c>
      <c r="P416" s="1" t="s">
        <v>135</v>
      </c>
      <c r="Q416">
        <v>1448</v>
      </c>
      <c r="R416" s="1" t="s">
        <v>64</v>
      </c>
      <c r="S416">
        <v>1</v>
      </c>
      <c r="T416">
        <v>1</v>
      </c>
      <c r="U416">
        <v>1</v>
      </c>
      <c r="V416">
        <v>62</v>
      </c>
      <c r="W416">
        <v>3</v>
      </c>
      <c r="X416">
        <v>1</v>
      </c>
      <c r="Y416" s="1" t="s">
        <v>10</v>
      </c>
      <c r="Z416">
        <v>2</v>
      </c>
      <c r="AA416">
        <v>3202</v>
      </c>
      <c r="AB416">
        <v>21972</v>
      </c>
      <c r="AC416" s="1" t="s">
        <v>18</v>
      </c>
      <c r="AD416">
        <v>16</v>
      </c>
      <c r="AE416">
        <v>3</v>
      </c>
      <c r="AF416">
        <v>2</v>
      </c>
      <c r="AG416">
        <v>80</v>
      </c>
      <c r="AH416">
        <v>0</v>
      </c>
      <c r="AI416">
        <v>3</v>
      </c>
      <c r="AJ416">
        <v>1</v>
      </c>
      <c r="AK416" s="1" t="s">
        <v>136</v>
      </c>
    </row>
    <row r="417" spans="1:37" x14ac:dyDescent="0.25">
      <c r="A417">
        <v>555</v>
      </c>
      <c r="B417">
        <v>34</v>
      </c>
      <c r="C417" s="1" t="s">
        <v>24</v>
      </c>
      <c r="D417" s="1" t="s">
        <v>69</v>
      </c>
      <c r="E417">
        <v>2</v>
      </c>
      <c r="F417" s="1" t="s">
        <v>142</v>
      </c>
      <c r="G417">
        <v>0</v>
      </c>
      <c r="H417" s="1" t="s">
        <v>18</v>
      </c>
      <c r="I417">
        <v>3</v>
      </c>
      <c r="J417">
        <v>3</v>
      </c>
      <c r="K417">
        <v>2</v>
      </c>
      <c r="L417">
        <v>2</v>
      </c>
      <c r="M417">
        <v>1</v>
      </c>
      <c r="N417">
        <v>0</v>
      </c>
      <c r="O417" s="1" t="s">
        <v>18</v>
      </c>
      <c r="P417" s="1" t="s">
        <v>137</v>
      </c>
      <c r="Q417">
        <v>296</v>
      </c>
      <c r="R417" s="1" t="s">
        <v>64</v>
      </c>
      <c r="S417">
        <v>6</v>
      </c>
      <c r="T417">
        <v>1</v>
      </c>
      <c r="U417">
        <v>4</v>
      </c>
      <c r="V417">
        <v>33</v>
      </c>
      <c r="W417">
        <v>1</v>
      </c>
      <c r="X417">
        <v>1</v>
      </c>
      <c r="Y417" s="1" t="s">
        <v>10</v>
      </c>
      <c r="Z417">
        <v>3</v>
      </c>
      <c r="AA417">
        <v>2351</v>
      </c>
      <c r="AB417">
        <v>12253</v>
      </c>
      <c r="AC417" s="1" t="s">
        <v>19</v>
      </c>
      <c r="AD417">
        <v>16</v>
      </c>
      <c r="AE417">
        <v>3</v>
      </c>
      <c r="AF417">
        <v>4</v>
      </c>
      <c r="AG417">
        <v>80</v>
      </c>
      <c r="AH417">
        <v>1</v>
      </c>
      <c r="AI417">
        <v>2</v>
      </c>
      <c r="AJ417">
        <v>1</v>
      </c>
      <c r="AK417" s="1" t="s">
        <v>136</v>
      </c>
    </row>
    <row r="418" spans="1:37" x14ac:dyDescent="0.25">
      <c r="A418">
        <v>556</v>
      </c>
      <c r="B418">
        <v>38</v>
      </c>
      <c r="C418" s="1" t="s">
        <v>25</v>
      </c>
      <c r="D418" s="1" t="s">
        <v>70</v>
      </c>
      <c r="E418">
        <v>2</v>
      </c>
      <c r="F418" s="1" t="s">
        <v>134</v>
      </c>
      <c r="G418">
        <v>1</v>
      </c>
      <c r="H418" s="1" t="s">
        <v>18</v>
      </c>
      <c r="I418">
        <v>1</v>
      </c>
      <c r="J418">
        <v>3</v>
      </c>
      <c r="K418">
        <v>1</v>
      </c>
      <c r="L418">
        <v>0</v>
      </c>
      <c r="M418">
        <v>0</v>
      </c>
      <c r="N418">
        <v>0</v>
      </c>
      <c r="O418" s="1" t="s">
        <v>19</v>
      </c>
      <c r="P418" s="1" t="s">
        <v>137</v>
      </c>
      <c r="Q418">
        <v>1490</v>
      </c>
      <c r="R418" s="1" t="s">
        <v>63</v>
      </c>
      <c r="S418">
        <v>2</v>
      </c>
      <c r="T418">
        <v>1</v>
      </c>
      <c r="U418">
        <v>4</v>
      </c>
      <c r="V418">
        <v>42</v>
      </c>
      <c r="W418">
        <v>3</v>
      </c>
      <c r="X418">
        <v>1</v>
      </c>
      <c r="Y418" s="1" t="s">
        <v>6</v>
      </c>
      <c r="Z418">
        <v>4</v>
      </c>
      <c r="AA418">
        <v>1702</v>
      </c>
      <c r="AB418">
        <v>12106</v>
      </c>
      <c r="AC418" s="1" t="s">
        <v>18</v>
      </c>
      <c r="AD418">
        <v>23</v>
      </c>
      <c r="AE418">
        <v>4</v>
      </c>
      <c r="AF418">
        <v>3</v>
      </c>
      <c r="AG418">
        <v>80</v>
      </c>
      <c r="AH418">
        <v>1</v>
      </c>
      <c r="AI418">
        <v>3</v>
      </c>
      <c r="AJ418">
        <v>0</v>
      </c>
      <c r="AK418" s="1" t="s">
        <v>136</v>
      </c>
    </row>
    <row r="419" spans="1:37" x14ac:dyDescent="0.25">
      <c r="A419">
        <v>558</v>
      </c>
      <c r="B419">
        <v>40</v>
      </c>
      <c r="C419" s="1" t="s">
        <v>24</v>
      </c>
      <c r="D419" s="1" t="s">
        <v>70</v>
      </c>
      <c r="E419">
        <v>4</v>
      </c>
      <c r="F419" s="1" t="s">
        <v>134</v>
      </c>
      <c r="G419">
        <v>0</v>
      </c>
      <c r="H419" s="1" t="s">
        <v>18</v>
      </c>
      <c r="I419">
        <v>21</v>
      </c>
      <c r="J419">
        <v>2</v>
      </c>
      <c r="K419">
        <v>20</v>
      </c>
      <c r="L419">
        <v>15</v>
      </c>
      <c r="M419">
        <v>1</v>
      </c>
      <c r="N419">
        <v>12</v>
      </c>
      <c r="O419" s="1" t="s">
        <v>19</v>
      </c>
      <c r="P419" s="1" t="s">
        <v>135</v>
      </c>
      <c r="Q419">
        <v>1398</v>
      </c>
      <c r="R419" s="1" t="s">
        <v>64</v>
      </c>
      <c r="S419">
        <v>2</v>
      </c>
      <c r="T419">
        <v>1</v>
      </c>
      <c r="U419">
        <v>3</v>
      </c>
      <c r="V419">
        <v>79</v>
      </c>
      <c r="W419">
        <v>3</v>
      </c>
      <c r="X419">
        <v>5</v>
      </c>
      <c r="Y419" s="1" t="s">
        <v>9</v>
      </c>
      <c r="Z419">
        <v>3</v>
      </c>
      <c r="AA419">
        <v>18041</v>
      </c>
      <c r="AB419">
        <v>13022</v>
      </c>
      <c r="AC419" s="1" t="s">
        <v>19</v>
      </c>
      <c r="AD419">
        <v>14</v>
      </c>
      <c r="AE419">
        <v>3</v>
      </c>
      <c r="AF419">
        <v>4</v>
      </c>
      <c r="AG419">
        <v>80</v>
      </c>
      <c r="AH419">
        <v>0</v>
      </c>
      <c r="AI419">
        <v>3</v>
      </c>
      <c r="AJ419">
        <v>0</v>
      </c>
      <c r="AK419" s="1" t="s">
        <v>136</v>
      </c>
    </row>
    <row r="420" spans="1:37" x14ac:dyDescent="0.25">
      <c r="A420">
        <v>560</v>
      </c>
      <c r="B420">
        <v>26</v>
      </c>
      <c r="C420" s="1" t="s">
        <v>24</v>
      </c>
      <c r="D420" s="1" t="s">
        <v>69</v>
      </c>
      <c r="E420">
        <v>3</v>
      </c>
      <c r="F420" s="1" t="s">
        <v>134</v>
      </c>
      <c r="G420">
        <v>1</v>
      </c>
      <c r="H420" s="1" t="s">
        <v>18</v>
      </c>
      <c r="I420">
        <v>3</v>
      </c>
      <c r="J420">
        <v>3</v>
      </c>
      <c r="K420">
        <v>3</v>
      </c>
      <c r="L420">
        <v>2</v>
      </c>
      <c r="M420">
        <v>0</v>
      </c>
      <c r="N420">
        <v>2</v>
      </c>
      <c r="O420" s="1" t="s">
        <v>19</v>
      </c>
      <c r="P420" s="1" t="s">
        <v>135</v>
      </c>
      <c r="Q420">
        <v>1349</v>
      </c>
      <c r="R420" s="1" t="s">
        <v>63</v>
      </c>
      <c r="S420">
        <v>23</v>
      </c>
      <c r="T420">
        <v>1</v>
      </c>
      <c r="U420">
        <v>1</v>
      </c>
      <c r="V420">
        <v>90</v>
      </c>
      <c r="W420">
        <v>3</v>
      </c>
      <c r="X420">
        <v>1</v>
      </c>
      <c r="Y420" s="1" t="s">
        <v>5</v>
      </c>
      <c r="Z420">
        <v>4</v>
      </c>
      <c r="AA420">
        <v>2886</v>
      </c>
      <c r="AB420">
        <v>3032</v>
      </c>
      <c r="AC420" s="1" t="s">
        <v>19</v>
      </c>
      <c r="AD420">
        <v>22</v>
      </c>
      <c r="AE420">
        <v>4</v>
      </c>
      <c r="AF420">
        <v>2</v>
      </c>
      <c r="AG420">
        <v>80</v>
      </c>
      <c r="AH420">
        <v>2</v>
      </c>
      <c r="AI420">
        <v>1</v>
      </c>
      <c r="AJ420">
        <v>0</v>
      </c>
      <c r="AK420" s="1" t="s">
        <v>136</v>
      </c>
    </row>
    <row r="421" spans="1:37" x14ac:dyDescent="0.25">
      <c r="A421">
        <v>562</v>
      </c>
      <c r="B421">
        <v>30</v>
      </c>
      <c r="C421" s="1" t="s">
        <v>25</v>
      </c>
      <c r="D421" s="1" t="s">
        <v>70</v>
      </c>
      <c r="E421">
        <v>3</v>
      </c>
      <c r="F421" s="1" t="s">
        <v>134</v>
      </c>
      <c r="G421">
        <v>4</v>
      </c>
      <c r="H421" s="1" t="s">
        <v>18</v>
      </c>
      <c r="I421">
        <v>9</v>
      </c>
      <c r="J421">
        <v>3</v>
      </c>
      <c r="K421">
        <v>5</v>
      </c>
      <c r="L421">
        <v>3</v>
      </c>
      <c r="M421">
        <v>1</v>
      </c>
      <c r="N421">
        <v>4</v>
      </c>
      <c r="O421" s="1" t="s">
        <v>19</v>
      </c>
      <c r="P421" s="1" t="s">
        <v>141</v>
      </c>
      <c r="Q421">
        <v>1400</v>
      </c>
      <c r="R421" s="1" t="s">
        <v>63</v>
      </c>
      <c r="S421">
        <v>3</v>
      </c>
      <c r="T421">
        <v>1</v>
      </c>
      <c r="U421">
        <v>3</v>
      </c>
      <c r="V421">
        <v>53</v>
      </c>
      <c r="W421">
        <v>3</v>
      </c>
      <c r="X421">
        <v>1</v>
      </c>
      <c r="Y421" s="1" t="s">
        <v>6</v>
      </c>
      <c r="Z421">
        <v>4</v>
      </c>
      <c r="AA421">
        <v>2097</v>
      </c>
      <c r="AB421">
        <v>16734</v>
      </c>
      <c r="AC421" s="1" t="s">
        <v>19</v>
      </c>
      <c r="AD421">
        <v>15</v>
      </c>
      <c r="AE421">
        <v>3</v>
      </c>
      <c r="AF421">
        <v>3</v>
      </c>
      <c r="AG421">
        <v>80</v>
      </c>
      <c r="AH421">
        <v>1</v>
      </c>
      <c r="AI421">
        <v>1</v>
      </c>
      <c r="AJ421">
        <v>0</v>
      </c>
      <c r="AK421" s="1" t="s">
        <v>136</v>
      </c>
    </row>
    <row r="422" spans="1:37" x14ac:dyDescent="0.25">
      <c r="A422">
        <v>564</v>
      </c>
      <c r="B422">
        <v>29</v>
      </c>
      <c r="C422" s="1" t="s">
        <v>25</v>
      </c>
      <c r="D422" s="1" t="s">
        <v>70</v>
      </c>
      <c r="E422">
        <v>4</v>
      </c>
      <c r="F422" s="1" t="s">
        <v>139</v>
      </c>
      <c r="G422">
        <v>1</v>
      </c>
      <c r="H422" s="1" t="s">
        <v>18</v>
      </c>
      <c r="I422">
        <v>10</v>
      </c>
      <c r="J422">
        <v>2</v>
      </c>
      <c r="K422">
        <v>10</v>
      </c>
      <c r="L422">
        <v>2</v>
      </c>
      <c r="M422">
        <v>0</v>
      </c>
      <c r="N422">
        <v>7</v>
      </c>
      <c r="O422" s="1" t="s">
        <v>19</v>
      </c>
      <c r="P422" s="1" t="s">
        <v>135</v>
      </c>
      <c r="Q422">
        <v>986</v>
      </c>
      <c r="R422" s="1" t="s">
        <v>63</v>
      </c>
      <c r="S422">
        <v>3</v>
      </c>
      <c r="T422">
        <v>1</v>
      </c>
      <c r="U422">
        <v>2</v>
      </c>
      <c r="V422">
        <v>93</v>
      </c>
      <c r="W422">
        <v>2</v>
      </c>
      <c r="X422">
        <v>3</v>
      </c>
      <c r="Y422" s="1" t="s">
        <v>11</v>
      </c>
      <c r="Z422">
        <v>3</v>
      </c>
      <c r="AA422">
        <v>11935</v>
      </c>
      <c r="AB422">
        <v>21526</v>
      </c>
      <c r="AC422" s="1" t="s">
        <v>19</v>
      </c>
      <c r="AD422">
        <v>18</v>
      </c>
      <c r="AE422">
        <v>3</v>
      </c>
      <c r="AF422">
        <v>3</v>
      </c>
      <c r="AG422">
        <v>80</v>
      </c>
      <c r="AH422">
        <v>0</v>
      </c>
      <c r="AI422">
        <v>3</v>
      </c>
      <c r="AJ422">
        <v>0</v>
      </c>
      <c r="AK422" s="1" t="s">
        <v>136</v>
      </c>
    </row>
    <row r="423" spans="1:37" x14ac:dyDescent="0.25">
      <c r="A423">
        <v>565</v>
      </c>
      <c r="B423">
        <v>29</v>
      </c>
      <c r="C423" s="1" t="s">
        <v>24</v>
      </c>
      <c r="D423" s="1" t="s">
        <v>70</v>
      </c>
      <c r="E423">
        <v>5</v>
      </c>
      <c r="F423" s="1" t="s">
        <v>143</v>
      </c>
      <c r="G423">
        <v>5</v>
      </c>
      <c r="H423" s="1" t="s">
        <v>18</v>
      </c>
      <c r="I423">
        <v>6</v>
      </c>
      <c r="J423">
        <v>2</v>
      </c>
      <c r="K423">
        <v>2</v>
      </c>
      <c r="L423">
        <v>2</v>
      </c>
      <c r="M423">
        <v>1</v>
      </c>
      <c r="N423">
        <v>1</v>
      </c>
      <c r="O423" s="1" t="s">
        <v>18</v>
      </c>
      <c r="P423" s="1" t="s">
        <v>135</v>
      </c>
      <c r="Q423">
        <v>408</v>
      </c>
      <c r="R423" s="1" t="s">
        <v>63</v>
      </c>
      <c r="S423">
        <v>25</v>
      </c>
      <c r="T423">
        <v>1</v>
      </c>
      <c r="U423">
        <v>3</v>
      </c>
      <c r="V423">
        <v>71</v>
      </c>
      <c r="W423">
        <v>2</v>
      </c>
      <c r="X423">
        <v>1</v>
      </c>
      <c r="Y423" s="1" t="s">
        <v>5</v>
      </c>
      <c r="Z423">
        <v>2</v>
      </c>
      <c r="AA423">
        <v>2546</v>
      </c>
      <c r="AB423">
        <v>18300</v>
      </c>
      <c r="AC423" s="1" t="s">
        <v>19</v>
      </c>
      <c r="AD423">
        <v>16</v>
      </c>
      <c r="AE423">
        <v>3</v>
      </c>
      <c r="AF423">
        <v>2</v>
      </c>
      <c r="AG423">
        <v>80</v>
      </c>
      <c r="AH423">
        <v>0</v>
      </c>
      <c r="AI423">
        <v>4</v>
      </c>
      <c r="AJ423">
        <v>1</v>
      </c>
      <c r="AK423" s="1" t="s">
        <v>136</v>
      </c>
    </row>
    <row r="424" spans="1:37" x14ac:dyDescent="0.25">
      <c r="A424">
        <v>566</v>
      </c>
      <c r="B424">
        <v>19</v>
      </c>
      <c r="C424" s="1" t="s">
        <v>25</v>
      </c>
      <c r="D424" s="1" t="s">
        <v>71</v>
      </c>
      <c r="E424">
        <v>2</v>
      </c>
      <c r="F424" s="1" t="s">
        <v>143</v>
      </c>
      <c r="G424">
        <v>1</v>
      </c>
      <c r="H424" s="1" t="s">
        <v>18</v>
      </c>
      <c r="I424">
        <v>1</v>
      </c>
      <c r="J424">
        <v>3</v>
      </c>
      <c r="K424">
        <v>1</v>
      </c>
      <c r="L424">
        <v>0</v>
      </c>
      <c r="M424">
        <v>0</v>
      </c>
      <c r="N424">
        <v>0</v>
      </c>
      <c r="O424" s="1" t="s">
        <v>18</v>
      </c>
      <c r="P424" s="1" t="s">
        <v>135</v>
      </c>
      <c r="Q424">
        <v>489</v>
      </c>
      <c r="R424" s="1" t="s">
        <v>12</v>
      </c>
      <c r="S424">
        <v>2</v>
      </c>
      <c r="T424">
        <v>1</v>
      </c>
      <c r="U424">
        <v>1</v>
      </c>
      <c r="V424">
        <v>52</v>
      </c>
      <c r="W424">
        <v>2</v>
      </c>
      <c r="X424">
        <v>1</v>
      </c>
      <c r="Y424" s="1" t="s">
        <v>12</v>
      </c>
      <c r="Z424">
        <v>4</v>
      </c>
      <c r="AA424">
        <v>2564</v>
      </c>
      <c r="AB424">
        <v>18437</v>
      </c>
      <c r="AC424" s="1" t="s">
        <v>19</v>
      </c>
      <c r="AD424">
        <v>12</v>
      </c>
      <c r="AE424">
        <v>3</v>
      </c>
      <c r="AF424">
        <v>3</v>
      </c>
      <c r="AG424">
        <v>80</v>
      </c>
      <c r="AH424">
        <v>0</v>
      </c>
      <c r="AI424">
        <v>4</v>
      </c>
      <c r="AJ424">
        <v>1</v>
      </c>
      <c r="AK424" s="1" t="s">
        <v>136</v>
      </c>
    </row>
    <row r="425" spans="1:37" x14ac:dyDescent="0.25">
      <c r="A425">
        <v>567</v>
      </c>
      <c r="B425">
        <v>30</v>
      </c>
      <c r="C425" s="1" t="s">
        <v>24</v>
      </c>
      <c r="D425" s="1" t="s">
        <v>70</v>
      </c>
      <c r="E425">
        <v>4</v>
      </c>
      <c r="F425" s="1" t="s">
        <v>138</v>
      </c>
      <c r="G425">
        <v>0</v>
      </c>
      <c r="H425" s="1" t="s">
        <v>18</v>
      </c>
      <c r="I425">
        <v>10</v>
      </c>
      <c r="J425">
        <v>3</v>
      </c>
      <c r="K425">
        <v>9</v>
      </c>
      <c r="L425">
        <v>8</v>
      </c>
      <c r="M425">
        <v>7</v>
      </c>
      <c r="N425">
        <v>8</v>
      </c>
      <c r="O425" s="1" t="s">
        <v>19</v>
      </c>
      <c r="P425" s="1" t="s">
        <v>141</v>
      </c>
      <c r="Q425">
        <v>1398</v>
      </c>
      <c r="R425" s="1" t="s">
        <v>64</v>
      </c>
      <c r="S425">
        <v>22</v>
      </c>
      <c r="T425">
        <v>1</v>
      </c>
      <c r="U425">
        <v>3</v>
      </c>
      <c r="V425">
        <v>69</v>
      </c>
      <c r="W425">
        <v>3</v>
      </c>
      <c r="X425">
        <v>3</v>
      </c>
      <c r="Y425" s="1" t="s">
        <v>4</v>
      </c>
      <c r="Z425">
        <v>1</v>
      </c>
      <c r="AA425">
        <v>8412</v>
      </c>
      <c r="AB425">
        <v>2890</v>
      </c>
      <c r="AC425" s="1" t="s">
        <v>19</v>
      </c>
      <c r="AD425">
        <v>11</v>
      </c>
      <c r="AE425">
        <v>3</v>
      </c>
      <c r="AF425">
        <v>3</v>
      </c>
      <c r="AG425">
        <v>80</v>
      </c>
      <c r="AH425">
        <v>0</v>
      </c>
      <c r="AI425">
        <v>3</v>
      </c>
      <c r="AJ425">
        <v>0</v>
      </c>
      <c r="AK425" s="1" t="s">
        <v>136</v>
      </c>
    </row>
    <row r="426" spans="1:37" x14ac:dyDescent="0.25">
      <c r="A426">
        <v>568</v>
      </c>
      <c r="B426">
        <v>57</v>
      </c>
      <c r="C426" s="1" t="s">
        <v>25</v>
      </c>
      <c r="D426" s="1" t="s">
        <v>69</v>
      </c>
      <c r="E426">
        <v>3</v>
      </c>
      <c r="F426" s="1" t="s">
        <v>142</v>
      </c>
      <c r="G426">
        <v>3</v>
      </c>
      <c r="H426" s="1" t="s">
        <v>18</v>
      </c>
      <c r="I426">
        <v>32</v>
      </c>
      <c r="J426">
        <v>3</v>
      </c>
      <c r="K426">
        <v>1</v>
      </c>
      <c r="L426">
        <v>0</v>
      </c>
      <c r="M426">
        <v>0</v>
      </c>
      <c r="N426">
        <v>0</v>
      </c>
      <c r="O426" s="1" t="s">
        <v>19</v>
      </c>
      <c r="P426" s="1" t="s">
        <v>135</v>
      </c>
      <c r="Q426">
        <v>210</v>
      </c>
      <c r="R426" s="1" t="s">
        <v>64</v>
      </c>
      <c r="S426">
        <v>29</v>
      </c>
      <c r="T426">
        <v>1</v>
      </c>
      <c r="U426">
        <v>1</v>
      </c>
      <c r="V426">
        <v>56</v>
      </c>
      <c r="W426">
        <v>2</v>
      </c>
      <c r="X426">
        <v>4</v>
      </c>
      <c r="Y426" s="1" t="s">
        <v>9</v>
      </c>
      <c r="Z426">
        <v>4</v>
      </c>
      <c r="AA426">
        <v>14118</v>
      </c>
      <c r="AB426">
        <v>22102</v>
      </c>
      <c r="AC426" s="1" t="s">
        <v>19</v>
      </c>
      <c r="AD426">
        <v>12</v>
      </c>
      <c r="AE426">
        <v>3</v>
      </c>
      <c r="AF426">
        <v>3</v>
      </c>
      <c r="AG426">
        <v>80</v>
      </c>
      <c r="AH426">
        <v>1</v>
      </c>
      <c r="AI426">
        <v>2</v>
      </c>
      <c r="AJ426">
        <v>0</v>
      </c>
      <c r="AK426" s="1" t="s">
        <v>140</v>
      </c>
    </row>
    <row r="427" spans="1:37" x14ac:dyDescent="0.25">
      <c r="A427">
        <v>569</v>
      </c>
      <c r="B427">
        <v>50</v>
      </c>
      <c r="C427" s="1" t="s">
        <v>25</v>
      </c>
      <c r="D427" s="1" t="s">
        <v>70</v>
      </c>
      <c r="E427">
        <v>4</v>
      </c>
      <c r="F427" s="1" t="s">
        <v>134</v>
      </c>
      <c r="G427">
        <v>0</v>
      </c>
      <c r="H427" s="1" t="s">
        <v>18</v>
      </c>
      <c r="I427">
        <v>28</v>
      </c>
      <c r="J427">
        <v>2</v>
      </c>
      <c r="K427">
        <v>27</v>
      </c>
      <c r="L427">
        <v>10</v>
      </c>
      <c r="M427">
        <v>15</v>
      </c>
      <c r="N427">
        <v>7</v>
      </c>
      <c r="O427" s="1" t="s">
        <v>19</v>
      </c>
      <c r="P427" s="1" t="s">
        <v>135</v>
      </c>
      <c r="Q427">
        <v>1099</v>
      </c>
      <c r="R427" s="1" t="s">
        <v>63</v>
      </c>
      <c r="S427">
        <v>29</v>
      </c>
      <c r="T427">
        <v>1</v>
      </c>
      <c r="U427">
        <v>2</v>
      </c>
      <c r="V427">
        <v>88</v>
      </c>
      <c r="W427">
        <v>2</v>
      </c>
      <c r="X427">
        <v>4</v>
      </c>
      <c r="Y427" s="1" t="s">
        <v>9</v>
      </c>
      <c r="Z427">
        <v>3</v>
      </c>
      <c r="AA427">
        <v>17046</v>
      </c>
      <c r="AB427">
        <v>9314</v>
      </c>
      <c r="AC427" s="1" t="s">
        <v>19</v>
      </c>
      <c r="AD427">
        <v>15</v>
      </c>
      <c r="AE427">
        <v>3</v>
      </c>
      <c r="AF427">
        <v>2</v>
      </c>
      <c r="AG427">
        <v>80</v>
      </c>
      <c r="AH427">
        <v>1</v>
      </c>
      <c r="AI427">
        <v>3</v>
      </c>
      <c r="AJ427">
        <v>0</v>
      </c>
      <c r="AK427" s="1" t="s">
        <v>140</v>
      </c>
    </row>
    <row r="428" spans="1:37" x14ac:dyDescent="0.25">
      <c r="A428">
        <v>571</v>
      </c>
      <c r="B428">
        <v>30</v>
      </c>
      <c r="C428" s="1" t="s">
        <v>24</v>
      </c>
      <c r="D428" s="1" t="s">
        <v>71</v>
      </c>
      <c r="E428">
        <v>3</v>
      </c>
      <c r="F428" s="1" t="s">
        <v>139</v>
      </c>
      <c r="G428">
        <v>0</v>
      </c>
      <c r="H428" s="1" t="s">
        <v>18</v>
      </c>
      <c r="I428">
        <v>12</v>
      </c>
      <c r="J428">
        <v>2</v>
      </c>
      <c r="K428">
        <v>11</v>
      </c>
      <c r="L428">
        <v>7</v>
      </c>
      <c r="M428">
        <v>6</v>
      </c>
      <c r="N428">
        <v>7</v>
      </c>
      <c r="O428" s="1" t="s">
        <v>19</v>
      </c>
      <c r="P428" s="1" t="s">
        <v>141</v>
      </c>
      <c r="Q428">
        <v>1116</v>
      </c>
      <c r="R428" s="1" t="s">
        <v>63</v>
      </c>
      <c r="S428">
        <v>2</v>
      </c>
      <c r="T428">
        <v>1</v>
      </c>
      <c r="U428">
        <v>3</v>
      </c>
      <c r="V428">
        <v>49</v>
      </c>
      <c r="W428">
        <v>3</v>
      </c>
      <c r="X428">
        <v>1</v>
      </c>
      <c r="Y428" s="1" t="s">
        <v>6</v>
      </c>
      <c r="Z428">
        <v>4</v>
      </c>
      <c r="AA428">
        <v>2564</v>
      </c>
      <c r="AB428">
        <v>7181</v>
      </c>
      <c r="AC428" s="1" t="s">
        <v>19</v>
      </c>
      <c r="AD428">
        <v>14</v>
      </c>
      <c r="AE428">
        <v>3</v>
      </c>
      <c r="AF428">
        <v>3</v>
      </c>
      <c r="AG428">
        <v>80</v>
      </c>
      <c r="AH428">
        <v>0</v>
      </c>
      <c r="AI428">
        <v>2</v>
      </c>
      <c r="AJ428">
        <v>0</v>
      </c>
      <c r="AK428" s="1" t="s">
        <v>136</v>
      </c>
    </row>
    <row r="429" spans="1:37" x14ac:dyDescent="0.25">
      <c r="A429">
        <v>573</v>
      </c>
      <c r="B429">
        <v>60</v>
      </c>
      <c r="C429" s="1" t="s">
        <v>24</v>
      </c>
      <c r="D429" s="1" t="s">
        <v>70</v>
      </c>
      <c r="E429">
        <v>3</v>
      </c>
      <c r="F429" s="1" t="s">
        <v>142</v>
      </c>
      <c r="G429">
        <v>4</v>
      </c>
      <c r="H429" s="1" t="s">
        <v>18</v>
      </c>
      <c r="I429">
        <v>22</v>
      </c>
      <c r="J429">
        <v>5</v>
      </c>
      <c r="K429">
        <v>18</v>
      </c>
      <c r="L429">
        <v>13</v>
      </c>
      <c r="M429">
        <v>13</v>
      </c>
      <c r="N429">
        <v>11</v>
      </c>
      <c r="O429" s="1" t="s">
        <v>19</v>
      </c>
      <c r="P429" s="1" t="s">
        <v>137</v>
      </c>
      <c r="Q429">
        <v>1499</v>
      </c>
      <c r="R429" s="1" t="s">
        <v>64</v>
      </c>
      <c r="S429">
        <v>28</v>
      </c>
      <c r="T429">
        <v>1</v>
      </c>
      <c r="U429">
        <v>3</v>
      </c>
      <c r="V429">
        <v>80</v>
      </c>
      <c r="W429">
        <v>2</v>
      </c>
      <c r="X429">
        <v>3</v>
      </c>
      <c r="Y429" s="1" t="s">
        <v>4</v>
      </c>
      <c r="Z429">
        <v>1</v>
      </c>
      <c r="AA429">
        <v>10266</v>
      </c>
      <c r="AB429">
        <v>2845</v>
      </c>
      <c r="AC429" s="1" t="s">
        <v>19</v>
      </c>
      <c r="AD429">
        <v>19</v>
      </c>
      <c r="AE429">
        <v>3</v>
      </c>
      <c r="AF429">
        <v>4</v>
      </c>
      <c r="AG429">
        <v>80</v>
      </c>
      <c r="AH429">
        <v>0</v>
      </c>
      <c r="AI429">
        <v>4</v>
      </c>
      <c r="AJ429">
        <v>0</v>
      </c>
      <c r="AK429" s="1" t="s">
        <v>140</v>
      </c>
    </row>
    <row r="430" spans="1:37" x14ac:dyDescent="0.25">
      <c r="A430">
        <v>574</v>
      </c>
      <c r="B430">
        <v>47</v>
      </c>
      <c r="C430" s="1" t="s">
        <v>24</v>
      </c>
      <c r="D430" s="1" t="s">
        <v>69</v>
      </c>
      <c r="E430">
        <v>2</v>
      </c>
      <c r="F430" s="1" t="s">
        <v>139</v>
      </c>
      <c r="G430">
        <v>5</v>
      </c>
      <c r="H430" s="1" t="s">
        <v>18</v>
      </c>
      <c r="I430">
        <v>20</v>
      </c>
      <c r="J430">
        <v>2</v>
      </c>
      <c r="K430">
        <v>5</v>
      </c>
      <c r="L430">
        <v>0</v>
      </c>
      <c r="M430">
        <v>0</v>
      </c>
      <c r="N430">
        <v>4</v>
      </c>
      <c r="O430" s="1" t="s">
        <v>19</v>
      </c>
      <c r="P430" s="1" t="s">
        <v>135</v>
      </c>
      <c r="Q430">
        <v>983</v>
      </c>
      <c r="R430" s="1" t="s">
        <v>63</v>
      </c>
      <c r="S430">
        <v>2</v>
      </c>
      <c r="T430">
        <v>1</v>
      </c>
      <c r="U430">
        <v>1</v>
      </c>
      <c r="V430">
        <v>65</v>
      </c>
      <c r="W430">
        <v>3</v>
      </c>
      <c r="X430">
        <v>2</v>
      </c>
      <c r="Y430" s="1" t="s">
        <v>7</v>
      </c>
      <c r="Z430">
        <v>4</v>
      </c>
      <c r="AA430">
        <v>5070</v>
      </c>
      <c r="AB430">
        <v>7389</v>
      </c>
      <c r="AC430" s="1" t="s">
        <v>19</v>
      </c>
      <c r="AD430">
        <v>13</v>
      </c>
      <c r="AE430">
        <v>3</v>
      </c>
      <c r="AF430">
        <v>3</v>
      </c>
      <c r="AG430">
        <v>80</v>
      </c>
      <c r="AH430">
        <v>3</v>
      </c>
      <c r="AI430">
        <v>3</v>
      </c>
      <c r="AJ430">
        <v>0</v>
      </c>
      <c r="AK430" s="1" t="s">
        <v>136</v>
      </c>
    </row>
    <row r="431" spans="1:37" x14ac:dyDescent="0.25">
      <c r="A431">
        <v>575</v>
      </c>
      <c r="B431">
        <v>46</v>
      </c>
      <c r="C431" s="1" t="s">
        <v>25</v>
      </c>
      <c r="D431" s="1" t="s">
        <v>70</v>
      </c>
      <c r="E431">
        <v>3</v>
      </c>
      <c r="F431" s="1" t="s">
        <v>134</v>
      </c>
      <c r="G431">
        <v>6</v>
      </c>
      <c r="H431" s="1" t="s">
        <v>18</v>
      </c>
      <c r="I431">
        <v>26</v>
      </c>
      <c r="J431">
        <v>2</v>
      </c>
      <c r="K431">
        <v>3</v>
      </c>
      <c r="L431">
        <v>2</v>
      </c>
      <c r="M431">
        <v>0</v>
      </c>
      <c r="N431">
        <v>1</v>
      </c>
      <c r="O431" s="1" t="s">
        <v>19</v>
      </c>
      <c r="P431" s="1" t="s">
        <v>135</v>
      </c>
      <c r="Q431">
        <v>1009</v>
      </c>
      <c r="R431" s="1" t="s">
        <v>63</v>
      </c>
      <c r="S431">
        <v>2</v>
      </c>
      <c r="T431">
        <v>1</v>
      </c>
      <c r="U431">
        <v>1</v>
      </c>
      <c r="V431">
        <v>51</v>
      </c>
      <c r="W431">
        <v>3</v>
      </c>
      <c r="X431">
        <v>4</v>
      </c>
      <c r="Y431" s="1" t="s">
        <v>11</v>
      </c>
      <c r="Z431">
        <v>3</v>
      </c>
      <c r="AA431">
        <v>17861</v>
      </c>
      <c r="AB431">
        <v>2288</v>
      </c>
      <c r="AC431" s="1" t="s">
        <v>19</v>
      </c>
      <c r="AD431">
        <v>13</v>
      </c>
      <c r="AE431">
        <v>3</v>
      </c>
      <c r="AF431">
        <v>3</v>
      </c>
      <c r="AG431">
        <v>80</v>
      </c>
      <c r="AH431">
        <v>0</v>
      </c>
      <c r="AI431">
        <v>1</v>
      </c>
      <c r="AJ431">
        <v>0</v>
      </c>
      <c r="AK431" s="1" t="s">
        <v>136</v>
      </c>
    </row>
    <row r="432" spans="1:37" x14ac:dyDescent="0.25">
      <c r="A432">
        <v>577</v>
      </c>
      <c r="B432">
        <v>35</v>
      </c>
      <c r="C432" s="1" t="s">
        <v>25</v>
      </c>
      <c r="D432" s="1" t="s">
        <v>71</v>
      </c>
      <c r="E432">
        <v>3</v>
      </c>
      <c r="F432" s="1" t="s">
        <v>134</v>
      </c>
      <c r="G432">
        <v>0</v>
      </c>
      <c r="H432" s="1" t="s">
        <v>18</v>
      </c>
      <c r="I432">
        <v>6</v>
      </c>
      <c r="J432">
        <v>2</v>
      </c>
      <c r="K432">
        <v>5</v>
      </c>
      <c r="L432">
        <v>4</v>
      </c>
      <c r="M432">
        <v>4</v>
      </c>
      <c r="N432">
        <v>3</v>
      </c>
      <c r="O432" s="1" t="s">
        <v>19</v>
      </c>
      <c r="P432" s="1" t="s">
        <v>135</v>
      </c>
      <c r="Q432">
        <v>144</v>
      </c>
      <c r="R432" s="1" t="s">
        <v>63</v>
      </c>
      <c r="S432">
        <v>22</v>
      </c>
      <c r="T432">
        <v>1</v>
      </c>
      <c r="U432">
        <v>4</v>
      </c>
      <c r="V432">
        <v>46</v>
      </c>
      <c r="W432">
        <v>1</v>
      </c>
      <c r="X432">
        <v>1</v>
      </c>
      <c r="Y432" s="1" t="s">
        <v>6</v>
      </c>
      <c r="Z432">
        <v>3</v>
      </c>
      <c r="AA432">
        <v>4230</v>
      </c>
      <c r="AB432">
        <v>19225</v>
      </c>
      <c r="AC432" s="1" t="s">
        <v>19</v>
      </c>
      <c r="AD432">
        <v>15</v>
      </c>
      <c r="AE432">
        <v>3</v>
      </c>
      <c r="AF432">
        <v>3</v>
      </c>
      <c r="AG432">
        <v>80</v>
      </c>
      <c r="AH432">
        <v>0</v>
      </c>
      <c r="AI432">
        <v>3</v>
      </c>
      <c r="AJ432">
        <v>0</v>
      </c>
      <c r="AK432" s="1" t="s">
        <v>136</v>
      </c>
    </row>
    <row r="433" spans="1:37" x14ac:dyDescent="0.25">
      <c r="A433">
        <v>578</v>
      </c>
      <c r="B433">
        <v>54</v>
      </c>
      <c r="C433" s="1" t="s">
        <v>24</v>
      </c>
      <c r="D433" s="1" t="s">
        <v>71</v>
      </c>
      <c r="E433">
        <v>4</v>
      </c>
      <c r="F433" s="1" t="s">
        <v>134</v>
      </c>
      <c r="G433">
        <v>7</v>
      </c>
      <c r="H433" s="1" t="s">
        <v>18</v>
      </c>
      <c r="I433">
        <v>19</v>
      </c>
      <c r="J433">
        <v>3</v>
      </c>
      <c r="K433">
        <v>1</v>
      </c>
      <c r="L433">
        <v>0</v>
      </c>
      <c r="M433">
        <v>0</v>
      </c>
      <c r="N433">
        <v>0</v>
      </c>
      <c r="O433" s="1" t="s">
        <v>19</v>
      </c>
      <c r="P433" s="1" t="s">
        <v>135</v>
      </c>
      <c r="Q433">
        <v>548</v>
      </c>
      <c r="R433" s="1" t="s">
        <v>63</v>
      </c>
      <c r="S433">
        <v>8</v>
      </c>
      <c r="T433">
        <v>1</v>
      </c>
      <c r="U433">
        <v>3</v>
      </c>
      <c r="V433">
        <v>42</v>
      </c>
      <c r="W433">
        <v>3</v>
      </c>
      <c r="X433">
        <v>2</v>
      </c>
      <c r="Y433" s="1" t="s">
        <v>6</v>
      </c>
      <c r="Z433">
        <v>3</v>
      </c>
      <c r="AA433">
        <v>3780</v>
      </c>
      <c r="AB433">
        <v>23428</v>
      </c>
      <c r="AC433" s="1" t="s">
        <v>19</v>
      </c>
      <c r="AD433">
        <v>11</v>
      </c>
      <c r="AE433">
        <v>3</v>
      </c>
      <c r="AF433">
        <v>3</v>
      </c>
      <c r="AG433">
        <v>80</v>
      </c>
      <c r="AH433">
        <v>0</v>
      </c>
      <c r="AI433">
        <v>3</v>
      </c>
      <c r="AJ433">
        <v>0</v>
      </c>
      <c r="AK433" s="1" t="s">
        <v>140</v>
      </c>
    </row>
    <row r="434" spans="1:37" x14ac:dyDescent="0.25">
      <c r="A434">
        <v>579</v>
      </c>
      <c r="B434">
        <v>34</v>
      </c>
      <c r="C434" s="1" t="s">
        <v>25</v>
      </c>
      <c r="D434" s="1" t="s">
        <v>69</v>
      </c>
      <c r="E434">
        <v>4</v>
      </c>
      <c r="F434" s="1" t="s">
        <v>134</v>
      </c>
      <c r="G434">
        <v>3</v>
      </c>
      <c r="H434" s="1" t="s">
        <v>18</v>
      </c>
      <c r="I434">
        <v>14</v>
      </c>
      <c r="J434">
        <v>3</v>
      </c>
      <c r="K434">
        <v>7</v>
      </c>
      <c r="L434">
        <v>3</v>
      </c>
      <c r="M434">
        <v>5</v>
      </c>
      <c r="N434">
        <v>7</v>
      </c>
      <c r="O434" s="1" t="s">
        <v>19</v>
      </c>
      <c r="P434" s="1" t="s">
        <v>135</v>
      </c>
      <c r="Q434">
        <v>1303</v>
      </c>
      <c r="R434" s="1" t="s">
        <v>63</v>
      </c>
      <c r="S434">
        <v>2</v>
      </c>
      <c r="T434">
        <v>1</v>
      </c>
      <c r="U434">
        <v>4</v>
      </c>
      <c r="V434">
        <v>62</v>
      </c>
      <c r="W434">
        <v>2</v>
      </c>
      <c r="X434">
        <v>1</v>
      </c>
      <c r="Y434" s="1" t="s">
        <v>5</v>
      </c>
      <c r="Z434">
        <v>3</v>
      </c>
      <c r="AA434">
        <v>2768</v>
      </c>
      <c r="AB434">
        <v>8416</v>
      </c>
      <c r="AC434" s="1" t="s">
        <v>19</v>
      </c>
      <c r="AD434">
        <v>12</v>
      </c>
      <c r="AE434">
        <v>3</v>
      </c>
      <c r="AF434">
        <v>3</v>
      </c>
      <c r="AG434">
        <v>80</v>
      </c>
      <c r="AH434">
        <v>1</v>
      </c>
      <c r="AI434">
        <v>3</v>
      </c>
      <c r="AJ434">
        <v>0</v>
      </c>
      <c r="AK434" s="1" t="s">
        <v>136</v>
      </c>
    </row>
    <row r="435" spans="1:37" x14ac:dyDescent="0.25">
      <c r="A435">
        <v>580</v>
      </c>
      <c r="B435">
        <v>46</v>
      </c>
      <c r="C435" s="1" t="s">
        <v>24</v>
      </c>
      <c r="D435" s="1" t="s">
        <v>70</v>
      </c>
      <c r="E435">
        <v>3</v>
      </c>
      <c r="F435" s="1" t="s">
        <v>142</v>
      </c>
      <c r="G435">
        <v>2</v>
      </c>
      <c r="H435" s="1" t="s">
        <v>18</v>
      </c>
      <c r="I435">
        <v>15</v>
      </c>
      <c r="J435">
        <v>3</v>
      </c>
      <c r="K435">
        <v>3</v>
      </c>
      <c r="L435">
        <v>2</v>
      </c>
      <c r="M435">
        <v>1</v>
      </c>
      <c r="N435">
        <v>2</v>
      </c>
      <c r="O435" s="1" t="s">
        <v>19</v>
      </c>
      <c r="P435" s="1" t="s">
        <v>135</v>
      </c>
      <c r="Q435">
        <v>1125</v>
      </c>
      <c r="R435" s="1" t="s">
        <v>64</v>
      </c>
      <c r="S435">
        <v>10</v>
      </c>
      <c r="T435">
        <v>1</v>
      </c>
      <c r="U435">
        <v>3</v>
      </c>
      <c r="V435">
        <v>94</v>
      </c>
      <c r="W435">
        <v>2</v>
      </c>
      <c r="X435">
        <v>3</v>
      </c>
      <c r="Y435" s="1" t="s">
        <v>4</v>
      </c>
      <c r="Z435">
        <v>4</v>
      </c>
      <c r="AA435">
        <v>9071</v>
      </c>
      <c r="AB435">
        <v>11563</v>
      </c>
      <c r="AC435" s="1" t="s">
        <v>18</v>
      </c>
      <c r="AD435">
        <v>19</v>
      </c>
      <c r="AE435">
        <v>3</v>
      </c>
      <c r="AF435">
        <v>3</v>
      </c>
      <c r="AG435">
        <v>80</v>
      </c>
      <c r="AH435">
        <v>1</v>
      </c>
      <c r="AI435">
        <v>3</v>
      </c>
      <c r="AJ435">
        <v>0</v>
      </c>
      <c r="AK435" s="1" t="s">
        <v>136</v>
      </c>
    </row>
    <row r="436" spans="1:37" x14ac:dyDescent="0.25">
      <c r="A436">
        <v>581</v>
      </c>
      <c r="B436">
        <v>31</v>
      </c>
      <c r="C436" s="1" t="s">
        <v>25</v>
      </c>
      <c r="D436" s="1" t="s">
        <v>69</v>
      </c>
      <c r="E436">
        <v>1</v>
      </c>
      <c r="F436" s="1" t="s">
        <v>134</v>
      </c>
      <c r="G436">
        <v>1</v>
      </c>
      <c r="H436" s="1" t="s">
        <v>18</v>
      </c>
      <c r="I436">
        <v>13</v>
      </c>
      <c r="J436">
        <v>6</v>
      </c>
      <c r="K436">
        <v>13</v>
      </c>
      <c r="L436">
        <v>8</v>
      </c>
      <c r="M436">
        <v>0</v>
      </c>
      <c r="N436">
        <v>8</v>
      </c>
      <c r="O436" s="1" t="s">
        <v>19</v>
      </c>
      <c r="P436" s="1" t="s">
        <v>135</v>
      </c>
      <c r="Q436">
        <v>1274</v>
      </c>
      <c r="R436" s="1" t="s">
        <v>63</v>
      </c>
      <c r="S436">
        <v>9</v>
      </c>
      <c r="T436">
        <v>1</v>
      </c>
      <c r="U436">
        <v>3</v>
      </c>
      <c r="V436">
        <v>33</v>
      </c>
      <c r="W436">
        <v>3</v>
      </c>
      <c r="X436">
        <v>3</v>
      </c>
      <c r="Y436" s="1" t="s">
        <v>7</v>
      </c>
      <c r="Z436">
        <v>2</v>
      </c>
      <c r="AA436">
        <v>10648</v>
      </c>
      <c r="AB436">
        <v>14394</v>
      </c>
      <c r="AC436" s="1" t="s">
        <v>19</v>
      </c>
      <c r="AD436">
        <v>25</v>
      </c>
      <c r="AE436">
        <v>4</v>
      </c>
      <c r="AF436">
        <v>4</v>
      </c>
      <c r="AG436">
        <v>80</v>
      </c>
      <c r="AH436">
        <v>1</v>
      </c>
      <c r="AI436">
        <v>4</v>
      </c>
      <c r="AJ436">
        <v>0</v>
      </c>
      <c r="AK436" s="1" t="s">
        <v>136</v>
      </c>
    </row>
    <row r="437" spans="1:37" x14ac:dyDescent="0.25">
      <c r="A437">
        <v>582</v>
      </c>
      <c r="B437">
        <v>33</v>
      </c>
      <c r="C437" s="1" t="s">
        <v>25</v>
      </c>
      <c r="D437" s="1" t="s">
        <v>70</v>
      </c>
      <c r="E437">
        <v>1</v>
      </c>
      <c r="F437" s="1" t="s">
        <v>139</v>
      </c>
      <c r="G437">
        <v>7</v>
      </c>
      <c r="H437" s="1" t="s">
        <v>18</v>
      </c>
      <c r="I437">
        <v>15</v>
      </c>
      <c r="J437">
        <v>2</v>
      </c>
      <c r="K437">
        <v>7</v>
      </c>
      <c r="L437">
        <v>6</v>
      </c>
      <c r="M437">
        <v>7</v>
      </c>
      <c r="N437">
        <v>7</v>
      </c>
      <c r="O437" s="1" t="s">
        <v>18</v>
      </c>
      <c r="P437" s="1" t="s">
        <v>135</v>
      </c>
      <c r="Q437">
        <v>1277</v>
      </c>
      <c r="R437" s="1" t="s">
        <v>63</v>
      </c>
      <c r="S437">
        <v>15</v>
      </c>
      <c r="T437">
        <v>1</v>
      </c>
      <c r="U437">
        <v>2</v>
      </c>
      <c r="V437">
        <v>56</v>
      </c>
      <c r="W437">
        <v>3</v>
      </c>
      <c r="X437">
        <v>3</v>
      </c>
      <c r="Y437" s="1" t="s">
        <v>9</v>
      </c>
      <c r="Z437">
        <v>3</v>
      </c>
      <c r="AA437">
        <v>13610</v>
      </c>
      <c r="AB437">
        <v>24619</v>
      </c>
      <c r="AC437" s="1" t="s">
        <v>18</v>
      </c>
      <c r="AD437">
        <v>12</v>
      </c>
      <c r="AE437">
        <v>3</v>
      </c>
      <c r="AF437">
        <v>4</v>
      </c>
      <c r="AG437">
        <v>80</v>
      </c>
      <c r="AH437">
        <v>0</v>
      </c>
      <c r="AI437">
        <v>4</v>
      </c>
      <c r="AJ437">
        <v>1</v>
      </c>
      <c r="AK437" s="1" t="s">
        <v>136</v>
      </c>
    </row>
    <row r="438" spans="1:37" x14ac:dyDescent="0.25">
      <c r="A438">
        <v>584</v>
      </c>
      <c r="B438">
        <v>33</v>
      </c>
      <c r="C438" s="1" t="s">
        <v>25</v>
      </c>
      <c r="D438" s="1" t="s">
        <v>69</v>
      </c>
      <c r="E438">
        <v>1</v>
      </c>
      <c r="F438" s="1" t="s">
        <v>139</v>
      </c>
      <c r="G438">
        <v>7</v>
      </c>
      <c r="H438" s="1" t="s">
        <v>18</v>
      </c>
      <c r="I438">
        <v>8</v>
      </c>
      <c r="J438">
        <v>2</v>
      </c>
      <c r="K438">
        <v>4</v>
      </c>
      <c r="L438">
        <v>3</v>
      </c>
      <c r="M438">
        <v>1</v>
      </c>
      <c r="N438">
        <v>3</v>
      </c>
      <c r="O438" s="1" t="s">
        <v>18</v>
      </c>
      <c r="P438" s="1" t="s">
        <v>135</v>
      </c>
      <c r="Q438">
        <v>587</v>
      </c>
      <c r="R438" s="1" t="s">
        <v>63</v>
      </c>
      <c r="S438">
        <v>10</v>
      </c>
      <c r="T438">
        <v>1</v>
      </c>
      <c r="U438">
        <v>1</v>
      </c>
      <c r="V438">
        <v>38</v>
      </c>
      <c r="W438">
        <v>1</v>
      </c>
      <c r="X438">
        <v>1</v>
      </c>
      <c r="Y438" s="1" t="s">
        <v>6</v>
      </c>
      <c r="Z438">
        <v>4</v>
      </c>
      <c r="AA438">
        <v>3408</v>
      </c>
      <c r="AB438">
        <v>6705</v>
      </c>
      <c r="AC438" s="1" t="s">
        <v>19</v>
      </c>
      <c r="AD438">
        <v>13</v>
      </c>
      <c r="AE438">
        <v>3</v>
      </c>
      <c r="AF438">
        <v>1</v>
      </c>
      <c r="AG438">
        <v>80</v>
      </c>
      <c r="AH438">
        <v>3</v>
      </c>
      <c r="AI438">
        <v>3</v>
      </c>
      <c r="AJ438">
        <v>1</v>
      </c>
      <c r="AK438" s="1" t="s">
        <v>136</v>
      </c>
    </row>
    <row r="439" spans="1:37" x14ac:dyDescent="0.25">
      <c r="A439">
        <v>585</v>
      </c>
      <c r="B439">
        <v>30</v>
      </c>
      <c r="C439" s="1" t="s">
        <v>25</v>
      </c>
      <c r="D439" s="1" t="s">
        <v>71</v>
      </c>
      <c r="E439">
        <v>1</v>
      </c>
      <c r="F439" s="1" t="s">
        <v>142</v>
      </c>
      <c r="G439">
        <v>0</v>
      </c>
      <c r="H439" s="1" t="s">
        <v>18</v>
      </c>
      <c r="I439">
        <v>4</v>
      </c>
      <c r="J439">
        <v>3</v>
      </c>
      <c r="K439">
        <v>3</v>
      </c>
      <c r="L439">
        <v>2</v>
      </c>
      <c r="M439">
        <v>1</v>
      </c>
      <c r="N439">
        <v>2</v>
      </c>
      <c r="O439" s="1" t="s">
        <v>19</v>
      </c>
      <c r="P439" s="1" t="s">
        <v>135</v>
      </c>
      <c r="Q439">
        <v>413</v>
      </c>
      <c r="R439" s="1" t="s">
        <v>64</v>
      </c>
      <c r="S439">
        <v>7</v>
      </c>
      <c r="T439">
        <v>1</v>
      </c>
      <c r="U439">
        <v>4</v>
      </c>
      <c r="V439">
        <v>57</v>
      </c>
      <c r="W439">
        <v>3</v>
      </c>
      <c r="X439">
        <v>1</v>
      </c>
      <c r="Y439" s="1" t="s">
        <v>10</v>
      </c>
      <c r="Z439">
        <v>2</v>
      </c>
      <c r="AA439">
        <v>2983</v>
      </c>
      <c r="AB439">
        <v>18398</v>
      </c>
      <c r="AC439" s="1" t="s">
        <v>19</v>
      </c>
      <c r="AD439">
        <v>14</v>
      </c>
      <c r="AE439">
        <v>3</v>
      </c>
      <c r="AF439">
        <v>1</v>
      </c>
      <c r="AG439">
        <v>80</v>
      </c>
      <c r="AH439">
        <v>0</v>
      </c>
      <c r="AI439">
        <v>3</v>
      </c>
      <c r="AJ439">
        <v>0</v>
      </c>
      <c r="AK439" s="1" t="s">
        <v>136</v>
      </c>
    </row>
    <row r="440" spans="1:37" x14ac:dyDescent="0.25">
      <c r="A440">
        <v>586</v>
      </c>
      <c r="B440">
        <v>35</v>
      </c>
      <c r="C440" s="1" t="s">
        <v>25</v>
      </c>
      <c r="D440" s="1" t="s">
        <v>70</v>
      </c>
      <c r="E440">
        <v>3</v>
      </c>
      <c r="F440" s="1" t="s">
        <v>134</v>
      </c>
      <c r="G440">
        <v>4</v>
      </c>
      <c r="H440" s="1" t="s">
        <v>18</v>
      </c>
      <c r="I440">
        <v>10</v>
      </c>
      <c r="J440">
        <v>2</v>
      </c>
      <c r="K440">
        <v>8</v>
      </c>
      <c r="L440">
        <v>7</v>
      </c>
      <c r="M440">
        <v>0</v>
      </c>
      <c r="N440">
        <v>0</v>
      </c>
      <c r="O440" s="1" t="s">
        <v>19</v>
      </c>
      <c r="P440" s="1" t="s">
        <v>135</v>
      </c>
      <c r="Q440">
        <v>1276</v>
      </c>
      <c r="R440" s="1" t="s">
        <v>63</v>
      </c>
      <c r="S440">
        <v>16</v>
      </c>
      <c r="T440">
        <v>1</v>
      </c>
      <c r="U440">
        <v>4</v>
      </c>
      <c r="V440">
        <v>72</v>
      </c>
      <c r="W440">
        <v>3</v>
      </c>
      <c r="X440">
        <v>3</v>
      </c>
      <c r="Y440" s="1" t="s">
        <v>8</v>
      </c>
      <c r="Z440">
        <v>3</v>
      </c>
      <c r="AA440">
        <v>7632</v>
      </c>
      <c r="AB440">
        <v>14295</v>
      </c>
      <c r="AC440" s="1" t="s">
        <v>18</v>
      </c>
      <c r="AD440">
        <v>12</v>
      </c>
      <c r="AE440">
        <v>3</v>
      </c>
      <c r="AF440">
        <v>3</v>
      </c>
      <c r="AG440">
        <v>80</v>
      </c>
      <c r="AH440">
        <v>0</v>
      </c>
      <c r="AI440">
        <v>3</v>
      </c>
      <c r="AJ440">
        <v>0</v>
      </c>
      <c r="AK440" s="1" t="s">
        <v>136</v>
      </c>
    </row>
    <row r="441" spans="1:37" x14ac:dyDescent="0.25">
      <c r="A441">
        <v>587</v>
      </c>
      <c r="B441">
        <v>31</v>
      </c>
      <c r="C441" s="1" t="s">
        <v>25</v>
      </c>
      <c r="D441" s="1" t="s">
        <v>70</v>
      </c>
      <c r="E441">
        <v>3</v>
      </c>
      <c r="F441" s="1" t="s">
        <v>134</v>
      </c>
      <c r="G441">
        <v>3</v>
      </c>
      <c r="H441" s="1" t="s">
        <v>18</v>
      </c>
      <c r="I441">
        <v>12</v>
      </c>
      <c r="J441">
        <v>2</v>
      </c>
      <c r="K441">
        <v>1</v>
      </c>
      <c r="L441">
        <v>0</v>
      </c>
      <c r="M441">
        <v>0</v>
      </c>
      <c r="N441">
        <v>0</v>
      </c>
      <c r="O441" s="1" t="s">
        <v>18</v>
      </c>
      <c r="P441" s="1" t="s">
        <v>137</v>
      </c>
      <c r="Q441">
        <v>534</v>
      </c>
      <c r="R441" s="1" t="s">
        <v>63</v>
      </c>
      <c r="S441">
        <v>20</v>
      </c>
      <c r="T441">
        <v>1</v>
      </c>
      <c r="U441">
        <v>1</v>
      </c>
      <c r="V441">
        <v>66</v>
      </c>
      <c r="W441">
        <v>3</v>
      </c>
      <c r="X441">
        <v>3</v>
      </c>
      <c r="Y441" s="1" t="s">
        <v>8</v>
      </c>
      <c r="Z441">
        <v>3</v>
      </c>
      <c r="AA441">
        <v>9824</v>
      </c>
      <c r="AB441">
        <v>22908</v>
      </c>
      <c r="AC441" s="1" t="s">
        <v>19</v>
      </c>
      <c r="AD441">
        <v>12</v>
      </c>
      <c r="AE441">
        <v>3</v>
      </c>
      <c r="AF441">
        <v>1</v>
      </c>
      <c r="AG441">
        <v>80</v>
      </c>
      <c r="AH441">
        <v>0</v>
      </c>
      <c r="AI441">
        <v>3</v>
      </c>
      <c r="AJ441">
        <v>1</v>
      </c>
      <c r="AK441" s="1" t="s">
        <v>136</v>
      </c>
    </row>
    <row r="442" spans="1:37" x14ac:dyDescent="0.25">
      <c r="A442">
        <v>590</v>
      </c>
      <c r="B442">
        <v>34</v>
      </c>
      <c r="C442" s="1" t="s">
        <v>24</v>
      </c>
      <c r="D442" s="1" t="s">
        <v>69</v>
      </c>
      <c r="E442">
        <v>3</v>
      </c>
      <c r="F442" s="1" t="s">
        <v>12</v>
      </c>
      <c r="G442">
        <v>9</v>
      </c>
      <c r="H442" s="1" t="s">
        <v>18</v>
      </c>
      <c r="I442">
        <v>11</v>
      </c>
      <c r="J442">
        <v>2</v>
      </c>
      <c r="K442">
        <v>3</v>
      </c>
      <c r="L442">
        <v>2</v>
      </c>
      <c r="M442">
        <v>0</v>
      </c>
      <c r="N442">
        <v>2</v>
      </c>
      <c r="O442" s="1" t="s">
        <v>18</v>
      </c>
      <c r="P442" s="1" t="s">
        <v>137</v>
      </c>
      <c r="Q442">
        <v>988</v>
      </c>
      <c r="R442" s="1" t="s">
        <v>12</v>
      </c>
      <c r="S442">
        <v>23</v>
      </c>
      <c r="T442">
        <v>1</v>
      </c>
      <c r="U442">
        <v>2</v>
      </c>
      <c r="V442">
        <v>43</v>
      </c>
      <c r="W442">
        <v>3</v>
      </c>
      <c r="X442">
        <v>3</v>
      </c>
      <c r="Y442" s="1" t="s">
        <v>12</v>
      </c>
      <c r="Z442">
        <v>1</v>
      </c>
      <c r="AA442">
        <v>9950</v>
      </c>
      <c r="AB442">
        <v>11533</v>
      </c>
      <c r="AC442" s="1" t="s">
        <v>18</v>
      </c>
      <c r="AD442">
        <v>15</v>
      </c>
      <c r="AE442">
        <v>3</v>
      </c>
      <c r="AF442">
        <v>3</v>
      </c>
      <c r="AG442">
        <v>80</v>
      </c>
      <c r="AH442">
        <v>3</v>
      </c>
      <c r="AI442">
        <v>3</v>
      </c>
      <c r="AJ442">
        <v>1</v>
      </c>
      <c r="AK442" s="1" t="s">
        <v>136</v>
      </c>
    </row>
    <row r="443" spans="1:37" x14ac:dyDescent="0.25">
      <c r="A443">
        <v>591</v>
      </c>
      <c r="B443">
        <v>42</v>
      </c>
      <c r="C443" s="1" t="s">
        <v>25</v>
      </c>
      <c r="D443" s="1" t="s">
        <v>70</v>
      </c>
      <c r="E443">
        <v>2</v>
      </c>
      <c r="F443" s="1" t="s">
        <v>138</v>
      </c>
      <c r="G443">
        <v>4</v>
      </c>
      <c r="H443" s="1" t="s">
        <v>18</v>
      </c>
      <c r="I443">
        <v>8</v>
      </c>
      <c r="J443">
        <v>4</v>
      </c>
      <c r="K443">
        <v>2</v>
      </c>
      <c r="L443">
        <v>2</v>
      </c>
      <c r="M443">
        <v>2</v>
      </c>
      <c r="N443">
        <v>0</v>
      </c>
      <c r="O443" s="1" t="s">
        <v>19</v>
      </c>
      <c r="P443" s="1" t="s">
        <v>137</v>
      </c>
      <c r="Q443">
        <v>1474</v>
      </c>
      <c r="R443" s="1" t="s">
        <v>63</v>
      </c>
      <c r="S443">
        <v>5</v>
      </c>
      <c r="T443">
        <v>1</v>
      </c>
      <c r="U443">
        <v>2</v>
      </c>
      <c r="V443">
        <v>97</v>
      </c>
      <c r="W443">
        <v>3</v>
      </c>
      <c r="X443">
        <v>1</v>
      </c>
      <c r="Y443" s="1" t="s">
        <v>6</v>
      </c>
      <c r="Z443">
        <v>3</v>
      </c>
      <c r="AA443">
        <v>2093</v>
      </c>
      <c r="AB443">
        <v>9260</v>
      </c>
      <c r="AC443" s="1" t="s">
        <v>19</v>
      </c>
      <c r="AD443">
        <v>17</v>
      </c>
      <c r="AE443">
        <v>3</v>
      </c>
      <c r="AF443">
        <v>4</v>
      </c>
      <c r="AG443">
        <v>80</v>
      </c>
      <c r="AH443">
        <v>1</v>
      </c>
      <c r="AI443">
        <v>3</v>
      </c>
      <c r="AJ443">
        <v>0</v>
      </c>
      <c r="AK443" s="1" t="s">
        <v>136</v>
      </c>
    </row>
    <row r="444" spans="1:37" x14ac:dyDescent="0.25">
      <c r="A444">
        <v>592</v>
      </c>
      <c r="B444">
        <v>36</v>
      </c>
      <c r="C444" s="1" t="s">
        <v>25</v>
      </c>
      <c r="D444" s="1" t="s">
        <v>71</v>
      </c>
      <c r="E444">
        <v>4</v>
      </c>
      <c r="F444" s="1" t="s">
        <v>139</v>
      </c>
      <c r="G444">
        <v>1</v>
      </c>
      <c r="H444" s="1" t="s">
        <v>18</v>
      </c>
      <c r="I444">
        <v>10</v>
      </c>
      <c r="J444">
        <v>3</v>
      </c>
      <c r="K444">
        <v>10</v>
      </c>
      <c r="L444">
        <v>3</v>
      </c>
      <c r="M444">
        <v>9</v>
      </c>
      <c r="N444">
        <v>7</v>
      </c>
      <c r="O444" s="1" t="s">
        <v>19</v>
      </c>
      <c r="P444" s="1" t="s">
        <v>141</v>
      </c>
      <c r="Q444">
        <v>635</v>
      </c>
      <c r="R444" s="1" t="s">
        <v>64</v>
      </c>
      <c r="S444">
        <v>10</v>
      </c>
      <c r="T444">
        <v>1</v>
      </c>
      <c r="U444">
        <v>2</v>
      </c>
      <c r="V444">
        <v>32</v>
      </c>
      <c r="W444">
        <v>3</v>
      </c>
      <c r="X444">
        <v>3</v>
      </c>
      <c r="Y444" s="1" t="s">
        <v>4</v>
      </c>
      <c r="Z444">
        <v>4</v>
      </c>
      <c r="AA444">
        <v>9980</v>
      </c>
      <c r="AB444">
        <v>15318</v>
      </c>
      <c r="AC444" s="1" t="s">
        <v>19</v>
      </c>
      <c r="AD444">
        <v>14</v>
      </c>
      <c r="AE444">
        <v>3</v>
      </c>
      <c r="AF444">
        <v>4</v>
      </c>
      <c r="AG444">
        <v>80</v>
      </c>
      <c r="AH444">
        <v>0</v>
      </c>
      <c r="AI444">
        <v>2</v>
      </c>
      <c r="AJ444">
        <v>0</v>
      </c>
      <c r="AK444" s="1" t="s">
        <v>136</v>
      </c>
    </row>
    <row r="445" spans="1:37" x14ac:dyDescent="0.25">
      <c r="A445">
        <v>593</v>
      </c>
      <c r="B445">
        <v>22</v>
      </c>
      <c r="C445" s="1" t="s">
        <v>25</v>
      </c>
      <c r="D445" s="1" t="s">
        <v>71</v>
      </c>
      <c r="E445">
        <v>1</v>
      </c>
      <c r="F445" s="1" t="s">
        <v>143</v>
      </c>
      <c r="G445">
        <v>5</v>
      </c>
      <c r="H445" s="1" t="s">
        <v>18</v>
      </c>
      <c r="I445">
        <v>4</v>
      </c>
      <c r="J445">
        <v>3</v>
      </c>
      <c r="K445">
        <v>2</v>
      </c>
      <c r="L445">
        <v>2</v>
      </c>
      <c r="M445">
        <v>1</v>
      </c>
      <c r="N445">
        <v>2</v>
      </c>
      <c r="O445" s="1" t="s">
        <v>18</v>
      </c>
      <c r="P445" s="1" t="s">
        <v>137</v>
      </c>
      <c r="Q445">
        <v>1368</v>
      </c>
      <c r="R445" s="1" t="s">
        <v>63</v>
      </c>
      <c r="S445">
        <v>4</v>
      </c>
      <c r="T445">
        <v>1</v>
      </c>
      <c r="U445">
        <v>3</v>
      </c>
      <c r="V445">
        <v>99</v>
      </c>
      <c r="W445">
        <v>2</v>
      </c>
      <c r="X445">
        <v>1</v>
      </c>
      <c r="Y445" s="1" t="s">
        <v>6</v>
      </c>
      <c r="Z445">
        <v>3</v>
      </c>
      <c r="AA445">
        <v>3894</v>
      </c>
      <c r="AB445">
        <v>9129</v>
      </c>
      <c r="AC445" s="1" t="s">
        <v>19</v>
      </c>
      <c r="AD445">
        <v>16</v>
      </c>
      <c r="AE445">
        <v>3</v>
      </c>
      <c r="AF445">
        <v>3</v>
      </c>
      <c r="AG445">
        <v>80</v>
      </c>
      <c r="AH445">
        <v>0</v>
      </c>
      <c r="AI445">
        <v>3</v>
      </c>
      <c r="AJ445">
        <v>1</v>
      </c>
      <c r="AK445" s="1" t="s">
        <v>136</v>
      </c>
    </row>
    <row r="446" spans="1:37" x14ac:dyDescent="0.25">
      <c r="A446">
        <v>595</v>
      </c>
      <c r="B446">
        <v>48</v>
      </c>
      <c r="C446" s="1" t="s">
        <v>24</v>
      </c>
      <c r="D446" s="1" t="s">
        <v>70</v>
      </c>
      <c r="E446">
        <v>5</v>
      </c>
      <c r="F446" s="1" t="s">
        <v>142</v>
      </c>
      <c r="G446">
        <v>2</v>
      </c>
      <c r="H446" s="1" t="s">
        <v>18</v>
      </c>
      <c r="I446">
        <v>14</v>
      </c>
      <c r="J446">
        <v>2</v>
      </c>
      <c r="K446">
        <v>9</v>
      </c>
      <c r="L446">
        <v>7</v>
      </c>
      <c r="M446">
        <v>6</v>
      </c>
      <c r="N446">
        <v>7</v>
      </c>
      <c r="O446" s="1" t="s">
        <v>19</v>
      </c>
      <c r="P446" s="1" t="s">
        <v>135</v>
      </c>
      <c r="Q446">
        <v>163</v>
      </c>
      <c r="R446" s="1" t="s">
        <v>64</v>
      </c>
      <c r="S446">
        <v>2</v>
      </c>
      <c r="T446">
        <v>1</v>
      </c>
      <c r="U446">
        <v>2</v>
      </c>
      <c r="V446">
        <v>37</v>
      </c>
      <c r="W446">
        <v>3</v>
      </c>
      <c r="X446">
        <v>2</v>
      </c>
      <c r="Y446" s="1" t="s">
        <v>4</v>
      </c>
      <c r="Z446">
        <v>4</v>
      </c>
      <c r="AA446">
        <v>4051</v>
      </c>
      <c r="AB446">
        <v>19658</v>
      </c>
      <c r="AC446" s="1" t="s">
        <v>19</v>
      </c>
      <c r="AD446">
        <v>14</v>
      </c>
      <c r="AE446">
        <v>3</v>
      </c>
      <c r="AF446">
        <v>1</v>
      </c>
      <c r="AG446">
        <v>80</v>
      </c>
      <c r="AH446">
        <v>1</v>
      </c>
      <c r="AI446">
        <v>3</v>
      </c>
      <c r="AJ446">
        <v>0</v>
      </c>
      <c r="AK446" s="1" t="s">
        <v>136</v>
      </c>
    </row>
    <row r="447" spans="1:37" x14ac:dyDescent="0.25">
      <c r="A447">
        <v>597</v>
      </c>
      <c r="B447">
        <v>55</v>
      </c>
      <c r="C447" s="1" t="s">
        <v>24</v>
      </c>
      <c r="D447" s="1" t="s">
        <v>71</v>
      </c>
      <c r="E447">
        <v>5</v>
      </c>
      <c r="F447" s="1" t="s">
        <v>134</v>
      </c>
      <c r="G447">
        <v>3</v>
      </c>
      <c r="H447" s="1" t="s">
        <v>18</v>
      </c>
      <c r="I447">
        <v>37</v>
      </c>
      <c r="J447">
        <v>2</v>
      </c>
      <c r="K447">
        <v>10</v>
      </c>
      <c r="L447">
        <v>9</v>
      </c>
      <c r="M447">
        <v>7</v>
      </c>
      <c r="N447">
        <v>7</v>
      </c>
      <c r="O447" s="1" t="s">
        <v>19</v>
      </c>
      <c r="P447" s="1" t="s">
        <v>135</v>
      </c>
      <c r="Q447">
        <v>1117</v>
      </c>
      <c r="R447" s="1" t="s">
        <v>64</v>
      </c>
      <c r="S447">
        <v>18</v>
      </c>
      <c r="T447">
        <v>1</v>
      </c>
      <c r="U447">
        <v>1</v>
      </c>
      <c r="V447">
        <v>83</v>
      </c>
      <c r="W447">
        <v>3</v>
      </c>
      <c r="X447">
        <v>4</v>
      </c>
      <c r="Y447" s="1" t="s">
        <v>9</v>
      </c>
      <c r="Z447">
        <v>2</v>
      </c>
      <c r="AA447">
        <v>16835</v>
      </c>
      <c r="AB447">
        <v>9873</v>
      </c>
      <c r="AC447" s="1" t="s">
        <v>19</v>
      </c>
      <c r="AD447">
        <v>23</v>
      </c>
      <c r="AE447">
        <v>4</v>
      </c>
      <c r="AF447">
        <v>4</v>
      </c>
      <c r="AG447">
        <v>80</v>
      </c>
      <c r="AH447">
        <v>0</v>
      </c>
      <c r="AI447">
        <v>3</v>
      </c>
      <c r="AJ447">
        <v>0</v>
      </c>
      <c r="AK447" s="1" t="s">
        <v>140</v>
      </c>
    </row>
    <row r="448" spans="1:37" x14ac:dyDescent="0.25">
      <c r="A448">
        <v>599</v>
      </c>
      <c r="B448">
        <v>41</v>
      </c>
      <c r="C448" s="1" t="s">
        <v>25</v>
      </c>
      <c r="D448" s="1" t="s">
        <v>71</v>
      </c>
      <c r="E448">
        <v>2</v>
      </c>
      <c r="F448" s="1" t="s">
        <v>134</v>
      </c>
      <c r="G448">
        <v>7</v>
      </c>
      <c r="H448" s="1" t="s">
        <v>18</v>
      </c>
      <c r="I448">
        <v>16</v>
      </c>
      <c r="J448">
        <v>3</v>
      </c>
      <c r="K448">
        <v>14</v>
      </c>
      <c r="L448">
        <v>3</v>
      </c>
      <c r="M448">
        <v>1</v>
      </c>
      <c r="N448">
        <v>10</v>
      </c>
      <c r="O448" s="1" t="s">
        <v>19</v>
      </c>
      <c r="P448" s="1" t="s">
        <v>141</v>
      </c>
      <c r="Q448">
        <v>267</v>
      </c>
      <c r="R448" s="1" t="s">
        <v>64</v>
      </c>
      <c r="S448">
        <v>10</v>
      </c>
      <c r="T448">
        <v>1</v>
      </c>
      <c r="U448">
        <v>4</v>
      </c>
      <c r="V448">
        <v>56</v>
      </c>
      <c r="W448">
        <v>3</v>
      </c>
      <c r="X448">
        <v>2</v>
      </c>
      <c r="Y448" s="1" t="s">
        <v>4</v>
      </c>
      <c r="Z448">
        <v>4</v>
      </c>
      <c r="AA448">
        <v>6230</v>
      </c>
      <c r="AB448">
        <v>13430</v>
      </c>
      <c r="AC448" s="1" t="s">
        <v>19</v>
      </c>
      <c r="AD448">
        <v>14</v>
      </c>
      <c r="AE448">
        <v>3</v>
      </c>
      <c r="AF448">
        <v>4</v>
      </c>
      <c r="AG448">
        <v>80</v>
      </c>
      <c r="AH448">
        <v>0</v>
      </c>
      <c r="AI448">
        <v>3</v>
      </c>
      <c r="AJ448">
        <v>0</v>
      </c>
      <c r="AK448" s="1" t="s">
        <v>136</v>
      </c>
    </row>
    <row r="449" spans="1:37" x14ac:dyDescent="0.25">
      <c r="A449">
        <v>600</v>
      </c>
      <c r="B449">
        <v>35</v>
      </c>
      <c r="C449" s="1" t="s">
        <v>25</v>
      </c>
      <c r="D449" s="1" t="s">
        <v>70</v>
      </c>
      <c r="E449">
        <v>3</v>
      </c>
      <c r="F449" s="1" t="s">
        <v>142</v>
      </c>
      <c r="G449">
        <v>9</v>
      </c>
      <c r="H449" s="1" t="s">
        <v>18</v>
      </c>
      <c r="I449">
        <v>15</v>
      </c>
      <c r="J449">
        <v>2</v>
      </c>
      <c r="K449">
        <v>11</v>
      </c>
      <c r="L449">
        <v>9</v>
      </c>
      <c r="M449">
        <v>6</v>
      </c>
      <c r="N449">
        <v>9</v>
      </c>
      <c r="O449" s="1" t="s">
        <v>19</v>
      </c>
      <c r="P449" s="1" t="s">
        <v>135</v>
      </c>
      <c r="Q449">
        <v>619</v>
      </c>
      <c r="R449" s="1" t="s">
        <v>64</v>
      </c>
      <c r="S449">
        <v>1</v>
      </c>
      <c r="T449">
        <v>1</v>
      </c>
      <c r="U449">
        <v>2</v>
      </c>
      <c r="V449">
        <v>85</v>
      </c>
      <c r="W449">
        <v>3</v>
      </c>
      <c r="X449">
        <v>2</v>
      </c>
      <c r="Y449" s="1" t="s">
        <v>4</v>
      </c>
      <c r="Z449">
        <v>3</v>
      </c>
      <c r="AA449">
        <v>4717</v>
      </c>
      <c r="AB449">
        <v>18659</v>
      </c>
      <c r="AC449" s="1" t="s">
        <v>19</v>
      </c>
      <c r="AD449">
        <v>11</v>
      </c>
      <c r="AE449">
        <v>3</v>
      </c>
      <c r="AF449">
        <v>3</v>
      </c>
      <c r="AG449">
        <v>80</v>
      </c>
      <c r="AH449">
        <v>0</v>
      </c>
      <c r="AI449">
        <v>3</v>
      </c>
      <c r="AJ449">
        <v>0</v>
      </c>
      <c r="AK449" s="1" t="s">
        <v>136</v>
      </c>
    </row>
    <row r="450" spans="1:37" x14ac:dyDescent="0.25">
      <c r="A450">
        <v>601</v>
      </c>
      <c r="B450">
        <v>40</v>
      </c>
      <c r="C450" s="1" t="s">
        <v>24</v>
      </c>
      <c r="D450" s="1" t="s">
        <v>71</v>
      </c>
      <c r="E450">
        <v>3</v>
      </c>
      <c r="F450" s="1" t="s">
        <v>134</v>
      </c>
      <c r="G450">
        <v>7</v>
      </c>
      <c r="H450" s="1" t="s">
        <v>18</v>
      </c>
      <c r="I450">
        <v>22</v>
      </c>
      <c r="J450">
        <v>3</v>
      </c>
      <c r="K450">
        <v>20</v>
      </c>
      <c r="L450">
        <v>6</v>
      </c>
      <c r="M450">
        <v>5</v>
      </c>
      <c r="N450">
        <v>13</v>
      </c>
      <c r="O450" s="1" t="s">
        <v>19</v>
      </c>
      <c r="P450" s="1" t="s">
        <v>135</v>
      </c>
      <c r="Q450">
        <v>302</v>
      </c>
      <c r="R450" s="1" t="s">
        <v>63</v>
      </c>
      <c r="S450">
        <v>6</v>
      </c>
      <c r="T450">
        <v>1</v>
      </c>
      <c r="U450">
        <v>2</v>
      </c>
      <c r="V450">
        <v>75</v>
      </c>
      <c r="W450">
        <v>3</v>
      </c>
      <c r="X450">
        <v>4</v>
      </c>
      <c r="Y450" s="1" t="s">
        <v>7</v>
      </c>
      <c r="Z450">
        <v>3</v>
      </c>
      <c r="AA450">
        <v>13237</v>
      </c>
      <c r="AB450">
        <v>20364</v>
      </c>
      <c r="AC450" s="1" t="s">
        <v>19</v>
      </c>
      <c r="AD450">
        <v>15</v>
      </c>
      <c r="AE450">
        <v>3</v>
      </c>
      <c r="AF450">
        <v>3</v>
      </c>
      <c r="AG450">
        <v>80</v>
      </c>
      <c r="AH450">
        <v>0</v>
      </c>
      <c r="AI450">
        <v>3</v>
      </c>
      <c r="AJ450">
        <v>0</v>
      </c>
      <c r="AK450" s="1" t="s">
        <v>136</v>
      </c>
    </row>
    <row r="451" spans="1:37" x14ac:dyDescent="0.25">
      <c r="A451">
        <v>602</v>
      </c>
      <c r="B451">
        <v>39</v>
      </c>
      <c r="C451" s="1" t="s">
        <v>24</v>
      </c>
      <c r="D451" s="1" t="s">
        <v>70</v>
      </c>
      <c r="E451">
        <v>1</v>
      </c>
      <c r="F451" s="1" t="s">
        <v>134</v>
      </c>
      <c r="G451">
        <v>1</v>
      </c>
      <c r="H451" s="1" t="s">
        <v>18</v>
      </c>
      <c r="I451">
        <v>8</v>
      </c>
      <c r="J451">
        <v>3</v>
      </c>
      <c r="K451">
        <v>8</v>
      </c>
      <c r="L451">
        <v>3</v>
      </c>
      <c r="M451">
        <v>0</v>
      </c>
      <c r="N451">
        <v>7</v>
      </c>
      <c r="O451" s="1" t="s">
        <v>19</v>
      </c>
      <c r="P451" s="1" t="s">
        <v>137</v>
      </c>
      <c r="Q451">
        <v>443</v>
      </c>
      <c r="R451" s="1" t="s">
        <v>63</v>
      </c>
      <c r="S451">
        <v>8</v>
      </c>
      <c r="T451">
        <v>1</v>
      </c>
      <c r="U451">
        <v>3</v>
      </c>
      <c r="V451">
        <v>48</v>
      </c>
      <c r="W451">
        <v>3</v>
      </c>
      <c r="X451">
        <v>1</v>
      </c>
      <c r="Y451" s="1" t="s">
        <v>6</v>
      </c>
      <c r="Z451">
        <v>3</v>
      </c>
      <c r="AA451">
        <v>3755</v>
      </c>
      <c r="AB451">
        <v>17872</v>
      </c>
      <c r="AC451" s="1" t="s">
        <v>19</v>
      </c>
      <c r="AD451">
        <v>11</v>
      </c>
      <c r="AE451">
        <v>3</v>
      </c>
      <c r="AF451">
        <v>1</v>
      </c>
      <c r="AG451">
        <v>80</v>
      </c>
      <c r="AH451">
        <v>1</v>
      </c>
      <c r="AI451">
        <v>3</v>
      </c>
      <c r="AJ451">
        <v>0</v>
      </c>
      <c r="AK451" s="1" t="s">
        <v>136</v>
      </c>
    </row>
    <row r="452" spans="1:37" x14ac:dyDescent="0.25">
      <c r="A452">
        <v>604</v>
      </c>
      <c r="B452">
        <v>31</v>
      </c>
      <c r="C452" s="1" t="s">
        <v>25</v>
      </c>
      <c r="D452" s="1" t="s">
        <v>71</v>
      </c>
      <c r="E452">
        <v>1</v>
      </c>
      <c r="F452" s="1" t="s">
        <v>134</v>
      </c>
      <c r="G452">
        <v>4</v>
      </c>
      <c r="H452" s="1" t="s">
        <v>18</v>
      </c>
      <c r="I452">
        <v>10</v>
      </c>
      <c r="J452">
        <v>2</v>
      </c>
      <c r="K452">
        <v>6</v>
      </c>
      <c r="L452">
        <v>5</v>
      </c>
      <c r="M452">
        <v>0</v>
      </c>
      <c r="N452">
        <v>5</v>
      </c>
      <c r="O452" s="1" t="s">
        <v>19</v>
      </c>
      <c r="P452" s="1" t="s">
        <v>135</v>
      </c>
      <c r="Q452">
        <v>828</v>
      </c>
      <c r="R452" s="1" t="s">
        <v>64</v>
      </c>
      <c r="S452">
        <v>2</v>
      </c>
      <c r="T452">
        <v>1</v>
      </c>
      <c r="U452">
        <v>2</v>
      </c>
      <c r="V452">
        <v>77</v>
      </c>
      <c r="W452">
        <v>3</v>
      </c>
      <c r="X452">
        <v>2</v>
      </c>
      <c r="Y452" s="1" t="s">
        <v>4</v>
      </c>
      <c r="Z452">
        <v>4</v>
      </c>
      <c r="AA452">
        <v>6582</v>
      </c>
      <c r="AB452">
        <v>8346</v>
      </c>
      <c r="AC452" s="1" t="s">
        <v>18</v>
      </c>
      <c r="AD452">
        <v>13</v>
      </c>
      <c r="AE452">
        <v>3</v>
      </c>
      <c r="AF452">
        <v>3</v>
      </c>
      <c r="AG452">
        <v>80</v>
      </c>
      <c r="AH452">
        <v>0</v>
      </c>
      <c r="AI452">
        <v>4</v>
      </c>
      <c r="AJ452">
        <v>0</v>
      </c>
      <c r="AK452" s="1" t="s">
        <v>136</v>
      </c>
    </row>
    <row r="453" spans="1:37" x14ac:dyDescent="0.25">
      <c r="A453">
        <v>605</v>
      </c>
      <c r="B453">
        <v>42</v>
      </c>
      <c r="C453" s="1" t="s">
        <v>25</v>
      </c>
      <c r="D453" s="1" t="s">
        <v>70</v>
      </c>
      <c r="E453">
        <v>3</v>
      </c>
      <c r="F453" s="1" t="s">
        <v>139</v>
      </c>
      <c r="G453">
        <v>1</v>
      </c>
      <c r="H453" s="1" t="s">
        <v>18</v>
      </c>
      <c r="I453">
        <v>10</v>
      </c>
      <c r="J453">
        <v>5</v>
      </c>
      <c r="K453">
        <v>10</v>
      </c>
      <c r="L453">
        <v>9</v>
      </c>
      <c r="M453">
        <v>5</v>
      </c>
      <c r="N453">
        <v>8</v>
      </c>
      <c r="O453" s="1" t="s">
        <v>19</v>
      </c>
      <c r="P453" s="1" t="s">
        <v>135</v>
      </c>
      <c r="Q453">
        <v>319</v>
      </c>
      <c r="R453" s="1" t="s">
        <v>63</v>
      </c>
      <c r="S453">
        <v>24</v>
      </c>
      <c r="T453">
        <v>1</v>
      </c>
      <c r="U453">
        <v>4</v>
      </c>
      <c r="V453">
        <v>56</v>
      </c>
      <c r="W453">
        <v>3</v>
      </c>
      <c r="X453">
        <v>3</v>
      </c>
      <c r="Y453" s="1" t="s">
        <v>7</v>
      </c>
      <c r="Z453">
        <v>1</v>
      </c>
      <c r="AA453">
        <v>7406</v>
      </c>
      <c r="AB453">
        <v>6950</v>
      </c>
      <c r="AC453" s="1" t="s">
        <v>18</v>
      </c>
      <c r="AD453">
        <v>21</v>
      </c>
      <c r="AE453">
        <v>4</v>
      </c>
      <c r="AF453">
        <v>4</v>
      </c>
      <c r="AG453">
        <v>80</v>
      </c>
      <c r="AH453">
        <v>1</v>
      </c>
      <c r="AI453">
        <v>2</v>
      </c>
      <c r="AJ453">
        <v>0</v>
      </c>
      <c r="AK453" s="1" t="s">
        <v>136</v>
      </c>
    </row>
    <row r="454" spans="1:37" x14ac:dyDescent="0.25">
      <c r="A454">
        <v>606</v>
      </c>
      <c r="B454">
        <v>45</v>
      </c>
      <c r="C454" s="1" t="s">
        <v>25</v>
      </c>
      <c r="D454" s="1" t="s">
        <v>70</v>
      </c>
      <c r="E454">
        <v>3</v>
      </c>
      <c r="F454" s="1" t="s">
        <v>138</v>
      </c>
      <c r="G454">
        <v>0</v>
      </c>
      <c r="H454" s="1" t="s">
        <v>18</v>
      </c>
      <c r="I454">
        <v>9</v>
      </c>
      <c r="J454">
        <v>3</v>
      </c>
      <c r="K454">
        <v>8</v>
      </c>
      <c r="L454">
        <v>7</v>
      </c>
      <c r="M454">
        <v>3</v>
      </c>
      <c r="N454">
        <v>7</v>
      </c>
      <c r="O454" s="1" t="s">
        <v>19</v>
      </c>
      <c r="P454" s="1" t="s">
        <v>135</v>
      </c>
      <c r="Q454">
        <v>561</v>
      </c>
      <c r="R454" s="1" t="s">
        <v>64</v>
      </c>
      <c r="S454">
        <v>2</v>
      </c>
      <c r="T454">
        <v>1</v>
      </c>
      <c r="U454">
        <v>4</v>
      </c>
      <c r="V454">
        <v>61</v>
      </c>
      <c r="W454">
        <v>3</v>
      </c>
      <c r="X454">
        <v>2</v>
      </c>
      <c r="Y454" s="1" t="s">
        <v>4</v>
      </c>
      <c r="Z454">
        <v>2</v>
      </c>
      <c r="AA454">
        <v>4805</v>
      </c>
      <c r="AB454">
        <v>16177</v>
      </c>
      <c r="AC454" s="1" t="s">
        <v>19</v>
      </c>
      <c r="AD454">
        <v>19</v>
      </c>
      <c r="AE454">
        <v>3</v>
      </c>
      <c r="AF454">
        <v>2</v>
      </c>
      <c r="AG454">
        <v>80</v>
      </c>
      <c r="AH454">
        <v>1</v>
      </c>
      <c r="AI454">
        <v>4</v>
      </c>
      <c r="AJ454">
        <v>0</v>
      </c>
      <c r="AK454" s="1" t="s">
        <v>136</v>
      </c>
    </row>
    <row r="455" spans="1:37" x14ac:dyDescent="0.25">
      <c r="A455">
        <v>608</v>
      </c>
      <c r="B455">
        <v>26</v>
      </c>
      <c r="C455" s="1" t="s">
        <v>24</v>
      </c>
      <c r="D455" s="1" t="s">
        <v>69</v>
      </c>
      <c r="E455">
        <v>4</v>
      </c>
      <c r="F455" s="1" t="s">
        <v>134</v>
      </c>
      <c r="G455">
        <v>0</v>
      </c>
      <c r="H455" s="1" t="s">
        <v>18</v>
      </c>
      <c r="I455">
        <v>8</v>
      </c>
      <c r="J455">
        <v>2</v>
      </c>
      <c r="K455">
        <v>7</v>
      </c>
      <c r="L455">
        <v>7</v>
      </c>
      <c r="M455">
        <v>1</v>
      </c>
      <c r="N455">
        <v>0</v>
      </c>
      <c r="O455" s="1" t="s">
        <v>18</v>
      </c>
      <c r="P455" s="1" t="s">
        <v>137</v>
      </c>
      <c r="Q455">
        <v>426</v>
      </c>
      <c r="R455" s="1" t="s">
        <v>12</v>
      </c>
      <c r="S455">
        <v>17</v>
      </c>
      <c r="T455">
        <v>1</v>
      </c>
      <c r="U455">
        <v>2</v>
      </c>
      <c r="V455">
        <v>58</v>
      </c>
      <c r="W455">
        <v>3</v>
      </c>
      <c r="X455">
        <v>1</v>
      </c>
      <c r="Y455" s="1" t="s">
        <v>12</v>
      </c>
      <c r="Z455">
        <v>3</v>
      </c>
      <c r="AA455">
        <v>2741</v>
      </c>
      <c r="AB455">
        <v>22808</v>
      </c>
      <c r="AC455" s="1" t="s">
        <v>18</v>
      </c>
      <c r="AD455">
        <v>11</v>
      </c>
      <c r="AE455">
        <v>3</v>
      </c>
      <c r="AF455">
        <v>2</v>
      </c>
      <c r="AG455">
        <v>80</v>
      </c>
      <c r="AH455">
        <v>1</v>
      </c>
      <c r="AI455">
        <v>2</v>
      </c>
      <c r="AJ455">
        <v>1</v>
      </c>
      <c r="AK455" s="1" t="s">
        <v>136</v>
      </c>
    </row>
    <row r="456" spans="1:37" x14ac:dyDescent="0.25">
      <c r="A456">
        <v>611</v>
      </c>
      <c r="B456">
        <v>29</v>
      </c>
      <c r="C456" s="1" t="s">
        <v>25</v>
      </c>
      <c r="D456" s="1" t="s">
        <v>69</v>
      </c>
      <c r="E456">
        <v>3</v>
      </c>
      <c r="F456" s="1" t="s">
        <v>143</v>
      </c>
      <c r="G456">
        <v>4</v>
      </c>
      <c r="H456" s="1" t="s">
        <v>18</v>
      </c>
      <c r="I456">
        <v>8</v>
      </c>
      <c r="J456">
        <v>2</v>
      </c>
      <c r="K456">
        <v>3</v>
      </c>
      <c r="L456">
        <v>2</v>
      </c>
      <c r="M456">
        <v>1</v>
      </c>
      <c r="N456">
        <v>2</v>
      </c>
      <c r="O456" s="1" t="s">
        <v>19</v>
      </c>
      <c r="P456" s="1" t="s">
        <v>135</v>
      </c>
      <c r="Q456">
        <v>232</v>
      </c>
      <c r="R456" s="1" t="s">
        <v>63</v>
      </c>
      <c r="S456">
        <v>19</v>
      </c>
      <c r="T456">
        <v>1</v>
      </c>
      <c r="U456">
        <v>4</v>
      </c>
      <c r="V456">
        <v>34</v>
      </c>
      <c r="W456">
        <v>3</v>
      </c>
      <c r="X456">
        <v>2</v>
      </c>
      <c r="Y456" s="1" t="s">
        <v>7</v>
      </c>
      <c r="Z456">
        <v>4</v>
      </c>
      <c r="AA456">
        <v>4262</v>
      </c>
      <c r="AB456">
        <v>22645</v>
      </c>
      <c r="AC456" s="1" t="s">
        <v>19</v>
      </c>
      <c r="AD456">
        <v>12</v>
      </c>
      <c r="AE456">
        <v>3</v>
      </c>
      <c r="AF456">
        <v>2</v>
      </c>
      <c r="AG456">
        <v>80</v>
      </c>
      <c r="AH456">
        <v>2</v>
      </c>
      <c r="AI456">
        <v>4</v>
      </c>
      <c r="AJ456">
        <v>0</v>
      </c>
      <c r="AK456" s="1" t="s">
        <v>136</v>
      </c>
    </row>
    <row r="457" spans="1:37" x14ac:dyDescent="0.25">
      <c r="A457">
        <v>612</v>
      </c>
      <c r="B457">
        <v>33</v>
      </c>
      <c r="C457" s="1" t="s">
        <v>24</v>
      </c>
      <c r="D457" s="1" t="s">
        <v>69</v>
      </c>
      <c r="E457">
        <v>5</v>
      </c>
      <c r="F457" s="1" t="s">
        <v>139</v>
      </c>
      <c r="G457">
        <v>4</v>
      </c>
      <c r="H457" s="1" t="s">
        <v>18</v>
      </c>
      <c r="I457">
        <v>10</v>
      </c>
      <c r="J457">
        <v>2</v>
      </c>
      <c r="K457">
        <v>6</v>
      </c>
      <c r="L457">
        <v>1</v>
      </c>
      <c r="M457">
        <v>0</v>
      </c>
      <c r="N457">
        <v>5</v>
      </c>
      <c r="O457" s="1" t="s">
        <v>19</v>
      </c>
      <c r="P457" s="1" t="s">
        <v>135</v>
      </c>
      <c r="Q457">
        <v>922</v>
      </c>
      <c r="R457" s="1" t="s">
        <v>63</v>
      </c>
      <c r="S457">
        <v>1</v>
      </c>
      <c r="T457">
        <v>1</v>
      </c>
      <c r="U457">
        <v>1</v>
      </c>
      <c r="V457">
        <v>95</v>
      </c>
      <c r="W457">
        <v>4</v>
      </c>
      <c r="X457">
        <v>4</v>
      </c>
      <c r="Y457" s="1" t="s">
        <v>11</v>
      </c>
      <c r="Z457">
        <v>3</v>
      </c>
      <c r="AA457">
        <v>16184</v>
      </c>
      <c r="AB457">
        <v>22578</v>
      </c>
      <c r="AC457" s="1" t="s">
        <v>19</v>
      </c>
      <c r="AD457">
        <v>19</v>
      </c>
      <c r="AE457">
        <v>3</v>
      </c>
      <c r="AF457">
        <v>3</v>
      </c>
      <c r="AG457">
        <v>80</v>
      </c>
      <c r="AH457">
        <v>1</v>
      </c>
      <c r="AI457">
        <v>3</v>
      </c>
      <c r="AJ457">
        <v>0</v>
      </c>
      <c r="AK457" s="1" t="s">
        <v>136</v>
      </c>
    </row>
    <row r="458" spans="1:37" x14ac:dyDescent="0.25">
      <c r="A458">
        <v>613</v>
      </c>
      <c r="B458">
        <v>31</v>
      </c>
      <c r="C458" s="1" t="s">
        <v>25</v>
      </c>
      <c r="D458" s="1" t="s">
        <v>69</v>
      </c>
      <c r="E458">
        <v>3</v>
      </c>
      <c r="F458" s="1" t="s">
        <v>134</v>
      </c>
      <c r="G458">
        <v>9</v>
      </c>
      <c r="H458" s="1" t="s">
        <v>18</v>
      </c>
      <c r="I458">
        <v>10</v>
      </c>
      <c r="J458">
        <v>3</v>
      </c>
      <c r="K458">
        <v>5</v>
      </c>
      <c r="L458">
        <v>4</v>
      </c>
      <c r="M458">
        <v>0</v>
      </c>
      <c r="N458">
        <v>1</v>
      </c>
      <c r="O458" s="1" t="s">
        <v>19</v>
      </c>
      <c r="P458" s="1" t="s">
        <v>135</v>
      </c>
      <c r="Q458">
        <v>688</v>
      </c>
      <c r="R458" s="1" t="s">
        <v>64</v>
      </c>
      <c r="S458">
        <v>7</v>
      </c>
      <c r="T458">
        <v>1</v>
      </c>
      <c r="U458">
        <v>3</v>
      </c>
      <c r="V458">
        <v>44</v>
      </c>
      <c r="W458">
        <v>2</v>
      </c>
      <c r="X458">
        <v>3</v>
      </c>
      <c r="Y458" s="1" t="s">
        <v>9</v>
      </c>
      <c r="Z458">
        <v>4</v>
      </c>
      <c r="AA458">
        <v>11557</v>
      </c>
      <c r="AB458">
        <v>25291</v>
      </c>
      <c r="AC458" s="1" t="s">
        <v>19</v>
      </c>
      <c r="AD458">
        <v>21</v>
      </c>
      <c r="AE458">
        <v>4</v>
      </c>
      <c r="AF458">
        <v>3</v>
      </c>
      <c r="AG458">
        <v>80</v>
      </c>
      <c r="AH458">
        <v>1</v>
      </c>
      <c r="AI458">
        <v>2</v>
      </c>
      <c r="AJ458">
        <v>0</v>
      </c>
      <c r="AK458" s="1" t="s">
        <v>136</v>
      </c>
    </row>
    <row r="459" spans="1:37" x14ac:dyDescent="0.25">
      <c r="A459">
        <v>614</v>
      </c>
      <c r="B459">
        <v>18</v>
      </c>
      <c r="C459" s="1" t="s">
        <v>25</v>
      </c>
      <c r="D459" s="1" t="s">
        <v>71</v>
      </c>
      <c r="E459">
        <v>3</v>
      </c>
      <c r="F459" s="1" t="s">
        <v>142</v>
      </c>
      <c r="G459">
        <v>1</v>
      </c>
      <c r="H459" s="1" t="s">
        <v>18</v>
      </c>
      <c r="I459">
        <v>0</v>
      </c>
      <c r="J459">
        <v>3</v>
      </c>
      <c r="K459">
        <v>0</v>
      </c>
      <c r="L459">
        <v>0</v>
      </c>
      <c r="M459">
        <v>0</v>
      </c>
      <c r="N459">
        <v>0</v>
      </c>
      <c r="O459" s="1" t="s">
        <v>18</v>
      </c>
      <c r="P459" s="1" t="s">
        <v>137</v>
      </c>
      <c r="Q459">
        <v>1306</v>
      </c>
      <c r="R459" s="1" t="s">
        <v>64</v>
      </c>
      <c r="S459">
        <v>5</v>
      </c>
      <c r="T459">
        <v>1</v>
      </c>
      <c r="U459">
        <v>2</v>
      </c>
      <c r="V459">
        <v>69</v>
      </c>
      <c r="W459">
        <v>3</v>
      </c>
      <c r="X459">
        <v>1</v>
      </c>
      <c r="Y459" s="1" t="s">
        <v>10</v>
      </c>
      <c r="Z459">
        <v>2</v>
      </c>
      <c r="AA459">
        <v>1878</v>
      </c>
      <c r="AB459">
        <v>8059</v>
      </c>
      <c r="AC459" s="1" t="s">
        <v>18</v>
      </c>
      <c r="AD459">
        <v>14</v>
      </c>
      <c r="AE459">
        <v>3</v>
      </c>
      <c r="AF459">
        <v>4</v>
      </c>
      <c r="AG459">
        <v>80</v>
      </c>
      <c r="AH459">
        <v>0</v>
      </c>
      <c r="AI459">
        <v>3</v>
      </c>
      <c r="AJ459">
        <v>1</v>
      </c>
      <c r="AK459" s="1" t="s">
        <v>136</v>
      </c>
    </row>
    <row r="460" spans="1:37" x14ac:dyDescent="0.25">
      <c r="A460">
        <v>615</v>
      </c>
      <c r="B460">
        <v>40</v>
      </c>
      <c r="C460" s="1" t="s">
        <v>25</v>
      </c>
      <c r="D460" s="1" t="s">
        <v>69</v>
      </c>
      <c r="E460">
        <v>3</v>
      </c>
      <c r="F460" s="1" t="s">
        <v>138</v>
      </c>
      <c r="G460">
        <v>3</v>
      </c>
      <c r="H460" s="1" t="s">
        <v>18</v>
      </c>
      <c r="I460">
        <v>20</v>
      </c>
      <c r="J460">
        <v>2</v>
      </c>
      <c r="K460">
        <v>1</v>
      </c>
      <c r="L460">
        <v>0</v>
      </c>
      <c r="M460">
        <v>0</v>
      </c>
      <c r="N460">
        <v>1</v>
      </c>
      <c r="O460" s="1" t="s">
        <v>19</v>
      </c>
      <c r="P460" s="1" t="s">
        <v>141</v>
      </c>
      <c r="Q460">
        <v>1094</v>
      </c>
      <c r="R460" s="1" t="s">
        <v>64</v>
      </c>
      <c r="S460">
        <v>28</v>
      </c>
      <c r="T460">
        <v>1</v>
      </c>
      <c r="U460">
        <v>3</v>
      </c>
      <c r="V460">
        <v>58</v>
      </c>
      <c r="W460">
        <v>1</v>
      </c>
      <c r="X460">
        <v>3</v>
      </c>
      <c r="Y460" s="1" t="s">
        <v>4</v>
      </c>
      <c r="Z460">
        <v>1</v>
      </c>
      <c r="AA460">
        <v>10932</v>
      </c>
      <c r="AB460">
        <v>11373</v>
      </c>
      <c r="AC460" s="1" t="s">
        <v>19</v>
      </c>
      <c r="AD460">
        <v>15</v>
      </c>
      <c r="AE460">
        <v>3</v>
      </c>
      <c r="AF460">
        <v>3</v>
      </c>
      <c r="AG460">
        <v>80</v>
      </c>
      <c r="AH460">
        <v>1</v>
      </c>
      <c r="AI460">
        <v>3</v>
      </c>
      <c r="AJ460">
        <v>0</v>
      </c>
      <c r="AK460" s="1" t="s">
        <v>136</v>
      </c>
    </row>
    <row r="461" spans="1:37" x14ac:dyDescent="0.25">
      <c r="A461">
        <v>616</v>
      </c>
      <c r="B461">
        <v>41</v>
      </c>
      <c r="C461" s="1" t="s">
        <v>24</v>
      </c>
      <c r="D461" s="1" t="s">
        <v>71</v>
      </c>
      <c r="E461">
        <v>4</v>
      </c>
      <c r="F461" s="1" t="s">
        <v>138</v>
      </c>
      <c r="G461">
        <v>2</v>
      </c>
      <c r="H461" s="1" t="s">
        <v>18</v>
      </c>
      <c r="I461">
        <v>10</v>
      </c>
      <c r="J461">
        <v>3</v>
      </c>
      <c r="K461">
        <v>8</v>
      </c>
      <c r="L461">
        <v>7</v>
      </c>
      <c r="M461">
        <v>0</v>
      </c>
      <c r="N461">
        <v>7</v>
      </c>
      <c r="O461" s="1" t="s">
        <v>19</v>
      </c>
      <c r="P461" s="1" t="s">
        <v>141</v>
      </c>
      <c r="Q461">
        <v>509</v>
      </c>
      <c r="R461" s="1" t="s">
        <v>63</v>
      </c>
      <c r="S461">
        <v>2</v>
      </c>
      <c r="T461">
        <v>1</v>
      </c>
      <c r="U461">
        <v>1</v>
      </c>
      <c r="V461">
        <v>62</v>
      </c>
      <c r="W461">
        <v>2</v>
      </c>
      <c r="X461">
        <v>2</v>
      </c>
      <c r="Y461" s="1" t="s">
        <v>8</v>
      </c>
      <c r="Z461">
        <v>3</v>
      </c>
      <c r="AA461">
        <v>6811</v>
      </c>
      <c r="AB461">
        <v>2112</v>
      </c>
      <c r="AC461" s="1" t="s">
        <v>18</v>
      </c>
      <c r="AD461">
        <v>17</v>
      </c>
      <c r="AE461">
        <v>3</v>
      </c>
      <c r="AF461">
        <v>1</v>
      </c>
      <c r="AG461">
        <v>80</v>
      </c>
      <c r="AH461">
        <v>0</v>
      </c>
      <c r="AI461">
        <v>3</v>
      </c>
      <c r="AJ461">
        <v>0</v>
      </c>
      <c r="AK461" s="1" t="s">
        <v>136</v>
      </c>
    </row>
    <row r="462" spans="1:37" x14ac:dyDescent="0.25">
      <c r="A462">
        <v>618</v>
      </c>
      <c r="B462">
        <v>26</v>
      </c>
      <c r="C462" s="1" t="s">
        <v>25</v>
      </c>
      <c r="D462" s="1" t="s">
        <v>69</v>
      </c>
      <c r="E462">
        <v>2</v>
      </c>
      <c r="F462" s="1" t="s">
        <v>139</v>
      </c>
      <c r="G462">
        <v>5</v>
      </c>
      <c r="H462" s="1" t="s">
        <v>18</v>
      </c>
      <c r="I462">
        <v>8</v>
      </c>
      <c r="J462">
        <v>5</v>
      </c>
      <c r="K462">
        <v>0</v>
      </c>
      <c r="L462">
        <v>0</v>
      </c>
      <c r="M462">
        <v>0</v>
      </c>
      <c r="N462">
        <v>0</v>
      </c>
      <c r="O462" s="1" t="s">
        <v>19</v>
      </c>
      <c r="P462" s="1" t="s">
        <v>135</v>
      </c>
      <c r="Q462">
        <v>775</v>
      </c>
      <c r="R462" s="1" t="s">
        <v>64</v>
      </c>
      <c r="S462">
        <v>29</v>
      </c>
      <c r="T462">
        <v>1</v>
      </c>
      <c r="U462">
        <v>1</v>
      </c>
      <c r="V462">
        <v>45</v>
      </c>
      <c r="W462">
        <v>3</v>
      </c>
      <c r="X462">
        <v>2</v>
      </c>
      <c r="Y462" s="1" t="s">
        <v>4</v>
      </c>
      <c r="Z462">
        <v>3</v>
      </c>
      <c r="AA462">
        <v>4306</v>
      </c>
      <c r="AB462">
        <v>4267</v>
      </c>
      <c r="AC462" s="1" t="s">
        <v>19</v>
      </c>
      <c r="AD462">
        <v>12</v>
      </c>
      <c r="AE462">
        <v>3</v>
      </c>
      <c r="AF462">
        <v>1</v>
      </c>
      <c r="AG462">
        <v>80</v>
      </c>
      <c r="AH462">
        <v>2</v>
      </c>
      <c r="AI462">
        <v>3</v>
      </c>
      <c r="AJ462">
        <v>0</v>
      </c>
      <c r="AK462" s="1" t="s">
        <v>136</v>
      </c>
    </row>
    <row r="463" spans="1:37" x14ac:dyDescent="0.25">
      <c r="A463">
        <v>620</v>
      </c>
      <c r="B463">
        <v>35</v>
      </c>
      <c r="C463" s="1" t="s">
        <v>24</v>
      </c>
      <c r="D463" s="1" t="s">
        <v>71</v>
      </c>
      <c r="E463">
        <v>3</v>
      </c>
      <c r="F463" s="1" t="s">
        <v>139</v>
      </c>
      <c r="G463">
        <v>1</v>
      </c>
      <c r="H463" s="1" t="s">
        <v>18</v>
      </c>
      <c r="I463">
        <v>5</v>
      </c>
      <c r="J463">
        <v>3</v>
      </c>
      <c r="K463">
        <v>5</v>
      </c>
      <c r="L463">
        <v>4</v>
      </c>
      <c r="M463">
        <v>0</v>
      </c>
      <c r="N463">
        <v>3</v>
      </c>
      <c r="O463" s="1" t="s">
        <v>19</v>
      </c>
      <c r="P463" s="1" t="s">
        <v>135</v>
      </c>
      <c r="Q463">
        <v>195</v>
      </c>
      <c r="R463" s="1" t="s">
        <v>64</v>
      </c>
      <c r="S463">
        <v>1</v>
      </c>
      <c r="T463">
        <v>1</v>
      </c>
      <c r="U463">
        <v>1</v>
      </c>
      <c r="V463">
        <v>80</v>
      </c>
      <c r="W463">
        <v>3</v>
      </c>
      <c r="X463">
        <v>2</v>
      </c>
      <c r="Y463" s="1" t="s">
        <v>4</v>
      </c>
      <c r="Z463">
        <v>3</v>
      </c>
      <c r="AA463">
        <v>4859</v>
      </c>
      <c r="AB463">
        <v>6698</v>
      </c>
      <c r="AC463" s="1" t="s">
        <v>19</v>
      </c>
      <c r="AD463">
        <v>16</v>
      </c>
      <c r="AE463">
        <v>3</v>
      </c>
      <c r="AF463">
        <v>4</v>
      </c>
      <c r="AG463">
        <v>80</v>
      </c>
      <c r="AH463">
        <v>0</v>
      </c>
      <c r="AI463">
        <v>3</v>
      </c>
      <c r="AJ463">
        <v>0</v>
      </c>
      <c r="AK463" s="1" t="s">
        <v>136</v>
      </c>
    </row>
    <row r="464" spans="1:37" x14ac:dyDescent="0.25">
      <c r="A464">
        <v>621</v>
      </c>
      <c r="B464">
        <v>34</v>
      </c>
      <c r="C464" s="1" t="s">
        <v>25</v>
      </c>
      <c r="D464" s="1" t="s">
        <v>71</v>
      </c>
      <c r="E464">
        <v>4</v>
      </c>
      <c r="F464" s="1" t="s">
        <v>134</v>
      </c>
      <c r="G464">
        <v>1</v>
      </c>
      <c r="H464" s="1" t="s">
        <v>18</v>
      </c>
      <c r="I464">
        <v>10</v>
      </c>
      <c r="J464">
        <v>3</v>
      </c>
      <c r="K464">
        <v>10</v>
      </c>
      <c r="L464">
        <v>7</v>
      </c>
      <c r="M464">
        <v>5</v>
      </c>
      <c r="N464">
        <v>7</v>
      </c>
      <c r="O464" s="1" t="s">
        <v>19</v>
      </c>
      <c r="P464" s="1" t="s">
        <v>135</v>
      </c>
      <c r="Q464">
        <v>258</v>
      </c>
      <c r="R464" s="1" t="s">
        <v>64</v>
      </c>
      <c r="S464">
        <v>21</v>
      </c>
      <c r="T464">
        <v>1</v>
      </c>
      <c r="U464">
        <v>4</v>
      </c>
      <c r="V464">
        <v>74</v>
      </c>
      <c r="W464">
        <v>4</v>
      </c>
      <c r="X464">
        <v>2</v>
      </c>
      <c r="Y464" s="1" t="s">
        <v>4</v>
      </c>
      <c r="Z464">
        <v>4</v>
      </c>
      <c r="AA464">
        <v>5337</v>
      </c>
      <c r="AB464">
        <v>19921</v>
      </c>
      <c r="AC464" s="1" t="s">
        <v>19</v>
      </c>
      <c r="AD464">
        <v>12</v>
      </c>
      <c r="AE464">
        <v>3</v>
      </c>
      <c r="AF464">
        <v>4</v>
      </c>
      <c r="AG464">
        <v>80</v>
      </c>
      <c r="AH464">
        <v>0</v>
      </c>
      <c r="AI464">
        <v>3</v>
      </c>
      <c r="AJ464">
        <v>0</v>
      </c>
      <c r="AK464" s="1" t="s">
        <v>136</v>
      </c>
    </row>
    <row r="465" spans="1:37" x14ac:dyDescent="0.25">
      <c r="A465">
        <v>622</v>
      </c>
      <c r="B465">
        <v>26</v>
      </c>
      <c r="C465" s="1" t="s">
        <v>25</v>
      </c>
      <c r="D465" s="1" t="s">
        <v>71</v>
      </c>
      <c r="E465">
        <v>3</v>
      </c>
      <c r="F465" s="1" t="s">
        <v>143</v>
      </c>
      <c r="G465">
        <v>1</v>
      </c>
      <c r="H465" s="1" t="s">
        <v>18</v>
      </c>
      <c r="I465">
        <v>1</v>
      </c>
      <c r="J465">
        <v>3</v>
      </c>
      <c r="K465">
        <v>1</v>
      </c>
      <c r="L465">
        <v>0</v>
      </c>
      <c r="M465">
        <v>0</v>
      </c>
      <c r="N465">
        <v>0</v>
      </c>
      <c r="O465" s="1" t="s">
        <v>18</v>
      </c>
      <c r="P465" s="1" t="s">
        <v>135</v>
      </c>
      <c r="Q465">
        <v>471</v>
      </c>
      <c r="R465" s="1" t="s">
        <v>63</v>
      </c>
      <c r="S465">
        <v>24</v>
      </c>
      <c r="T465">
        <v>1</v>
      </c>
      <c r="U465">
        <v>3</v>
      </c>
      <c r="V465">
        <v>66</v>
      </c>
      <c r="W465">
        <v>1</v>
      </c>
      <c r="X465">
        <v>1</v>
      </c>
      <c r="Y465" s="1" t="s">
        <v>6</v>
      </c>
      <c r="Z465">
        <v>4</v>
      </c>
      <c r="AA465">
        <v>2340</v>
      </c>
      <c r="AB465">
        <v>23213</v>
      </c>
      <c r="AC465" s="1" t="s">
        <v>18</v>
      </c>
      <c r="AD465">
        <v>18</v>
      </c>
      <c r="AE465">
        <v>3</v>
      </c>
      <c r="AF465">
        <v>2</v>
      </c>
      <c r="AG465">
        <v>80</v>
      </c>
      <c r="AH465">
        <v>0</v>
      </c>
      <c r="AI465">
        <v>1</v>
      </c>
      <c r="AJ465">
        <v>1</v>
      </c>
      <c r="AK465" s="1" t="s">
        <v>136</v>
      </c>
    </row>
    <row r="466" spans="1:37" x14ac:dyDescent="0.25">
      <c r="A466">
        <v>623</v>
      </c>
      <c r="B466">
        <v>37</v>
      </c>
      <c r="C466" s="1" t="s">
        <v>24</v>
      </c>
      <c r="D466" s="1" t="s">
        <v>71</v>
      </c>
      <c r="E466">
        <v>3</v>
      </c>
      <c r="F466" s="1" t="s">
        <v>143</v>
      </c>
      <c r="G466">
        <v>4</v>
      </c>
      <c r="H466" s="1" t="s">
        <v>18</v>
      </c>
      <c r="I466">
        <v>12</v>
      </c>
      <c r="J466">
        <v>3</v>
      </c>
      <c r="K466">
        <v>6</v>
      </c>
      <c r="L466">
        <v>5</v>
      </c>
      <c r="M466">
        <v>1</v>
      </c>
      <c r="N466">
        <v>2</v>
      </c>
      <c r="O466" s="1" t="s">
        <v>19</v>
      </c>
      <c r="P466" s="1" t="s">
        <v>135</v>
      </c>
      <c r="Q466">
        <v>799</v>
      </c>
      <c r="R466" s="1" t="s">
        <v>63</v>
      </c>
      <c r="S466">
        <v>1</v>
      </c>
      <c r="T466">
        <v>1</v>
      </c>
      <c r="U466">
        <v>2</v>
      </c>
      <c r="V466">
        <v>59</v>
      </c>
      <c r="W466">
        <v>3</v>
      </c>
      <c r="X466">
        <v>3</v>
      </c>
      <c r="Y466" s="1" t="s">
        <v>7</v>
      </c>
      <c r="Z466">
        <v>4</v>
      </c>
      <c r="AA466">
        <v>7491</v>
      </c>
      <c r="AB466">
        <v>23848</v>
      </c>
      <c r="AC466" s="1" t="s">
        <v>19</v>
      </c>
      <c r="AD466">
        <v>17</v>
      </c>
      <c r="AE466">
        <v>3</v>
      </c>
      <c r="AF466">
        <v>4</v>
      </c>
      <c r="AG466">
        <v>80</v>
      </c>
      <c r="AH466">
        <v>0</v>
      </c>
      <c r="AI466">
        <v>4</v>
      </c>
      <c r="AJ466">
        <v>0</v>
      </c>
      <c r="AK466" s="1" t="s">
        <v>136</v>
      </c>
    </row>
    <row r="467" spans="1:37" x14ac:dyDescent="0.25">
      <c r="A467">
        <v>624</v>
      </c>
      <c r="B467">
        <v>46</v>
      </c>
      <c r="C467" s="1" t="s">
        <v>24</v>
      </c>
      <c r="D467" s="1" t="s">
        <v>70</v>
      </c>
      <c r="E467">
        <v>1</v>
      </c>
      <c r="F467" s="1" t="s">
        <v>139</v>
      </c>
      <c r="G467">
        <v>5</v>
      </c>
      <c r="H467" s="1" t="s">
        <v>18</v>
      </c>
      <c r="I467">
        <v>28</v>
      </c>
      <c r="J467">
        <v>3</v>
      </c>
      <c r="K467">
        <v>2</v>
      </c>
      <c r="L467">
        <v>2</v>
      </c>
      <c r="M467">
        <v>1</v>
      </c>
      <c r="N467">
        <v>2</v>
      </c>
      <c r="O467" s="1" t="s">
        <v>19</v>
      </c>
      <c r="P467" s="1" t="s">
        <v>137</v>
      </c>
      <c r="Q467">
        <v>1034</v>
      </c>
      <c r="R467" s="1" t="s">
        <v>63</v>
      </c>
      <c r="S467">
        <v>18</v>
      </c>
      <c r="T467">
        <v>1</v>
      </c>
      <c r="U467">
        <v>1</v>
      </c>
      <c r="V467">
        <v>86</v>
      </c>
      <c r="W467">
        <v>3</v>
      </c>
      <c r="X467">
        <v>3</v>
      </c>
      <c r="Y467" s="1" t="s">
        <v>8</v>
      </c>
      <c r="Z467">
        <v>3</v>
      </c>
      <c r="AA467">
        <v>10527</v>
      </c>
      <c r="AB467">
        <v>8984</v>
      </c>
      <c r="AC467" s="1" t="s">
        <v>19</v>
      </c>
      <c r="AD467">
        <v>11</v>
      </c>
      <c r="AE467">
        <v>3</v>
      </c>
      <c r="AF467">
        <v>4</v>
      </c>
      <c r="AG467">
        <v>80</v>
      </c>
      <c r="AH467">
        <v>0</v>
      </c>
      <c r="AI467">
        <v>2</v>
      </c>
      <c r="AJ467">
        <v>0</v>
      </c>
      <c r="AK467" s="1" t="s">
        <v>136</v>
      </c>
    </row>
    <row r="468" spans="1:37" x14ac:dyDescent="0.25">
      <c r="A468">
        <v>625</v>
      </c>
      <c r="B468">
        <v>41</v>
      </c>
      <c r="C468" s="1" t="s">
        <v>24</v>
      </c>
      <c r="D468" s="1" t="s">
        <v>70</v>
      </c>
      <c r="E468">
        <v>5</v>
      </c>
      <c r="F468" s="1" t="s">
        <v>134</v>
      </c>
      <c r="G468">
        <v>7</v>
      </c>
      <c r="H468" s="1" t="s">
        <v>18</v>
      </c>
      <c r="I468">
        <v>22</v>
      </c>
      <c r="J468">
        <v>2</v>
      </c>
      <c r="K468">
        <v>18</v>
      </c>
      <c r="L468">
        <v>16</v>
      </c>
      <c r="M468">
        <v>11</v>
      </c>
      <c r="N468">
        <v>8</v>
      </c>
      <c r="O468" s="1" t="s">
        <v>19</v>
      </c>
      <c r="P468" s="1" t="s">
        <v>135</v>
      </c>
      <c r="Q468">
        <v>1276</v>
      </c>
      <c r="R468" s="1" t="s">
        <v>64</v>
      </c>
      <c r="S468">
        <v>2</v>
      </c>
      <c r="T468">
        <v>1</v>
      </c>
      <c r="U468">
        <v>2</v>
      </c>
      <c r="V468">
        <v>91</v>
      </c>
      <c r="W468">
        <v>3</v>
      </c>
      <c r="X468">
        <v>4</v>
      </c>
      <c r="Y468" s="1" t="s">
        <v>9</v>
      </c>
      <c r="Z468">
        <v>1</v>
      </c>
      <c r="AA468">
        <v>16595</v>
      </c>
      <c r="AB468">
        <v>5626</v>
      </c>
      <c r="AC468" s="1" t="s">
        <v>19</v>
      </c>
      <c r="AD468">
        <v>16</v>
      </c>
      <c r="AE468">
        <v>3</v>
      </c>
      <c r="AF468">
        <v>2</v>
      </c>
      <c r="AG468">
        <v>80</v>
      </c>
      <c r="AH468">
        <v>1</v>
      </c>
      <c r="AI468">
        <v>3</v>
      </c>
      <c r="AJ468">
        <v>0</v>
      </c>
      <c r="AK468" s="1" t="s">
        <v>136</v>
      </c>
    </row>
    <row r="469" spans="1:37" x14ac:dyDescent="0.25">
      <c r="A469">
        <v>626</v>
      </c>
      <c r="B469">
        <v>37</v>
      </c>
      <c r="C469" s="1" t="s">
        <v>25</v>
      </c>
      <c r="D469" s="1" t="s">
        <v>69</v>
      </c>
      <c r="E469">
        <v>4</v>
      </c>
      <c r="F469" s="1" t="s">
        <v>139</v>
      </c>
      <c r="G469">
        <v>1</v>
      </c>
      <c r="H469" s="1" t="s">
        <v>18</v>
      </c>
      <c r="I469">
        <v>9</v>
      </c>
      <c r="J469">
        <v>6</v>
      </c>
      <c r="K469">
        <v>9</v>
      </c>
      <c r="L469">
        <v>5</v>
      </c>
      <c r="M469">
        <v>7</v>
      </c>
      <c r="N469">
        <v>7</v>
      </c>
      <c r="O469" s="1" t="s">
        <v>19</v>
      </c>
      <c r="P469" s="1" t="s">
        <v>141</v>
      </c>
      <c r="Q469">
        <v>142</v>
      </c>
      <c r="R469" s="1" t="s">
        <v>64</v>
      </c>
      <c r="S469">
        <v>9</v>
      </c>
      <c r="T469">
        <v>1</v>
      </c>
      <c r="U469">
        <v>1</v>
      </c>
      <c r="V469">
        <v>69</v>
      </c>
      <c r="W469">
        <v>3</v>
      </c>
      <c r="X469">
        <v>3</v>
      </c>
      <c r="Y469" s="1" t="s">
        <v>4</v>
      </c>
      <c r="Z469">
        <v>2</v>
      </c>
      <c r="AA469">
        <v>8834</v>
      </c>
      <c r="AB469">
        <v>24666</v>
      </c>
      <c r="AC469" s="1" t="s">
        <v>19</v>
      </c>
      <c r="AD469">
        <v>13</v>
      </c>
      <c r="AE469">
        <v>3</v>
      </c>
      <c r="AF469">
        <v>4</v>
      </c>
      <c r="AG469">
        <v>80</v>
      </c>
      <c r="AH469">
        <v>1</v>
      </c>
      <c r="AI469">
        <v>3</v>
      </c>
      <c r="AJ469">
        <v>0</v>
      </c>
      <c r="AK469" s="1" t="s">
        <v>136</v>
      </c>
    </row>
    <row r="470" spans="1:37" x14ac:dyDescent="0.25">
      <c r="A470">
        <v>630</v>
      </c>
      <c r="B470">
        <v>52</v>
      </c>
      <c r="C470" s="1" t="s">
        <v>25</v>
      </c>
      <c r="D470" s="1" t="s">
        <v>69</v>
      </c>
      <c r="E470">
        <v>2</v>
      </c>
      <c r="F470" s="1" t="s">
        <v>143</v>
      </c>
      <c r="G470">
        <v>3</v>
      </c>
      <c r="H470" s="1" t="s">
        <v>18</v>
      </c>
      <c r="I470">
        <v>18</v>
      </c>
      <c r="J470">
        <v>3</v>
      </c>
      <c r="K470">
        <v>10</v>
      </c>
      <c r="L470">
        <v>9</v>
      </c>
      <c r="M470">
        <v>6</v>
      </c>
      <c r="N470">
        <v>9</v>
      </c>
      <c r="O470" s="1" t="s">
        <v>19</v>
      </c>
      <c r="P470" s="1" t="s">
        <v>135</v>
      </c>
      <c r="Q470">
        <v>956</v>
      </c>
      <c r="R470" s="1" t="s">
        <v>63</v>
      </c>
      <c r="S470">
        <v>6</v>
      </c>
      <c r="T470">
        <v>1</v>
      </c>
      <c r="U470">
        <v>4</v>
      </c>
      <c r="V470">
        <v>78</v>
      </c>
      <c r="W470">
        <v>3</v>
      </c>
      <c r="X470">
        <v>2</v>
      </c>
      <c r="Y470" s="1" t="s">
        <v>5</v>
      </c>
      <c r="Z470">
        <v>1</v>
      </c>
      <c r="AA470">
        <v>5577</v>
      </c>
      <c r="AB470">
        <v>22087</v>
      </c>
      <c r="AC470" s="1" t="s">
        <v>18</v>
      </c>
      <c r="AD470">
        <v>12</v>
      </c>
      <c r="AE470">
        <v>3</v>
      </c>
      <c r="AF470">
        <v>2</v>
      </c>
      <c r="AG470">
        <v>80</v>
      </c>
      <c r="AH470">
        <v>2</v>
      </c>
      <c r="AI470">
        <v>3</v>
      </c>
      <c r="AJ470">
        <v>0</v>
      </c>
      <c r="AK470" s="1" t="s">
        <v>140</v>
      </c>
    </row>
    <row r="471" spans="1:37" x14ac:dyDescent="0.25">
      <c r="A471">
        <v>631</v>
      </c>
      <c r="B471">
        <v>32</v>
      </c>
      <c r="C471" s="1" t="s">
        <v>25</v>
      </c>
      <c r="D471" s="1" t="s">
        <v>70</v>
      </c>
      <c r="E471">
        <v>4</v>
      </c>
      <c r="F471" s="1" t="s">
        <v>138</v>
      </c>
      <c r="G471">
        <v>8</v>
      </c>
      <c r="H471" s="1" t="s">
        <v>18</v>
      </c>
      <c r="I471">
        <v>6</v>
      </c>
      <c r="J471">
        <v>2</v>
      </c>
      <c r="K471">
        <v>4</v>
      </c>
      <c r="L471">
        <v>2</v>
      </c>
      <c r="M471">
        <v>1</v>
      </c>
      <c r="N471">
        <v>2</v>
      </c>
      <c r="O471" s="1" t="s">
        <v>18</v>
      </c>
      <c r="P471" s="1" t="s">
        <v>141</v>
      </c>
      <c r="Q471">
        <v>1474</v>
      </c>
      <c r="R471" s="1" t="s">
        <v>64</v>
      </c>
      <c r="S471">
        <v>11</v>
      </c>
      <c r="T471">
        <v>1</v>
      </c>
      <c r="U471">
        <v>4</v>
      </c>
      <c r="V471">
        <v>60</v>
      </c>
      <c r="W471">
        <v>4</v>
      </c>
      <c r="X471">
        <v>2</v>
      </c>
      <c r="Y471" s="1" t="s">
        <v>4</v>
      </c>
      <c r="Z471">
        <v>3</v>
      </c>
      <c r="AA471">
        <v>4707</v>
      </c>
      <c r="AB471">
        <v>23914</v>
      </c>
      <c r="AC471" s="1" t="s">
        <v>19</v>
      </c>
      <c r="AD471">
        <v>12</v>
      </c>
      <c r="AE471">
        <v>3</v>
      </c>
      <c r="AF471">
        <v>4</v>
      </c>
      <c r="AG471">
        <v>80</v>
      </c>
      <c r="AH471">
        <v>0</v>
      </c>
      <c r="AI471">
        <v>3</v>
      </c>
      <c r="AJ471">
        <v>1</v>
      </c>
      <c r="AK471" s="1" t="s">
        <v>136</v>
      </c>
    </row>
    <row r="472" spans="1:37" x14ac:dyDescent="0.25">
      <c r="A472">
        <v>632</v>
      </c>
      <c r="B472">
        <v>24</v>
      </c>
      <c r="C472" s="1" t="s">
        <v>25</v>
      </c>
      <c r="D472" s="1" t="s">
        <v>70</v>
      </c>
      <c r="E472">
        <v>3</v>
      </c>
      <c r="F472" s="1" t="s">
        <v>139</v>
      </c>
      <c r="G472">
        <v>0</v>
      </c>
      <c r="H472" s="1" t="s">
        <v>18</v>
      </c>
      <c r="I472">
        <v>3</v>
      </c>
      <c r="J472">
        <v>3</v>
      </c>
      <c r="K472">
        <v>2</v>
      </c>
      <c r="L472">
        <v>2</v>
      </c>
      <c r="M472">
        <v>2</v>
      </c>
      <c r="N472">
        <v>1</v>
      </c>
      <c r="O472" s="1" t="s">
        <v>19</v>
      </c>
      <c r="P472" s="1" t="s">
        <v>137</v>
      </c>
      <c r="Q472">
        <v>535</v>
      </c>
      <c r="R472" s="1" t="s">
        <v>64</v>
      </c>
      <c r="S472">
        <v>24</v>
      </c>
      <c r="T472">
        <v>1</v>
      </c>
      <c r="U472">
        <v>4</v>
      </c>
      <c r="V472">
        <v>38</v>
      </c>
      <c r="W472">
        <v>3</v>
      </c>
      <c r="X472">
        <v>1</v>
      </c>
      <c r="Y472" s="1" t="s">
        <v>10</v>
      </c>
      <c r="Z472">
        <v>4</v>
      </c>
      <c r="AA472">
        <v>2400</v>
      </c>
      <c r="AB472">
        <v>5530</v>
      </c>
      <c r="AC472" s="1" t="s">
        <v>19</v>
      </c>
      <c r="AD472">
        <v>13</v>
      </c>
      <c r="AE472">
        <v>3</v>
      </c>
      <c r="AF472">
        <v>3</v>
      </c>
      <c r="AG472">
        <v>80</v>
      </c>
      <c r="AH472">
        <v>2</v>
      </c>
      <c r="AI472">
        <v>3</v>
      </c>
      <c r="AJ472">
        <v>0</v>
      </c>
      <c r="AK472" s="1" t="s">
        <v>136</v>
      </c>
    </row>
    <row r="473" spans="1:37" x14ac:dyDescent="0.25">
      <c r="A473">
        <v>634</v>
      </c>
      <c r="B473">
        <v>38</v>
      </c>
      <c r="C473" s="1" t="s">
        <v>24</v>
      </c>
      <c r="D473" s="1" t="s">
        <v>70</v>
      </c>
      <c r="E473">
        <v>3</v>
      </c>
      <c r="F473" s="1" t="s">
        <v>139</v>
      </c>
      <c r="G473">
        <v>3</v>
      </c>
      <c r="H473" s="1" t="s">
        <v>18</v>
      </c>
      <c r="I473">
        <v>18</v>
      </c>
      <c r="J473">
        <v>4</v>
      </c>
      <c r="K473">
        <v>1</v>
      </c>
      <c r="L473">
        <v>0</v>
      </c>
      <c r="M473">
        <v>0</v>
      </c>
      <c r="N473">
        <v>0</v>
      </c>
      <c r="O473" s="1" t="s">
        <v>19</v>
      </c>
      <c r="P473" s="1" t="s">
        <v>135</v>
      </c>
      <c r="Q473">
        <v>1495</v>
      </c>
      <c r="R473" s="1" t="s">
        <v>63</v>
      </c>
      <c r="S473">
        <v>10</v>
      </c>
      <c r="T473">
        <v>1</v>
      </c>
      <c r="U473">
        <v>3</v>
      </c>
      <c r="V473">
        <v>76</v>
      </c>
      <c r="W473">
        <v>3</v>
      </c>
      <c r="X473">
        <v>2</v>
      </c>
      <c r="Y473" s="1" t="s">
        <v>8</v>
      </c>
      <c r="Z473">
        <v>3</v>
      </c>
      <c r="AA473">
        <v>9824</v>
      </c>
      <c r="AB473">
        <v>22174</v>
      </c>
      <c r="AC473" s="1" t="s">
        <v>19</v>
      </c>
      <c r="AD473">
        <v>19</v>
      </c>
      <c r="AE473">
        <v>3</v>
      </c>
      <c r="AF473">
        <v>3</v>
      </c>
      <c r="AG473">
        <v>80</v>
      </c>
      <c r="AH473">
        <v>1</v>
      </c>
      <c r="AI473">
        <v>3</v>
      </c>
      <c r="AJ473">
        <v>0</v>
      </c>
      <c r="AK473" s="1" t="s">
        <v>136</v>
      </c>
    </row>
    <row r="474" spans="1:37" x14ac:dyDescent="0.25">
      <c r="A474">
        <v>635</v>
      </c>
      <c r="B474">
        <v>37</v>
      </c>
      <c r="C474" s="1" t="s">
        <v>24</v>
      </c>
      <c r="D474" s="1" t="s">
        <v>70</v>
      </c>
      <c r="E474">
        <v>4</v>
      </c>
      <c r="F474" s="1" t="s">
        <v>134</v>
      </c>
      <c r="G474">
        <v>6</v>
      </c>
      <c r="H474" s="1" t="s">
        <v>18</v>
      </c>
      <c r="I474">
        <v>8</v>
      </c>
      <c r="J474">
        <v>2</v>
      </c>
      <c r="K474">
        <v>6</v>
      </c>
      <c r="L474">
        <v>5</v>
      </c>
      <c r="M474">
        <v>4</v>
      </c>
      <c r="N474">
        <v>3</v>
      </c>
      <c r="O474" s="1" t="s">
        <v>19</v>
      </c>
      <c r="P474" s="1" t="s">
        <v>135</v>
      </c>
      <c r="Q474">
        <v>446</v>
      </c>
      <c r="R474" s="1" t="s">
        <v>63</v>
      </c>
      <c r="S474">
        <v>1</v>
      </c>
      <c r="T474">
        <v>1</v>
      </c>
      <c r="U474">
        <v>2</v>
      </c>
      <c r="V474">
        <v>65</v>
      </c>
      <c r="W474">
        <v>3</v>
      </c>
      <c r="X474">
        <v>2</v>
      </c>
      <c r="Y474" s="1" t="s">
        <v>7</v>
      </c>
      <c r="Z474">
        <v>2</v>
      </c>
      <c r="AA474">
        <v>6447</v>
      </c>
      <c r="AB474">
        <v>15701</v>
      </c>
      <c r="AC474" s="1" t="s">
        <v>19</v>
      </c>
      <c r="AD474">
        <v>12</v>
      </c>
      <c r="AE474">
        <v>3</v>
      </c>
      <c r="AF474">
        <v>2</v>
      </c>
      <c r="AG474">
        <v>80</v>
      </c>
      <c r="AH474">
        <v>1</v>
      </c>
      <c r="AI474">
        <v>2</v>
      </c>
      <c r="AJ474">
        <v>0</v>
      </c>
      <c r="AK474" s="1" t="s">
        <v>136</v>
      </c>
    </row>
    <row r="475" spans="1:37" x14ac:dyDescent="0.25">
      <c r="A475">
        <v>638</v>
      </c>
      <c r="B475">
        <v>49</v>
      </c>
      <c r="C475" s="1" t="s">
        <v>25</v>
      </c>
      <c r="D475" s="1" t="s">
        <v>69</v>
      </c>
      <c r="E475">
        <v>4</v>
      </c>
      <c r="F475" s="1" t="s">
        <v>134</v>
      </c>
      <c r="G475">
        <v>1</v>
      </c>
      <c r="H475" s="1" t="s">
        <v>18</v>
      </c>
      <c r="I475">
        <v>31</v>
      </c>
      <c r="J475">
        <v>5</v>
      </c>
      <c r="K475">
        <v>31</v>
      </c>
      <c r="L475">
        <v>9</v>
      </c>
      <c r="M475">
        <v>0</v>
      </c>
      <c r="N475">
        <v>9</v>
      </c>
      <c r="O475" s="1" t="s">
        <v>19</v>
      </c>
      <c r="P475" s="1" t="s">
        <v>135</v>
      </c>
      <c r="Q475">
        <v>1245</v>
      </c>
      <c r="R475" s="1" t="s">
        <v>63</v>
      </c>
      <c r="S475">
        <v>18</v>
      </c>
      <c r="T475">
        <v>1</v>
      </c>
      <c r="U475">
        <v>4</v>
      </c>
      <c r="V475">
        <v>58</v>
      </c>
      <c r="W475">
        <v>2</v>
      </c>
      <c r="X475">
        <v>5</v>
      </c>
      <c r="Y475" s="1" t="s">
        <v>11</v>
      </c>
      <c r="Z475">
        <v>3</v>
      </c>
      <c r="AA475">
        <v>19502</v>
      </c>
      <c r="AB475">
        <v>2125</v>
      </c>
      <c r="AC475" s="1" t="s">
        <v>18</v>
      </c>
      <c r="AD475">
        <v>17</v>
      </c>
      <c r="AE475">
        <v>3</v>
      </c>
      <c r="AF475">
        <v>3</v>
      </c>
      <c r="AG475">
        <v>80</v>
      </c>
      <c r="AH475">
        <v>1</v>
      </c>
      <c r="AI475">
        <v>3</v>
      </c>
      <c r="AJ475">
        <v>0</v>
      </c>
      <c r="AK475" s="1" t="s">
        <v>136</v>
      </c>
    </row>
    <row r="476" spans="1:37" x14ac:dyDescent="0.25">
      <c r="A476">
        <v>639</v>
      </c>
      <c r="B476">
        <v>24</v>
      </c>
      <c r="C476" s="1" t="s">
        <v>25</v>
      </c>
      <c r="D476" s="1" t="s">
        <v>70</v>
      </c>
      <c r="E476">
        <v>3</v>
      </c>
      <c r="F476" s="1" t="s">
        <v>139</v>
      </c>
      <c r="G476">
        <v>1</v>
      </c>
      <c r="H476" s="1" t="s">
        <v>18</v>
      </c>
      <c r="I476">
        <v>6</v>
      </c>
      <c r="J476">
        <v>3</v>
      </c>
      <c r="K476">
        <v>6</v>
      </c>
      <c r="L476">
        <v>5</v>
      </c>
      <c r="M476">
        <v>1</v>
      </c>
      <c r="N476">
        <v>4</v>
      </c>
      <c r="O476" s="1" t="s">
        <v>19</v>
      </c>
      <c r="P476" s="1" t="s">
        <v>135</v>
      </c>
      <c r="Q476">
        <v>691</v>
      </c>
      <c r="R476" s="1" t="s">
        <v>63</v>
      </c>
      <c r="S476">
        <v>23</v>
      </c>
      <c r="T476">
        <v>1</v>
      </c>
      <c r="U476">
        <v>2</v>
      </c>
      <c r="V476">
        <v>89</v>
      </c>
      <c r="W476">
        <v>4</v>
      </c>
      <c r="X476">
        <v>1</v>
      </c>
      <c r="Y476" s="1" t="s">
        <v>5</v>
      </c>
      <c r="Z476">
        <v>4</v>
      </c>
      <c r="AA476">
        <v>2725</v>
      </c>
      <c r="AB476">
        <v>21630</v>
      </c>
      <c r="AC476" s="1" t="s">
        <v>18</v>
      </c>
      <c r="AD476">
        <v>11</v>
      </c>
      <c r="AE476">
        <v>3</v>
      </c>
      <c r="AF476">
        <v>2</v>
      </c>
      <c r="AG476">
        <v>80</v>
      </c>
      <c r="AH476">
        <v>2</v>
      </c>
      <c r="AI476">
        <v>3</v>
      </c>
      <c r="AJ476">
        <v>0</v>
      </c>
      <c r="AK476" s="1" t="s">
        <v>136</v>
      </c>
    </row>
    <row r="477" spans="1:37" x14ac:dyDescent="0.25">
      <c r="A477">
        <v>641</v>
      </c>
      <c r="B477">
        <v>26</v>
      </c>
      <c r="C477" s="1" t="s">
        <v>25</v>
      </c>
      <c r="D477" s="1" t="s">
        <v>70</v>
      </c>
      <c r="E477">
        <v>2</v>
      </c>
      <c r="F477" s="1" t="s">
        <v>142</v>
      </c>
      <c r="G477">
        <v>1</v>
      </c>
      <c r="H477" s="1" t="s">
        <v>18</v>
      </c>
      <c r="I477">
        <v>6</v>
      </c>
      <c r="J477">
        <v>5</v>
      </c>
      <c r="K477">
        <v>5</v>
      </c>
      <c r="L477">
        <v>3</v>
      </c>
      <c r="M477">
        <v>1</v>
      </c>
      <c r="N477">
        <v>4</v>
      </c>
      <c r="O477" s="1" t="s">
        <v>19</v>
      </c>
      <c r="P477" s="1" t="s">
        <v>135</v>
      </c>
      <c r="Q477">
        <v>703</v>
      </c>
      <c r="R477" s="1" t="s">
        <v>64</v>
      </c>
      <c r="S477">
        <v>28</v>
      </c>
      <c r="T477">
        <v>1</v>
      </c>
      <c r="U477">
        <v>1</v>
      </c>
      <c r="V477">
        <v>66</v>
      </c>
      <c r="W477">
        <v>3</v>
      </c>
      <c r="X477">
        <v>2</v>
      </c>
      <c r="Y477" s="1" t="s">
        <v>4</v>
      </c>
      <c r="Z477">
        <v>2</v>
      </c>
      <c r="AA477">
        <v>6272</v>
      </c>
      <c r="AB477">
        <v>7428</v>
      </c>
      <c r="AC477" s="1" t="s">
        <v>19</v>
      </c>
      <c r="AD477">
        <v>20</v>
      </c>
      <c r="AE477">
        <v>4</v>
      </c>
      <c r="AF477">
        <v>4</v>
      </c>
      <c r="AG477">
        <v>80</v>
      </c>
      <c r="AH477">
        <v>2</v>
      </c>
      <c r="AI477">
        <v>4</v>
      </c>
      <c r="AJ477">
        <v>0</v>
      </c>
      <c r="AK477" s="1" t="s">
        <v>136</v>
      </c>
    </row>
    <row r="478" spans="1:37" x14ac:dyDescent="0.25">
      <c r="A478">
        <v>643</v>
      </c>
      <c r="B478">
        <v>24</v>
      </c>
      <c r="C478" s="1" t="s">
        <v>25</v>
      </c>
      <c r="D478" s="1" t="s">
        <v>70</v>
      </c>
      <c r="E478">
        <v>2</v>
      </c>
      <c r="F478" s="1" t="s">
        <v>138</v>
      </c>
      <c r="G478">
        <v>1</v>
      </c>
      <c r="H478" s="1" t="s">
        <v>18</v>
      </c>
      <c r="I478">
        <v>1</v>
      </c>
      <c r="J478">
        <v>2</v>
      </c>
      <c r="K478">
        <v>1</v>
      </c>
      <c r="L478">
        <v>0</v>
      </c>
      <c r="M478">
        <v>0</v>
      </c>
      <c r="N478">
        <v>0</v>
      </c>
      <c r="O478" s="1" t="s">
        <v>19</v>
      </c>
      <c r="P478" s="1" t="s">
        <v>135</v>
      </c>
      <c r="Q478">
        <v>823</v>
      </c>
      <c r="R478" s="1" t="s">
        <v>63</v>
      </c>
      <c r="S478">
        <v>17</v>
      </c>
      <c r="T478">
        <v>1</v>
      </c>
      <c r="U478">
        <v>4</v>
      </c>
      <c r="V478">
        <v>94</v>
      </c>
      <c r="W478">
        <v>2</v>
      </c>
      <c r="X478">
        <v>1</v>
      </c>
      <c r="Y478" s="1" t="s">
        <v>6</v>
      </c>
      <c r="Z478">
        <v>2</v>
      </c>
      <c r="AA478">
        <v>2127</v>
      </c>
      <c r="AB478">
        <v>9100</v>
      </c>
      <c r="AC478" s="1" t="s">
        <v>19</v>
      </c>
      <c r="AD478">
        <v>21</v>
      </c>
      <c r="AE478">
        <v>4</v>
      </c>
      <c r="AF478">
        <v>4</v>
      </c>
      <c r="AG478">
        <v>80</v>
      </c>
      <c r="AH478">
        <v>1</v>
      </c>
      <c r="AI478">
        <v>3</v>
      </c>
      <c r="AJ478">
        <v>0</v>
      </c>
      <c r="AK478" s="1" t="s">
        <v>136</v>
      </c>
    </row>
    <row r="479" spans="1:37" x14ac:dyDescent="0.25">
      <c r="A479">
        <v>644</v>
      </c>
      <c r="B479">
        <v>50</v>
      </c>
      <c r="C479" s="1" t="s">
        <v>25</v>
      </c>
      <c r="D479" s="1" t="s">
        <v>70</v>
      </c>
      <c r="E479">
        <v>3</v>
      </c>
      <c r="F479" s="1" t="s">
        <v>139</v>
      </c>
      <c r="G479">
        <v>1</v>
      </c>
      <c r="H479" s="1" t="s">
        <v>18</v>
      </c>
      <c r="I479">
        <v>32</v>
      </c>
      <c r="J479">
        <v>2</v>
      </c>
      <c r="K479">
        <v>32</v>
      </c>
      <c r="L479">
        <v>5</v>
      </c>
      <c r="M479">
        <v>10</v>
      </c>
      <c r="N479">
        <v>7</v>
      </c>
      <c r="O479" s="1" t="s">
        <v>19</v>
      </c>
      <c r="P479" s="1" t="s">
        <v>137</v>
      </c>
      <c r="Q479">
        <v>1246</v>
      </c>
      <c r="R479" s="1" t="s">
        <v>12</v>
      </c>
      <c r="S479">
        <v>3</v>
      </c>
      <c r="T479">
        <v>1</v>
      </c>
      <c r="U479">
        <v>1</v>
      </c>
      <c r="V479">
        <v>99</v>
      </c>
      <c r="W479">
        <v>3</v>
      </c>
      <c r="X479">
        <v>5</v>
      </c>
      <c r="Y479" s="1" t="s">
        <v>9</v>
      </c>
      <c r="Z479">
        <v>2</v>
      </c>
      <c r="AA479">
        <v>18200</v>
      </c>
      <c r="AB479">
        <v>7999</v>
      </c>
      <c r="AC479" s="1" t="s">
        <v>19</v>
      </c>
      <c r="AD479">
        <v>11</v>
      </c>
      <c r="AE479">
        <v>3</v>
      </c>
      <c r="AF479">
        <v>3</v>
      </c>
      <c r="AG479">
        <v>80</v>
      </c>
      <c r="AH479">
        <v>1</v>
      </c>
      <c r="AI479">
        <v>3</v>
      </c>
      <c r="AJ479">
        <v>0</v>
      </c>
      <c r="AK479" s="1" t="s">
        <v>140</v>
      </c>
    </row>
    <row r="480" spans="1:37" x14ac:dyDescent="0.25">
      <c r="A480">
        <v>645</v>
      </c>
      <c r="B480">
        <v>25</v>
      </c>
      <c r="C480" s="1" t="s">
        <v>25</v>
      </c>
      <c r="D480" s="1" t="s">
        <v>70</v>
      </c>
      <c r="E480">
        <v>1</v>
      </c>
      <c r="F480" s="1" t="s">
        <v>139</v>
      </c>
      <c r="G480">
        <v>1</v>
      </c>
      <c r="H480" s="1" t="s">
        <v>18</v>
      </c>
      <c r="I480">
        <v>7</v>
      </c>
      <c r="J480">
        <v>1</v>
      </c>
      <c r="K480">
        <v>7</v>
      </c>
      <c r="L480">
        <v>4</v>
      </c>
      <c r="M480">
        <v>0</v>
      </c>
      <c r="N480">
        <v>6</v>
      </c>
      <c r="O480" s="1" t="s">
        <v>19</v>
      </c>
      <c r="P480" s="1" t="s">
        <v>135</v>
      </c>
      <c r="Q480">
        <v>622</v>
      </c>
      <c r="R480" s="1" t="s">
        <v>64</v>
      </c>
      <c r="S480">
        <v>13</v>
      </c>
      <c r="T480">
        <v>1</v>
      </c>
      <c r="U480">
        <v>2</v>
      </c>
      <c r="V480">
        <v>40</v>
      </c>
      <c r="W480">
        <v>3</v>
      </c>
      <c r="X480">
        <v>1</v>
      </c>
      <c r="Y480" s="1" t="s">
        <v>10</v>
      </c>
      <c r="Z480">
        <v>3</v>
      </c>
      <c r="AA480">
        <v>2096</v>
      </c>
      <c r="AB480">
        <v>26376</v>
      </c>
      <c r="AC480" s="1" t="s">
        <v>19</v>
      </c>
      <c r="AD480">
        <v>11</v>
      </c>
      <c r="AE480">
        <v>3</v>
      </c>
      <c r="AF480">
        <v>3</v>
      </c>
      <c r="AG480">
        <v>80</v>
      </c>
      <c r="AH480">
        <v>0</v>
      </c>
      <c r="AI480">
        <v>3</v>
      </c>
      <c r="AJ480">
        <v>0</v>
      </c>
      <c r="AK480" s="1" t="s">
        <v>136</v>
      </c>
    </row>
    <row r="481" spans="1:37" x14ac:dyDescent="0.25">
      <c r="A481">
        <v>647</v>
      </c>
      <c r="B481">
        <v>24</v>
      </c>
      <c r="C481" s="1" t="s">
        <v>24</v>
      </c>
      <c r="D481" s="1" t="s">
        <v>70</v>
      </c>
      <c r="E481">
        <v>3</v>
      </c>
      <c r="F481" s="1" t="s">
        <v>134</v>
      </c>
      <c r="G481">
        <v>1</v>
      </c>
      <c r="H481" s="1" t="s">
        <v>18</v>
      </c>
      <c r="I481">
        <v>6</v>
      </c>
      <c r="J481">
        <v>4</v>
      </c>
      <c r="K481">
        <v>6</v>
      </c>
      <c r="L481">
        <v>3</v>
      </c>
      <c r="M481">
        <v>1</v>
      </c>
      <c r="N481">
        <v>2</v>
      </c>
      <c r="O481" s="1" t="s">
        <v>18</v>
      </c>
      <c r="P481" s="1" t="s">
        <v>137</v>
      </c>
      <c r="Q481">
        <v>1287</v>
      </c>
      <c r="R481" s="1" t="s">
        <v>63</v>
      </c>
      <c r="S481">
        <v>7</v>
      </c>
      <c r="T481">
        <v>1</v>
      </c>
      <c r="U481">
        <v>1</v>
      </c>
      <c r="V481">
        <v>55</v>
      </c>
      <c r="W481">
        <v>3</v>
      </c>
      <c r="X481">
        <v>1</v>
      </c>
      <c r="Y481" s="1" t="s">
        <v>6</v>
      </c>
      <c r="Z481">
        <v>3</v>
      </c>
      <c r="AA481">
        <v>2886</v>
      </c>
      <c r="AB481">
        <v>14168</v>
      </c>
      <c r="AC481" s="1" t="s">
        <v>18</v>
      </c>
      <c r="AD481">
        <v>16</v>
      </c>
      <c r="AE481">
        <v>3</v>
      </c>
      <c r="AF481">
        <v>4</v>
      </c>
      <c r="AG481">
        <v>80</v>
      </c>
      <c r="AH481">
        <v>1</v>
      </c>
      <c r="AI481">
        <v>3</v>
      </c>
      <c r="AJ481">
        <v>1</v>
      </c>
      <c r="AK481" s="1" t="s">
        <v>136</v>
      </c>
    </row>
    <row r="482" spans="1:37" x14ac:dyDescent="0.25">
      <c r="A482">
        <v>648</v>
      </c>
      <c r="B482">
        <v>30</v>
      </c>
      <c r="C482" s="1" t="s">
        <v>25</v>
      </c>
      <c r="D482" s="1" t="s">
        <v>70</v>
      </c>
      <c r="E482">
        <v>4</v>
      </c>
      <c r="F482" s="1" t="s">
        <v>134</v>
      </c>
      <c r="G482">
        <v>1</v>
      </c>
      <c r="H482" s="1" t="s">
        <v>18</v>
      </c>
      <c r="I482">
        <v>1</v>
      </c>
      <c r="J482">
        <v>2</v>
      </c>
      <c r="K482">
        <v>1</v>
      </c>
      <c r="L482">
        <v>0</v>
      </c>
      <c r="M482">
        <v>0</v>
      </c>
      <c r="N482">
        <v>0</v>
      </c>
      <c r="O482" s="1" t="s">
        <v>18</v>
      </c>
      <c r="P482" s="1" t="s">
        <v>137</v>
      </c>
      <c r="Q482">
        <v>448</v>
      </c>
      <c r="R482" s="1" t="s">
        <v>64</v>
      </c>
      <c r="S482">
        <v>12</v>
      </c>
      <c r="T482">
        <v>1</v>
      </c>
      <c r="U482">
        <v>2</v>
      </c>
      <c r="V482">
        <v>74</v>
      </c>
      <c r="W482">
        <v>2</v>
      </c>
      <c r="X482">
        <v>1</v>
      </c>
      <c r="Y482" s="1" t="s">
        <v>10</v>
      </c>
      <c r="Z482">
        <v>1</v>
      </c>
      <c r="AA482">
        <v>2033</v>
      </c>
      <c r="AB482">
        <v>14470</v>
      </c>
      <c r="AC482" s="1" t="s">
        <v>19</v>
      </c>
      <c r="AD482">
        <v>18</v>
      </c>
      <c r="AE482">
        <v>3</v>
      </c>
      <c r="AF482">
        <v>3</v>
      </c>
      <c r="AG482">
        <v>80</v>
      </c>
      <c r="AH482">
        <v>1</v>
      </c>
      <c r="AI482">
        <v>4</v>
      </c>
      <c r="AJ482">
        <v>1</v>
      </c>
      <c r="AK482" s="1" t="s">
        <v>136</v>
      </c>
    </row>
    <row r="483" spans="1:37" x14ac:dyDescent="0.25">
      <c r="A483">
        <v>649</v>
      </c>
      <c r="B483">
        <v>34</v>
      </c>
      <c r="C483" s="1" t="s">
        <v>25</v>
      </c>
      <c r="D483" s="1" t="s">
        <v>70</v>
      </c>
      <c r="E483">
        <v>2</v>
      </c>
      <c r="F483" s="1" t="s">
        <v>134</v>
      </c>
      <c r="G483">
        <v>1</v>
      </c>
      <c r="H483" s="1" t="s">
        <v>18</v>
      </c>
      <c r="I483">
        <v>6</v>
      </c>
      <c r="J483">
        <v>3</v>
      </c>
      <c r="K483">
        <v>6</v>
      </c>
      <c r="L483">
        <v>5</v>
      </c>
      <c r="M483">
        <v>1</v>
      </c>
      <c r="N483">
        <v>3</v>
      </c>
      <c r="O483" s="1" t="s">
        <v>19</v>
      </c>
      <c r="P483" s="1" t="s">
        <v>135</v>
      </c>
      <c r="Q483">
        <v>254</v>
      </c>
      <c r="R483" s="1" t="s">
        <v>63</v>
      </c>
      <c r="S483">
        <v>1</v>
      </c>
      <c r="T483">
        <v>1</v>
      </c>
      <c r="U483">
        <v>2</v>
      </c>
      <c r="V483">
        <v>83</v>
      </c>
      <c r="W483">
        <v>2</v>
      </c>
      <c r="X483">
        <v>1</v>
      </c>
      <c r="Y483" s="1" t="s">
        <v>5</v>
      </c>
      <c r="Z483">
        <v>4</v>
      </c>
      <c r="AA483">
        <v>3622</v>
      </c>
      <c r="AB483">
        <v>22794</v>
      </c>
      <c r="AC483" s="1" t="s">
        <v>18</v>
      </c>
      <c r="AD483">
        <v>13</v>
      </c>
      <c r="AE483">
        <v>3</v>
      </c>
      <c r="AF483">
        <v>4</v>
      </c>
      <c r="AG483">
        <v>80</v>
      </c>
      <c r="AH483">
        <v>1</v>
      </c>
      <c r="AI483">
        <v>3</v>
      </c>
      <c r="AJ483">
        <v>0</v>
      </c>
      <c r="AK483" s="1" t="s">
        <v>136</v>
      </c>
    </row>
    <row r="484" spans="1:37" x14ac:dyDescent="0.25">
      <c r="A484">
        <v>650</v>
      </c>
      <c r="B484">
        <v>31</v>
      </c>
      <c r="C484" s="1" t="s">
        <v>25</v>
      </c>
      <c r="D484" s="1" t="s">
        <v>69</v>
      </c>
      <c r="E484">
        <v>4</v>
      </c>
      <c r="F484" s="1" t="s">
        <v>139</v>
      </c>
      <c r="G484">
        <v>2</v>
      </c>
      <c r="H484" s="1" t="s">
        <v>18</v>
      </c>
      <c r="I484">
        <v>9</v>
      </c>
      <c r="J484">
        <v>2</v>
      </c>
      <c r="K484">
        <v>3</v>
      </c>
      <c r="L484">
        <v>1</v>
      </c>
      <c r="M484">
        <v>1</v>
      </c>
      <c r="N484">
        <v>2</v>
      </c>
      <c r="O484" s="1" t="s">
        <v>18</v>
      </c>
      <c r="P484" s="1" t="s">
        <v>135</v>
      </c>
      <c r="Q484">
        <v>1365</v>
      </c>
      <c r="R484" s="1" t="s">
        <v>64</v>
      </c>
      <c r="S484">
        <v>13</v>
      </c>
      <c r="T484">
        <v>1</v>
      </c>
      <c r="U484">
        <v>2</v>
      </c>
      <c r="V484">
        <v>46</v>
      </c>
      <c r="W484">
        <v>3</v>
      </c>
      <c r="X484">
        <v>2</v>
      </c>
      <c r="Y484" s="1" t="s">
        <v>4</v>
      </c>
      <c r="Z484">
        <v>1</v>
      </c>
      <c r="AA484">
        <v>4233</v>
      </c>
      <c r="AB484">
        <v>11512</v>
      </c>
      <c r="AC484" s="1" t="s">
        <v>19</v>
      </c>
      <c r="AD484">
        <v>17</v>
      </c>
      <c r="AE484">
        <v>3</v>
      </c>
      <c r="AF484">
        <v>3</v>
      </c>
      <c r="AG484">
        <v>80</v>
      </c>
      <c r="AH484">
        <v>0</v>
      </c>
      <c r="AI484">
        <v>1</v>
      </c>
      <c r="AJ484">
        <v>1</v>
      </c>
      <c r="AK484" s="1" t="s">
        <v>136</v>
      </c>
    </row>
    <row r="485" spans="1:37" x14ac:dyDescent="0.25">
      <c r="A485">
        <v>652</v>
      </c>
      <c r="B485">
        <v>35</v>
      </c>
      <c r="C485" s="1" t="s">
        <v>25</v>
      </c>
      <c r="D485" s="1" t="s">
        <v>71</v>
      </c>
      <c r="E485">
        <v>2</v>
      </c>
      <c r="F485" s="1" t="s">
        <v>138</v>
      </c>
      <c r="G485">
        <v>4</v>
      </c>
      <c r="H485" s="1" t="s">
        <v>18</v>
      </c>
      <c r="I485">
        <v>9</v>
      </c>
      <c r="J485">
        <v>3</v>
      </c>
      <c r="K485">
        <v>3</v>
      </c>
      <c r="L485">
        <v>2</v>
      </c>
      <c r="M485">
        <v>0</v>
      </c>
      <c r="N485">
        <v>2</v>
      </c>
      <c r="O485" s="1" t="s">
        <v>19</v>
      </c>
      <c r="P485" s="1" t="s">
        <v>135</v>
      </c>
      <c r="Q485">
        <v>538</v>
      </c>
      <c r="R485" s="1" t="s">
        <v>63</v>
      </c>
      <c r="S485">
        <v>25</v>
      </c>
      <c r="T485">
        <v>1</v>
      </c>
      <c r="U485">
        <v>1</v>
      </c>
      <c r="V485">
        <v>54</v>
      </c>
      <c r="W485">
        <v>2</v>
      </c>
      <c r="X485">
        <v>2</v>
      </c>
      <c r="Y485" s="1" t="s">
        <v>6</v>
      </c>
      <c r="Z485">
        <v>4</v>
      </c>
      <c r="AA485">
        <v>3681</v>
      </c>
      <c r="AB485">
        <v>14004</v>
      </c>
      <c r="AC485" s="1" t="s">
        <v>19</v>
      </c>
      <c r="AD485">
        <v>14</v>
      </c>
      <c r="AE485">
        <v>3</v>
      </c>
      <c r="AF485">
        <v>4</v>
      </c>
      <c r="AG485">
        <v>80</v>
      </c>
      <c r="AH485">
        <v>0</v>
      </c>
      <c r="AI485">
        <v>3</v>
      </c>
      <c r="AJ485">
        <v>0</v>
      </c>
      <c r="AK485" s="1" t="s">
        <v>136</v>
      </c>
    </row>
    <row r="486" spans="1:37" x14ac:dyDescent="0.25">
      <c r="A486">
        <v>653</v>
      </c>
      <c r="B486">
        <v>31</v>
      </c>
      <c r="C486" s="1" t="s">
        <v>25</v>
      </c>
      <c r="D486" s="1" t="s">
        <v>69</v>
      </c>
      <c r="E486">
        <v>4</v>
      </c>
      <c r="F486" s="1" t="s">
        <v>139</v>
      </c>
      <c r="G486">
        <v>4</v>
      </c>
      <c r="H486" s="1" t="s">
        <v>18</v>
      </c>
      <c r="I486">
        <v>13</v>
      </c>
      <c r="J486">
        <v>4</v>
      </c>
      <c r="K486">
        <v>7</v>
      </c>
      <c r="L486">
        <v>7</v>
      </c>
      <c r="M486">
        <v>5</v>
      </c>
      <c r="N486">
        <v>7</v>
      </c>
      <c r="O486" s="1" t="s">
        <v>19</v>
      </c>
      <c r="P486" s="1" t="s">
        <v>135</v>
      </c>
      <c r="Q486">
        <v>525</v>
      </c>
      <c r="R486" s="1" t="s">
        <v>64</v>
      </c>
      <c r="S486">
        <v>6</v>
      </c>
      <c r="T486">
        <v>1</v>
      </c>
      <c r="U486">
        <v>1</v>
      </c>
      <c r="V486">
        <v>66</v>
      </c>
      <c r="W486">
        <v>4</v>
      </c>
      <c r="X486">
        <v>2</v>
      </c>
      <c r="Y486" s="1" t="s">
        <v>4</v>
      </c>
      <c r="Z486">
        <v>4</v>
      </c>
      <c r="AA486">
        <v>5460</v>
      </c>
      <c r="AB486">
        <v>6219</v>
      </c>
      <c r="AC486" s="1" t="s">
        <v>19</v>
      </c>
      <c r="AD486">
        <v>22</v>
      </c>
      <c r="AE486">
        <v>4</v>
      </c>
      <c r="AF486">
        <v>4</v>
      </c>
      <c r="AG486">
        <v>80</v>
      </c>
      <c r="AH486">
        <v>2</v>
      </c>
      <c r="AI486">
        <v>4</v>
      </c>
      <c r="AJ486">
        <v>0</v>
      </c>
      <c r="AK486" s="1" t="s">
        <v>136</v>
      </c>
    </row>
    <row r="487" spans="1:37" x14ac:dyDescent="0.25">
      <c r="A487">
        <v>655</v>
      </c>
      <c r="B487">
        <v>27</v>
      </c>
      <c r="C487" s="1" t="s">
        <v>24</v>
      </c>
      <c r="D487" s="1" t="s">
        <v>69</v>
      </c>
      <c r="E487">
        <v>4</v>
      </c>
      <c r="F487" s="1" t="s">
        <v>139</v>
      </c>
      <c r="G487">
        <v>0</v>
      </c>
      <c r="H487" s="1" t="s">
        <v>18</v>
      </c>
      <c r="I487">
        <v>6</v>
      </c>
      <c r="J487">
        <v>5</v>
      </c>
      <c r="K487">
        <v>5</v>
      </c>
      <c r="L487">
        <v>3</v>
      </c>
      <c r="M487">
        <v>0</v>
      </c>
      <c r="N487">
        <v>3</v>
      </c>
      <c r="O487" s="1" t="s">
        <v>19</v>
      </c>
      <c r="P487" s="1" t="s">
        <v>135</v>
      </c>
      <c r="Q487">
        <v>798</v>
      </c>
      <c r="R487" s="1" t="s">
        <v>63</v>
      </c>
      <c r="S487">
        <v>6</v>
      </c>
      <c r="T487">
        <v>1</v>
      </c>
      <c r="U487">
        <v>1</v>
      </c>
      <c r="V487">
        <v>66</v>
      </c>
      <c r="W487">
        <v>2</v>
      </c>
      <c r="X487">
        <v>1</v>
      </c>
      <c r="Y487" s="1" t="s">
        <v>5</v>
      </c>
      <c r="Z487">
        <v>3</v>
      </c>
      <c r="AA487">
        <v>2187</v>
      </c>
      <c r="AB487">
        <v>5013</v>
      </c>
      <c r="AC487" s="1" t="s">
        <v>19</v>
      </c>
      <c r="AD487">
        <v>12</v>
      </c>
      <c r="AE487">
        <v>3</v>
      </c>
      <c r="AF487">
        <v>3</v>
      </c>
      <c r="AG487">
        <v>80</v>
      </c>
      <c r="AH487">
        <v>2</v>
      </c>
      <c r="AI487">
        <v>2</v>
      </c>
      <c r="AJ487">
        <v>0</v>
      </c>
      <c r="AK487" s="1" t="s">
        <v>136</v>
      </c>
    </row>
    <row r="488" spans="1:37" x14ac:dyDescent="0.25">
      <c r="A488">
        <v>656</v>
      </c>
      <c r="B488">
        <v>37</v>
      </c>
      <c r="C488" s="1" t="s">
        <v>25</v>
      </c>
      <c r="D488" s="1" t="s">
        <v>70</v>
      </c>
      <c r="E488">
        <v>3</v>
      </c>
      <c r="F488" s="1" t="s">
        <v>142</v>
      </c>
      <c r="G488">
        <v>4</v>
      </c>
      <c r="H488" s="1" t="s">
        <v>18</v>
      </c>
      <c r="I488">
        <v>17</v>
      </c>
      <c r="J488">
        <v>3</v>
      </c>
      <c r="K488">
        <v>3</v>
      </c>
      <c r="L488">
        <v>0</v>
      </c>
      <c r="M488">
        <v>1</v>
      </c>
      <c r="N488">
        <v>0</v>
      </c>
      <c r="O488" s="1" t="s">
        <v>19</v>
      </c>
      <c r="P488" s="1" t="s">
        <v>135</v>
      </c>
      <c r="Q488">
        <v>558</v>
      </c>
      <c r="R488" s="1" t="s">
        <v>64</v>
      </c>
      <c r="S488">
        <v>2</v>
      </c>
      <c r="T488">
        <v>1</v>
      </c>
      <c r="U488">
        <v>4</v>
      </c>
      <c r="V488">
        <v>75</v>
      </c>
      <c r="W488">
        <v>3</v>
      </c>
      <c r="X488">
        <v>2</v>
      </c>
      <c r="Y488" s="1" t="s">
        <v>4</v>
      </c>
      <c r="Z488">
        <v>3</v>
      </c>
      <c r="AA488">
        <v>9602</v>
      </c>
      <c r="AB488">
        <v>3010</v>
      </c>
      <c r="AC488" s="1" t="s">
        <v>18</v>
      </c>
      <c r="AD488">
        <v>11</v>
      </c>
      <c r="AE488">
        <v>3</v>
      </c>
      <c r="AF488">
        <v>3</v>
      </c>
      <c r="AG488">
        <v>80</v>
      </c>
      <c r="AH488">
        <v>1</v>
      </c>
      <c r="AI488">
        <v>2</v>
      </c>
      <c r="AJ488">
        <v>0</v>
      </c>
      <c r="AK488" s="1" t="s">
        <v>136</v>
      </c>
    </row>
    <row r="489" spans="1:37" x14ac:dyDescent="0.25">
      <c r="A489">
        <v>657</v>
      </c>
      <c r="B489">
        <v>20</v>
      </c>
      <c r="C489" s="1" t="s">
        <v>24</v>
      </c>
      <c r="D489" s="1" t="s">
        <v>71</v>
      </c>
      <c r="E489">
        <v>3</v>
      </c>
      <c r="F489" s="1" t="s">
        <v>134</v>
      </c>
      <c r="G489">
        <v>1</v>
      </c>
      <c r="H489" s="1" t="s">
        <v>18</v>
      </c>
      <c r="I489">
        <v>1</v>
      </c>
      <c r="J489">
        <v>0</v>
      </c>
      <c r="K489">
        <v>1</v>
      </c>
      <c r="L489">
        <v>0</v>
      </c>
      <c r="M489">
        <v>0</v>
      </c>
      <c r="N489">
        <v>0</v>
      </c>
      <c r="O489" s="1" t="s">
        <v>19</v>
      </c>
      <c r="P489" s="1" t="s">
        <v>135</v>
      </c>
      <c r="Q489">
        <v>959</v>
      </c>
      <c r="R489" s="1" t="s">
        <v>63</v>
      </c>
      <c r="S489">
        <v>1</v>
      </c>
      <c r="T489">
        <v>1</v>
      </c>
      <c r="U489">
        <v>4</v>
      </c>
      <c r="V489">
        <v>83</v>
      </c>
      <c r="W489">
        <v>2</v>
      </c>
      <c r="X489">
        <v>1</v>
      </c>
      <c r="Y489" s="1" t="s">
        <v>5</v>
      </c>
      <c r="Z489">
        <v>2</v>
      </c>
      <c r="AA489">
        <v>2836</v>
      </c>
      <c r="AB489">
        <v>11757</v>
      </c>
      <c r="AC489" s="1" t="s">
        <v>19</v>
      </c>
      <c r="AD489">
        <v>13</v>
      </c>
      <c r="AE489">
        <v>3</v>
      </c>
      <c r="AF489">
        <v>4</v>
      </c>
      <c r="AG489">
        <v>80</v>
      </c>
      <c r="AH489">
        <v>0</v>
      </c>
      <c r="AI489">
        <v>4</v>
      </c>
      <c r="AJ489">
        <v>0</v>
      </c>
      <c r="AK489" s="1" t="s">
        <v>136</v>
      </c>
    </row>
    <row r="490" spans="1:37" x14ac:dyDescent="0.25">
      <c r="A490">
        <v>659</v>
      </c>
      <c r="B490">
        <v>42</v>
      </c>
      <c r="C490" s="1" t="s">
        <v>24</v>
      </c>
      <c r="D490" s="1" t="s">
        <v>70</v>
      </c>
      <c r="E490">
        <v>4</v>
      </c>
      <c r="F490" s="1" t="s">
        <v>134</v>
      </c>
      <c r="G490">
        <v>1</v>
      </c>
      <c r="H490" s="1" t="s">
        <v>18</v>
      </c>
      <c r="I490">
        <v>10</v>
      </c>
      <c r="J490">
        <v>4</v>
      </c>
      <c r="K490">
        <v>10</v>
      </c>
      <c r="L490">
        <v>2</v>
      </c>
      <c r="M490">
        <v>2</v>
      </c>
      <c r="N490">
        <v>2</v>
      </c>
      <c r="O490" s="1" t="s">
        <v>19</v>
      </c>
      <c r="P490" s="1" t="s">
        <v>135</v>
      </c>
      <c r="Q490">
        <v>622</v>
      </c>
      <c r="R490" s="1" t="s">
        <v>63</v>
      </c>
      <c r="S490">
        <v>2</v>
      </c>
      <c r="T490">
        <v>1</v>
      </c>
      <c r="U490">
        <v>3</v>
      </c>
      <c r="V490">
        <v>81</v>
      </c>
      <c r="W490">
        <v>3</v>
      </c>
      <c r="X490">
        <v>2</v>
      </c>
      <c r="Y490" s="1" t="s">
        <v>8</v>
      </c>
      <c r="Z490">
        <v>4</v>
      </c>
      <c r="AA490">
        <v>4089</v>
      </c>
      <c r="AB490">
        <v>5718</v>
      </c>
      <c r="AC490" s="1" t="s">
        <v>19</v>
      </c>
      <c r="AD490">
        <v>13</v>
      </c>
      <c r="AE490">
        <v>3</v>
      </c>
      <c r="AF490">
        <v>2</v>
      </c>
      <c r="AG490">
        <v>80</v>
      </c>
      <c r="AH490">
        <v>2</v>
      </c>
      <c r="AI490">
        <v>3</v>
      </c>
      <c r="AJ490">
        <v>0</v>
      </c>
      <c r="AK490" s="1" t="s">
        <v>136</v>
      </c>
    </row>
    <row r="491" spans="1:37" x14ac:dyDescent="0.25">
      <c r="A491">
        <v>661</v>
      </c>
      <c r="B491">
        <v>43</v>
      </c>
      <c r="C491" s="1" t="s">
        <v>25</v>
      </c>
      <c r="D491" s="1" t="s">
        <v>69</v>
      </c>
      <c r="E491">
        <v>4</v>
      </c>
      <c r="F491" s="1" t="s">
        <v>138</v>
      </c>
      <c r="G491">
        <v>4</v>
      </c>
      <c r="H491" s="1" t="s">
        <v>18</v>
      </c>
      <c r="I491">
        <v>21</v>
      </c>
      <c r="J491">
        <v>3</v>
      </c>
      <c r="K491">
        <v>1</v>
      </c>
      <c r="L491">
        <v>0</v>
      </c>
      <c r="M491">
        <v>0</v>
      </c>
      <c r="N491">
        <v>0</v>
      </c>
      <c r="O491" s="1" t="s">
        <v>19</v>
      </c>
      <c r="P491" s="1" t="s">
        <v>135</v>
      </c>
      <c r="Q491">
        <v>782</v>
      </c>
      <c r="R491" s="1" t="s">
        <v>63</v>
      </c>
      <c r="S491">
        <v>6</v>
      </c>
      <c r="T491">
        <v>1</v>
      </c>
      <c r="U491">
        <v>2</v>
      </c>
      <c r="V491">
        <v>50</v>
      </c>
      <c r="W491">
        <v>2</v>
      </c>
      <c r="X491">
        <v>4</v>
      </c>
      <c r="Y491" s="1" t="s">
        <v>11</v>
      </c>
      <c r="Z491">
        <v>4</v>
      </c>
      <c r="AA491">
        <v>16627</v>
      </c>
      <c r="AB491">
        <v>2671</v>
      </c>
      <c r="AC491" s="1" t="s">
        <v>18</v>
      </c>
      <c r="AD491">
        <v>14</v>
      </c>
      <c r="AE491">
        <v>3</v>
      </c>
      <c r="AF491">
        <v>3</v>
      </c>
      <c r="AG491">
        <v>80</v>
      </c>
      <c r="AH491">
        <v>1</v>
      </c>
      <c r="AI491">
        <v>2</v>
      </c>
      <c r="AJ491">
        <v>0</v>
      </c>
      <c r="AK491" s="1" t="s">
        <v>136</v>
      </c>
    </row>
    <row r="492" spans="1:37" x14ac:dyDescent="0.25">
      <c r="A492">
        <v>662</v>
      </c>
      <c r="B492">
        <v>38</v>
      </c>
      <c r="C492" s="1" t="s">
        <v>24</v>
      </c>
      <c r="D492" s="1" t="s">
        <v>71</v>
      </c>
      <c r="E492">
        <v>1</v>
      </c>
      <c r="F492" s="1" t="s">
        <v>134</v>
      </c>
      <c r="G492">
        <v>3</v>
      </c>
      <c r="H492" s="1" t="s">
        <v>18</v>
      </c>
      <c r="I492">
        <v>8</v>
      </c>
      <c r="J492">
        <v>3</v>
      </c>
      <c r="K492">
        <v>0</v>
      </c>
      <c r="L492">
        <v>0</v>
      </c>
      <c r="M492">
        <v>0</v>
      </c>
      <c r="N492">
        <v>0</v>
      </c>
      <c r="O492" s="1" t="s">
        <v>19</v>
      </c>
      <c r="P492" s="1" t="s">
        <v>135</v>
      </c>
      <c r="Q492">
        <v>362</v>
      </c>
      <c r="R492" s="1" t="s">
        <v>63</v>
      </c>
      <c r="S492">
        <v>1</v>
      </c>
      <c r="T492">
        <v>1</v>
      </c>
      <c r="U492">
        <v>3</v>
      </c>
      <c r="V492">
        <v>43</v>
      </c>
      <c r="W492">
        <v>3</v>
      </c>
      <c r="X492">
        <v>1</v>
      </c>
      <c r="Y492" s="1" t="s">
        <v>5</v>
      </c>
      <c r="Z492">
        <v>1</v>
      </c>
      <c r="AA492">
        <v>2619</v>
      </c>
      <c r="AB492">
        <v>14561</v>
      </c>
      <c r="AC492" s="1" t="s">
        <v>19</v>
      </c>
      <c r="AD492">
        <v>17</v>
      </c>
      <c r="AE492">
        <v>3</v>
      </c>
      <c r="AF492">
        <v>4</v>
      </c>
      <c r="AG492">
        <v>80</v>
      </c>
      <c r="AH492">
        <v>0</v>
      </c>
      <c r="AI492">
        <v>2</v>
      </c>
      <c r="AJ492">
        <v>0</v>
      </c>
      <c r="AK492" s="1" t="s">
        <v>136</v>
      </c>
    </row>
    <row r="493" spans="1:37" x14ac:dyDescent="0.25">
      <c r="A493">
        <v>663</v>
      </c>
      <c r="B493">
        <v>43</v>
      </c>
      <c r="C493" s="1" t="s">
        <v>25</v>
      </c>
      <c r="D493" s="1" t="s">
        <v>69</v>
      </c>
      <c r="E493">
        <v>5</v>
      </c>
      <c r="F493" s="1" t="s">
        <v>139</v>
      </c>
      <c r="G493">
        <v>3</v>
      </c>
      <c r="H493" s="1" t="s">
        <v>18</v>
      </c>
      <c r="I493">
        <v>10</v>
      </c>
      <c r="J493">
        <v>3</v>
      </c>
      <c r="K493">
        <v>8</v>
      </c>
      <c r="L493">
        <v>7</v>
      </c>
      <c r="M493">
        <v>4</v>
      </c>
      <c r="N493">
        <v>7</v>
      </c>
      <c r="O493" s="1" t="s">
        <v>19</v>
      </c>
      <c r="P493" s="1" t="s">
        <v>137</v>
      </c>
      <c r="Q493">
        <v>1001</v>
      </c>
      <c r="R493" s="1" t="s">
        <v>63</v>
      </c>
      <c r="S493">
        <v>9</v>
      </c>
      <c r="T493">
        <v>1</v>
      </c>
      <c r="U493">
        <v>4</v>
      </c>
      <c r="V493">
        <v>72</v>
      </c>
      <c r="W493">
        <v>3</v>
      </c>
      <c r="X493">
        <v>2</v>
      </c>
      <c r="Y493" s="1" t="s">
        <v>6</v>
      </c>
      <c r="Z493">
        <v>3</v>
      </c>
      <c r="AA493">
        <v>5679</v>
      </c>
      <c r="AB493">
        <v>19627</v>
      </c>
      <c r="AC493" s="1" t="s">
        <v>18</v>
      </c>
      <c r="AD493">
        <v>13</v>
      </c>
      <c r="AE493">
        <v>3</v>
      </c>
      <c r="AF493">
        <v>2</v>
      </c>
      <c r="AG493">
        <v>80</v>
      </c>
      <c r="AH493">
        <v>1</v>
      </c>
      <c r="AI493">
        <v>3</v>
      </c>
      <c r="AJ493">
        <v>0</v>
      </c>
      <c r="AK493" s="1" t="s">
        <v>136</v>
      </c>
    </row>
    <row r="494" spans="1:37" x14ac:dyDescent="0.25">
      <c r="A494">
        <v>664</v>
      </c>
      <c r="B494">
        <v>48</v>
      </c>
      <c r="C494" s="1" t="s">
        <v>24</v>
      </c>
      <c r="D494" s="1" t="s">
        <v>70</v>
      </c>
      <c r="E494">
        <v>4</v>
      </c>
      <c r="F494" s="1" t="s">
        <v>134</v>
      </c>
      <c r="G494">
        <v>7</v>
      </c>
      <c r="H494" s="1" t="s">
        <v>18</v>
      </c>
      <c r="I494">
        <v>21</v>
      </c>
      <c r="J494">
        <v>3</v>
      </c>
      <c r="K494">
        <v>3</v>
      </c>
      <c r="L494">
        <v>2</v>
      </c>
      <c r="M494">
        <v>0</v>
      </c>
      <c r="N494">
        <v>2</v>
      </c>
      <c r="O494" s="1" t="s">
        <v>19</v>
      </c>
      <c r="P494" s="1" t="s">
        <v>135</v>
      </c>
      <c r="Q494">
        <v>1236</v>
      </c>
      <c r="R494" s="1" t="s">
        <v>63</v>
      </c>
      <c r="S494">
        <v>1</v>
      </c>
      <c r="T494">
        <v>1</v>
      </c>
      <c r="U494">
        <v>4</v>
      </c>
      <c r="V494">
        <v>40</v>
      </c>
      <c r="W494">
        <v>2</v>
      </c>
      <c r="X494">
        <v>4</v>
      </c>
      <c r="Y494" s="1" t="s">
        <v>9</v>
      </c>
      <c r="Z494">
        <v>1</v>
      </c>
      <c r="AA494">
        <v>15402</v>
      </c>
      <c r="AB494">
        <v>17997</v>
      </c>
      <c r="AC494" s="1" t="s">
        <v>19</v>
      </c>
      <c r="AD494">
        <v>11</v>
      </c>
      <c r="AE494">
        <v>3</v>
      </c>
      <c r="AF494">
        <v>1</v>
      </c>
      <c r="AG494">
        <v>80</v>
      </c>
      <c r="AH494">
        <v>1</v>
      </c>
      <c r="AI494">
        <v>1</v>
      </c>
      <c r="AJ494">
        <v>0</v>
      </c>
      <c r="AK494" s="1" t="s">
        <v>136</v>
      </c>
    </row>
    <row r="495" spans="1:37" x14ac:dyDescent="0.25">
      <c r="A495">
        <v>665</v>
      </c>
      <c r="B495">
        <v>44</v>
      </c>
      <c r="C495" s="1" t="s">
        <v>24</v>
      </c>
      <c r="D495" s="1" t="s">
        <v>71</v>
      </c>
      <c r="E495">
        <v>4</v>
      </c>
      <c r="F495" s="1" t="s">
        <v>134</v>
      </c>
      <c r="G495">
        <v>4</v>
      </c>
      <c r="H495" s="1" t="s">
        <v>18</v>
      </c>
      <c r="I495">
        <v>10</v>
      </c>
      <c r="J495">
        <v>1</v>
      </c>
      <c r="K495">
        <v>2</v>
      </c>
      <c r="L495">
        <v>2</v>
      </c>
      <c r="M495">
        <v>0</v>
      </c>
      <c r="N495">
        <v>2</v>
      </c>
      <c r="O495" s="1" t="s">
        <v>19</v>
      </c>
      <c r="P495" s="1" t="s">
        <v>135</v>
      </c>
      <c r="Q495">
        <v>1112</v>
      </c>
      <c r="R495" s="1" t="s">
        <v>12</v>
      </c>
      <c r="S495">
        <v>1</v>
      </c>
      <c r="T495">
        <v>1</v>
      </c>
      <c r="U495">
        <v>1</v>
      </c>
      <c r="V495">
        <v>50</v>
      </c>
      <c r="W495">
        <v>2</v>
      </c>
      <c r="X495">
        <v>2</v>
      </c>
      <c r="Y495" s="1" t="s">
        <v>12</v>
      </c>
      <c r="Z495">
        <v>3</v>
      </c>
      <c r="AA495">
        <v>5985</v>
      </c>
      <c r="AB495">
        <v>26894</v>
      </c>
      <c r="AC495" s="1" t="s">
        <v>19</v>
      </c>
      <c r="AD495">
        <v>11</v>
      </c>
      <c r="AE495">
        <v>3</v>
      </c>
      <c r="AF495">
        <v>2</v>
      </c>
      <c r="AG495">
        <v>80</v>
      </c>
      <c r="AH495">
        <v>0</v>
      </c>
      <c r="AI495">
        <v>4</v>
      </c>
      <c r="AJ495">
        <v>0</v>
      </c>
      <c r="AK495" s="1" t="s">
        <v>136</v>
      </c>
    </row>
    <row r="496" spans="1:37" x14ac:dyDescent="0.25">
      <c r="A496">
        <v>666</v>
      </c>
      <c r="B496">
        <v>34</v>
      </c>
      <c r="C496" s="1" t="s">
        <v>24</v>
      </c>
      <c r="D496" s="1" t="s">
        <v>69</v>
      </c>
      <c r="E496">
        <v>3</v>
      </c>
      <c r="F496" s="1" t="s">
        <v>143</v>
      </c>
      <c r="G496">
        <v>1</v>
      </c>
      <c r="H496" s="1" t="s">
        <v>18</v>
      </c>
      <c r="I496">
        <v>8</v>
      </c>
      <c r="J496">
        <v>3</v>
      </c>
      <c r="K496">
        <v>8</v>
      </c>
      <c r="L496">
        <v>2</v>
      </c>
      <c r="M496">
        <v>0</v>
      </c>
      <c r="N496">
        <v>6</v>
      </c>
      <c r="O496" s="1" t="s">
        <v>19</v>
      </c>
      <c r="P496" s="1" t="s">
        <v>135</v>
      </c>
      <c r="Q496">
        <v>204</v>
      </c>
      <c r="R496" s="1" t="s">
        <v>64</v>
      </c>
      <c r="S496">
        <v>14</v>
      </c>
      <c r="T496">
        <v>1</v>
      </c>
      <c r="U496">
        <v>3</v>
      </c>
      <c r="V496">
        <v>31</v>
      </c>
      <c r="W496">
        <v>3</v>
      </c>
      <c r="X496">
        <v>1</v>
      </c>
      <c r="Y496" s="1" t="s">
        <v>10</v>
      </c>
      <c r="Z496">
        <v>3</v>
      </c>
      <c r="AA496">
        <v>2579</v>
      </c>
      <c r="AB496">
        <v>2912</v>
      </c>
      <c r="AC496" s="1" t="s">
        <v>18</v>
      </c>
      <c r="AD496">
        <v>18</v>
      </c>
      <c r="AE496">
        <v>3</v>
      </c>
      <c r="AF496">
        <v>4</v>
      </c>
      <c r="AG496">
        <v>80</v>
      </c>
      <c r="AH496">
        <v>2</v>
      </c>
      <c r="AI496">
        <v>3</v>
      </c>
      <c r="AJ496">
        <v>0</v>
      </c>
      <c r="AK496" s="1" t="s">
        <v>136</v>
      </c>
    </row>
    <row r="497" spans="1:37" x14ac:dyDescent="0.25">
      <c r="A497">
        <v>667</v>
      </c>
      <c r="B497">
        <v>27</v>
      </c>
      <c r="C497" s="1" t="s">
        <v>25</v>
      </c>
      <c r="D497" s="1" t="s">
        <v>69</v>
      </c>
      <c r="E497">
        <v>1</v>
      </c>
      <c r="F497" s="1" t="s">
        <v>142</v>
      </c>
      <c r="G497">
        <v>0</v>
      </c>
      <c r="H497" s="1" t="s">
        <v>18</v>
      </c>
      <c r="I497">
        <v>5</v>
      </c>
      <c r="J497">
        <v>3</v>
      </c>
      <c r="K497">
        <v>4</v>
      </c>
      <c r="L497">
        <v>3</v>
      </c>
      <c r="M497">
        <v>0</v>
      </c>
      <c r="N497">
        <v>2</v>
      </c>
      <c r="O497" s="1" t="s">
        <v>18</v>
      </c>
      <c r="P497" s="1" t="s">
        <v>135</v>
      </c>
      <c r="Q497">
        <v>1420</v>
      </c>
      <c r="R497" s="1" t="s">
        <v>64</v>
      </c>
      <c r="S497">
        <v>2</v>
      </c>
      <c r="T497">
        <v>1</v>
      </c>
      <c r="U497">
        <v>3</v>
      </c>
      <c r="V497">
        <v>85</v>
      </c>
      <c r="W497">
        <v>3</v>
      </c>
      <c r="X497">
        <v>1</v>
      </c>
      <c r="Y497" s="1" t="s">
        <v>10</v>
      </c>
      <c r="Z497">
        <v>1</v>
      </c>
      <c r="AA497">
        <v>3041</v>
      </c>
      <c r="AB497">
        <v>16346</v>
      </c>
      <c r="AC497" s="1" t="s">
        <v>19</v>
      </c>
      <c r="AD497">
        <v>11</v>
      </c>
      <c r="AE497">
        <v>3</v>
      </c>
      <c r="AF497">
        <v>2</v>
      </c>
      <c r="AG497">
        <v>80</v>
      </c>
      <c r="AH497">
        <v>1</v>
      </c>
      <c r="AI497">
        <v>3</v>
      </c>
      <c r="AJ497">
        <v>1</v>
      </c>
      <c r="AK497" s="1" t="s">
        <v>136</v>
      </c>
    </row>
    <row r="498" spans="1:37" x14ac:dyDescent="0.25">
      <c r="A498">
        <v>669</v>
      </c>
      <c r="B498">
        <v>21</v>
      </c>
      <c r="C498" s="1" t="s">
        <v>25</v>
      </c>
      <c r="D498" s="1" t="s">
        <v>71</v>
      </c>
      <c r="E498">
        <v>1</v>
      </c>
      <c r="F498" s="1" t="s">
        <v>143</v>
      </c>
      <c r="G498">
        <v>1</v>
      </c>
      <c r="H498" s="1" t="s">
        <v>18</v>
      </c>
      <c r="I498">
        <v>3</v>
      </c>
      <c r="J498">
        <v>2</v>
      </c>
      <c r="K498">
        <v>3</v>
      </c>
      <c r="L498">
        <v>2</v>
      </c>
      <c r="M498">
        <v>1</v>
      </c>
      <c r="N498">
        <v>2</v>
      </c>
      <c r="O498" s="1" t="s">
        <v>19</v>
      </c>
      <c r="P498" s="1" t="s">
        <v>135</v>
      </c>
      <c r="Q498">
        <v>1343</v>
      </c>
      <c r="R498" s="1" t="s">
        <v>64</v>
      </c>
      <c r="S498">
        <v>22</v>
      </c>
      <c r="T498">
        <v>1</v>
      </c>
      <c r="U498">
        <v>3</v>
      </c>
      <c r="V498">
        <v>49</v>
      </c>
      <c r="W498">
        <v>3</v>
      </c>
      <c r="X498">
        <v>1</v>
      </c>
      <c r="Y498" s="1" t="s">
        <v>10</v>
      </c>
      <c r="Z498">
        <v>3</v>
      </c>
      <c r="AA498">
        <v>3447</v>
      </c>
      <c r="AB498">
        <v>24444</v>
      </c>
      <c r="AC498" s="1" t="s">
        <v>19</v>
      </c>
      <c r="AD498">
        <v>11</v>
      </c>
      <c r="AE498">
        <v>3</v>
      </c>
      <c r="AF498">
        <v>3</v>
      </c>
      <c r="AG498">
        <v>80</v>
      </c>
      <c r="AH498">
        <v>0</v>
      </c>
      <c r="AI498">
        <v>3</v>
      </c>
      <c r="AJ498">
        <v>0</v>
      </c>
      <c r="AK498" s="1" t="s">
        <v>136</v>
      </c>
    </row>
    <row r="499" spans="1:37" x14ac:dyDescent="0.25">
      <c r="A499">
        <v>671</v>
      </c>
      <c r="B499">
        <v>44</v>
      </c>
      <c r="C499" s="1" t="s">
        <v>25</v>
      </c>
      <c r="D499" s="1" t="s">
        <v>70</v>
      </c>
      <c r="E499">
        <v>4</v>
      </c>
      <c r="F499" s="1" t="s">
        <v>138</v>
      </c>
      <c r="G499">
        <v>4</v>
      </c>
      <c r="H499" s="1" t="s">
        <v>18</v>
      </c>
      <c r="I499">
        <v>26</v>
      </c>
      <c r="J499">
        <v>2</v>
      </c>
      <c r="K499">
        <v>2</v>
      </c>
      <c r="L499">
        <v>2</v>
      </c>
      <c r="M499">
        <v>0</v>
      </c>
      <c r="N499">
        <v>1</v>
      </c>
      <c r="O499" s="1" t="s">
        <v>19</v>
      </c>
      <c r="P499" s="1" t="s">
        <v>135</v>
      </c>
      <c r="Q499">
        <v>1315</v>
      </c>
      <c r="R499" s="1" t="s">
        <v>63</v>
      </c>
      <c r="S499">
        <v>3</v>
      </c>
      <c r="T499">
        <v>1</v>
      </c>
      <c r="U499">
        <v>4</v>
      </c>
      <c r="V499">
        <v>35</v>
      </c>
      <c r="W499">
        <v>3</v>
      </c>
      <c r="X499">
        <v>5</v>
      </c>
      <c r="Y499" s="1" t="s">
        <v>9</v>
      </c>
      <c r="Z499">
        <v>4</v>
      </c>
      <c r="AA499">
        <v>19513</v>
      </c>
      <c r="AB499">
        <v>9358</v>
      </c>
      <c r="AC499" s="1" t="s">
        <v>18</v>
      </c>
      <c r="AD499">
        <v>12</v>
      </c>
      <c r="AE499">
        <v>3</v>
      </c>
      <c r="AF499">
        <v>1</v>
      </c>
      <c r="AG499">
        <v>80</v>
      </c>
      <c r="AH499">
        <v>1</v>
      </c>
      <c r="AI499">
        <v>4</v>
      </c>
      <c r="AJ499">
        <v>0</v>
      </c>
      <c r="AK499" s="1" t="s">
        <v>136</v>
      </c>
    </row>
    <row r="500" spans="1:37" x14ac:dyDescent="0.25">
      <c r="A500">
        <v>675</v>
      </c>
      <c r="B500">
        <v>22</v>
      </c>
      <c r="C500" s="1" t="s">
        <v>25</v>
      </c>
      <c r="D500" s="1" t="s">
        <v>70</v>
      </c>
      <c r="E500">
        <v>1</v>
      </c>
      <c r="F500" s="1" t="s">
        <v>139</v>
      </c>
      <c r="G500">
        <v>0</v>
      </c>
      <c r="H500" s="1" t="s">
        <v>18</v>
      </c>
      <c r="I500">
        <v>3</v>
      </c>
      <c r="J500">
        <v>3</v>
      </c>
      <c r="K500">
        <v>2</v>
      </c>
      <c r="L500">
        <v>2</v>
      </c>
      <c r="M500">
        <v>2</v>
      </c>
      <c r="N500">
        <v>2</v>
      </c>
      <c r="O500" s="1" t="s">
        <v>19</v>
      </c>
      <c r="P500" s="1" t="s">
        <v>135</v>
      </c>
      <c r="Q500">
        <v>604</v>
      </c>
      <c r="R500" s="1" t="s">
        <v>63</v>
      </c>
      <c r="S500">
        <v>6</v>
      </c>
      <c r="T500">
        <v>1</v>
      </c>
      <c r="U500">
        <v>1</v>
      </c>
      <c r="V500">
        <v>69</v>
      </c>
      <c r="W500">
        <v>3</v>
      </c>
      <c r="X500">
        <v>1</v>
      </c>
      <c r="Y500" s="1" t="s">
        <v>5</v>
      </c>
      <c r="Z500">
        <v>3</v>
      </c>
      <c r="AA500">
        <v>2773</v>
      </c>
      <c r="AB500">
        <v>12145</v>
      </c>
      <c r="AC500" s="1" t="s">
        <v>19</v>
      </c>
      <c r="AD500">
        <v>20</v>
      </c>
      <c r="AE500">
        <v>4</v>
      </c>
      <c r="AF500">
        <v>4</v>
      </c>
      <c r="AG500">
        <v>80</v>
      </c>
      <c r="AH500">
        <v>0</v>
      </c>
      <c r="AI500">
        <v>3</v>
      </c>
      <c r="AJ500">
        <v>0</v>
      </c>
      <c r="AK500" s="1" t="s">
        <v>136</v>
      </c>
    </row>
    <row r="501" spans="1:37" x14ac:dyDescent="0.25">
      <c r="A501">
        <v>677</v>
      </c>
      <c r="B501">
        <v>33</v>
      </c>
      <c r="C501" s="1" t="s">
        <v>25</v>
      </c>
      <c r="D501" s="1" t="s">
        <v>69</v>
      </c>
      <c r="E501">
        <v>4</v>
      </c>
      <c r="F501" s="1" t="s">
        <v>142</v>
      </c>
      <c r="G501">
        <v>0</v>
      </c>
      <c r="H501" s="1" t="s">
        <v>18</v>
      </c>
      <c r="I501">
        <v>6</v>
      </c>
      <c r="J501">
        <v>3</v>
      </c>
      <c r="K501">
        <v>5</v>
      </c>
      <c r="L501">
        <v>0</v>
      </c>
      <c r="M501">
        <v>1</v>
      </c>
      <c r="N501">
        <v>2</v>
      </c>
      <c r="O501" s="1" t="s">
        <v>19</v>
      </c>
      <c r="P501" s="1" t="s">
        <v>135</v>
      </c>
      <c r="Q501">
        <v>1216</v>
      </c>
      <c r="R501" s="1" t="s">
        <v>64</v>
      </c>
      <c r="S501">
        <v>8</v>
      </c>
      <c r="T501">
        <v>1</v>
      </c>
      <c r="U501">
        <v>3</v>
      </c>
      <c r="V501">
        <v>39</v>
      </c>
      <c r="W501">
        <v>3</v>
      </c>
      <c r="X501">
        <v>2</v>
      </c>
      <c r="Y501" s="1" t="s">
        <v>4</v>
      </c>
      <c r="Z501">
        <v>3</v>
      </c>
      <c r="AA501">
        <v>7104</v>
      </c>
      <c r="AB501">
        <v>20431</v>
      </c>
      <c r="AC501" s="1" t="s">
        <v>19</v>
      </c>
      <c r="AD501">
        <v>12</v>
      </c>
      <c r="AE501">
        <v>3</v>
      </c>
      <c r="AF501">
        <v>4</v>
      </c>
      <c r="AG501">
        <v>80</v>
      </c>
      <c r="AH501">
        <v>0</v>
      </c>
      <c r="AI501">
        <v>3</v>
      </c>
      <c r="AJ501">
        <v>0</v>
      </c>
      <c r="AK501" s="1" t="s">
        <v>136</v>
      </c>
    </row>
    <row r="502" spans="1:37" x14ac:dyDescent="0.25">
      <c r="A502">
        <v>679</v>
      </c>
      <c r="B502">
        <v>32</v>
      </c>
      <c r="C502" s="1" t="s">
        <v>24</v>
      </c>
      <c r="D502" s="1" t="s">
        <v>70</v>
      </c>
      <c r="E502">
        <v>4</v>
      </c>
      <c r="F502" s="1" t="s">
        <v>134</v>
      </c>
      <c r="G502">
        <v>1</v>
      </c>
      <c r="H502" s="1" t="s">
        <v>18</v>
      </c>
      <c r="I502">
        <v>6</v>
      </c>
      <c r="J502">
        <v>2</v>
      </c>
      <c r="K502">
        <v>6</v>
      </c>
      <c r="L502">
        <v>4</v>
      </c>
      <c r="M502">
        <v>0</v>
      </c>
      <c r="N502">
        <v>5</v>
      </c>
      <c r="O502" s="1" t="s">
        <v>19</v>
      </c>
      <c r="P502" s="1" t="s">
        <v>135</v>
      </c>
      <c r="Q502">
        <v>646</v>
      </c>
      <c r="R502" s="1" t="s">
        <v>63</v>
      </c>
      <c r="S502">
        <v>9</v>
      </c>
      <c r="T502">
        <v>1</v>
      </c>
      <c r="U502">
        <v>1</v>
      </c>
      <c r="V502">
        <v>92</v>
      </c>
      <c r="W502">
        <v>3</v>
      </c>
      <c r="X502">
        <v>2</v>
      </c>
      <c r="Y502" s="1" t="s">
        <v>5</v>
      </c>
      <c r="Z502">
        <v>4</v>
      </c>
      <c r="AA502">
        <v>6322</v>
      </c>
      <c r="AB502">
        <v>18089</v>
      </c>
      <c r="AC502" s="1" t="s">
        <v>18</v>
      </c>
      <c r="AD502">
        <v>12</v>
      </c>
      <c r="AE502">
        <v>3</v>
      </c>
      <c r="AF502">
        <v>4</v>
      </c>
      <c r="AG502">
        <v>80</v>
      </c>
      <c r="AH502">
        <v>1</v>
      </c>
      <c r="AI502">
        <v>2</v>
      </c>
      <c r="AJ502">
        <v>0</v>
      </c>
      <c r="AK502" s="1" t="s">
        <v>136</v>
      </c>
    </row>
    <row r="503" spans="1:37" x14ac:dyDescent="0.25">
      <c r="A503">
        <v>680</v>
      </c>
      <c r="B503">
        <v>30</v>
      </c>
      <c r="C503" s="1" t="s">
        <v>24</v>
      </c>
      <c r="D503" s="1" t="s">
        <v>69</v>
      </c>
      <c r="E503">
        <v>3</v>
      </c>
      <c r="F503" s="1" t="s">
        <v>139</v>
      </c>
      <c r="G503">
        <v>1</v>
      </c>
      <c r="H503" s="1" t="s">
        <v>18</v>
      </c>
      <c r="I503">
        <v>1</v>
      </c>
      <c r="J503">
        <v>2</v>
      </c>
      <c r="K503">
        <v>1</v>
      </c>
      <c r="L503">
        <v>0</v>
      </c>
      <c r="M503">
        <v>0</v>
      </c>
      <c r="N503">
        <v>0</v>
      </c>
      <c r="O503" s="1" t="s">
        <v>19</v>
      </c>
      <c r="P503" s="1" t="s">
        <v>137</v>
      </c>
      <c r="Q503">
        <v>160</v>
      </c>
      <c r="R503" s="1" t="s">
        <v>63</v>
      </c>
      <c r="S503">
        <v>3</v>
      </c>
      <c r="T503">
        <v>1</v>
      </c>
      <c r="U503">
        <v>3</v>
      </c>
      <c r="V503">
        <v>71</v>
      </c>
      <c r="W503">
        <v>3</v>
      </c>
      <c r="X503">
        <v>1</v>
      </c>
      <c r="Y503" s="1" t="s">
        <v>5</v>
      </c>
      <c r="Z503">
        <v>3</v>
      </c>
      <c r="AA503">
        <v>2083</v>
      </c>
      <c r="AB503">
        <v>22653</v>
      </c>
      <c r="AC503" s="1" t="s">
        <v>19</v>
      </c>
      <c r="AD503">
        <v>20</v>
      </c>
      <c r="AE503">
        <v>4</v>
      </c>
      <c r="AF503">
        <v>3</v>
      </c>
      <c r="AG503">
        <v>80</v>
      </c>
      <c r="AH503">
        <v>1</v>
      </c>
      <c r="AI503">
        <v>3</v>
      </c>
      <c r="AJ503">
        <v>0</v>
      </c>
      <c r="AK503" s="1" t="s">
        <v>136</v>
      </c>
    </row>
    <row r="504" spans="1:37" x14ac:dyDescent="0.25">
      <c r="A504">
        <v>682</v>
      </c>
      <c r="B504">
        <v>53</v>
      </c>
      <c r="C504" s="1" t="s">
        <v>24</v>
      </c>
      <c r="D504" s="1" t="s">
        <v>71</v>
      </c>
      <c r="E504">
        <v>1</v>
      </c>
      <c r="F504" s="1" t="s">
        <v>139</v>
      </c>
      <c r="G504">
        <v>7</v>
      </c>
      <c r="H504" s="1" t="s">
        <v>18</v>
      </c>
      <c r="I504">
        <v>18</v>
      </c>
      <c r="J504">
        <v>2</v>
      </c>
      <c r="K504">
        <v>14</v>
      </c>
      <c r="L504">
        <v>7</v>
      </c>
      <c r="M504">
        <v>8</v>
      </c>
      <c r="N504">
        <v>10</v>
      </c>
      <c r="O504" s="1" t="s">
        <v>19</v>
      </c>
      <c r="P504" s="1" t="s">
        <v>135</v>
      </c>
      <c r="Q504">
        <v>238</v>
      </c>
      <c r="R504" s="1" t="s">
        <v>64</v>
      </c>
      <c r="S504">
        <v>1</v>
      </c>
      <c r="T504">
        <v>1</v>
      </c>
      <c r="U504">
        <v>4</v>
      </c>
      <c r="V504">
        <v>34</v>
      </c>
      <c r="W504">
        <v>3</v>
      </c>
      <c r="X504">
        <v>2</v>
      </c>
      <c r="Y504" s="1" t="s">
        <v>4</v>
      </c>
      <c r="Z504">
        <v>1</v>
      </c>
      <c r="AA504">
        <v>8381</v>
      </c>
      <c r="AB504">
        <v>7507</v>
      </c>
      <c r="AC504" s="1" t="s">
        <v>19</v>
      </c>
      <c r="AD504">
        <v>20</v>
      </c>
      <c r="AE504">
        <v>4</v>
      </c>
      <c r="AF504">
        <v>4</v>
      </c>
      <c r="AG504">
        <v>80</v>
      </c>
      <c r="AH504">
        <v>0</v>
      </c>
      <c r="AI504">
        <v>4</v>
      </c>
      <c r="AJ504">
        <v>0</v>
      </c>
      <c r="AK504" s="1" t="s">
        <v>140</v>
      </c>
    </row>
    <row r="505" spans="1:37" x14ac:dyDescent="0.25">
      <c r="A505">
        <v>683</v>
      </c>
      <c r="B505">
        <v>34</v>
      </c>
      <c r="C505" s="1" t="s">
        <v>25</v>
      </c>
      <c r="D505" s="1" t="s">
        <v>70</v>
      </c>
      <c r="E505">
        <v>5</v>
      </c>
      <c r="F505" s="1" t="s">
        <v>134</v>
      </c>
      <c r="G505">
        <v>1</v>
      </c>
      <c r="H505" s="1" t="s">
        <v>18</v>
      </c>
      <c r="I505">
        <v>10</v>
      </c>
      <c r="J505">
        <v>4</v>
      </c>
      <c r="K505">
        <v>10</v>
      </c>
      <c r="L505">
        <v>9</v>
      </c>
      <c r="M505">
        <v>8</v>
      </c>
      <c r="N505">
        <v>8</v>
      </c>
      <c r="O505" s="1" t="s">
        <v>19</v>
      </c>
      <c r="P505" s="1" t="s">
        <v>135</v>
      </c>
      <c r="Q505">
        <v>1397</v>
      </c>
      <c r="R505" s="1" t="s">
        <v>63</v>
      </c>
      <c r="S505">
        <v>1</v>
      </c>
      <c r="T505">
        <v>1</v>
      </c>
      <c r="U505">
        <v>2</v>
      </c>
      <c r="V505">
        <v>42</v>
      </c>
      <c r="W505">
        <v>3</v>
      </c>
      <c r="X505">
        <v>1</v>
      </c>
      <c r="Y505" s="1" t="s">
        <v>5</v>
      </c>
      <c r="Z505">
        <v>4</v>
      </c>
      <c r="AA505">
        <v>2691</v>
      </c>
      <c r="AB505">
        <v>7660</v>
      </c>
      <c r="AC505" s="1" t="s">
        <v>19</v>
      </c>
      <c r="AD505">
        <v>12</v>
      </c>
      <c r="AE505">
        <v>3</v>
      </c>
      <c r="AF505">
        <v>4</v>
      </c>
      <c r="AG505">
        <v>80</v>
      </c>
      <c r="AH505">
        <v>1</v>
      </c>
      <c r="AI505">
        <v>2</v>
      </c>
      <c r="AJ505">
        <v>0</v>
      </c>
      <c r="AK505" s="1" t="s">
        <v>136</v>
      </c>
    </row>
    <row r="506" spans="1:37" x14ac:dyDescent="0.25">
      <c r="A506">
        <v>684</v>
      </c>
      <c r="B506">
        <v>45</v>
      </c>
      <c r="C506" s="1" t="s">
        <v>24</v>
      </c>
      <c r="D506" s="1" t="s">
        <v>70</v>
      </c>
      <c r="E506">
        <v>4</v>
      </c>
      <c r="F506" s="1" t="s">
        <v>134</v>
      </c>
      <c r="G506">
        <v>2</v>
      </c>
      <c r="H506" s="1" t="s">
        <v>18</v>
      </c>
      <c r="I506">
        <v>5</v>
      </c>
      <c r="J506">
        <v>4</v>
      </c>
      <c r="K506">
        <v>1</v>
      </c>
      <c r="L506">
        <v>1</v>
      </c>
      <c r="M506">
        <v>0</v>
      </c>
      <c r="N506">
        <v>0</v>
      </c>
      <c r="O506" s="1" t="s">
        <v>18</v>
      </c>
      <c r="P506" s="1" t="s">
        <v>137</v>
      </c>
      <c r="Q506">
        <v>306</v>
      </c>
      <c r="R506" s="1" t="s">
        <v>64</v>
      </c>
      <c r="S506">
        <v>26</v>
      </c>
      <c r="T506">
        <v>1</v>
      </c>
      <c r="U506">
        <v>1</v>
      </c>
      <c r="V506">
        <v>100</v>
      </c>
      <c r="W506">
        <v>3</v>
      </c>
      <c r="X506">
        <v>2</v>
      </c>
      <c r="Y506" s="1" t="s">
        <v>4</v>
      </c>
      <c r="Z506">
        <v>1</v>
      </c>
      <c r="AA506">
        <v>4286</v>
      </c>
      <c r="AB506">
        <v>5630</v>
      </c>
      <c r="AC506" s="1" t="s">
        <v>19</v>
      </c>
      <c r="AD506">
        <v>14</v>
      </c>
      <c r="AE506">
        <v>3</v>
      </c>
      <c r="AF506">
        <v>4</v>
      </c>
      <c r="AG506">
        <v>80</v>
      </c>
      <c r="AH506">
        <v>2</v>
      </c>
      <c r="AI506">
        <v>3</v>
      </c>
      <c r="AJ506">
        <v>1</v>
      </c>
      <c r="AK506" s="1" t="s">
        <v>136</v>
      </c>
    </row>
    <row r="507" spans="1:37" x14ac:dyDescent="0.25">
      <c r="A507">
        <v>686</v>
      </c>
      <c r="B507">
        <v>26</v>
      </c>
      <c r="C507" s="1" t="s">
        <v>24</v>
      </c>
      <c r="D507" s="1" t="s">
        <v>70</v>
      </c>
      <c r="E507">
        <v>3</v>
      </c>
      <c r="F507" s="1" t="s">
        <v>134</v>
      </c>
      <c r="G507">
        <v>1</v>
      </c>
      <c r="H507" s="1" t="s">
        <v>18</v>
      </c>
      <c r="I507">
        <v>3</v>
      </c>
      <c r="J507">
        <v>2</v>
      </c>
      <c r="K507">
        <v>3</v>
      </c>
      <c r="L507">
        <v>2</v>
      </c>
      <c r="M507">
        <v>0</v>
      </c>
      <c r="N507">
        <v>2</v>
      </c>
      <c r="O507" s="1" t="s">
        <v>19</v>
      </c>
      <c r="P507" s="1" t="s">
        <v>135</v>
      </c>
      <c r="Q507">
        <v>991</v>
      </c>
      <c r="R507" s="1" t="s">
        <v>63</v>
      </c>
      <c r="S507">
        <v>6</v>
      </c>
      <c r="T507">
        <v>1</v>
      </c>
      <c r="U507">
        <v>3</v>
      </c>
      <c r="V507">
        <v>71</v>
      </c>
      <c r="W507">
        <v>3</v>
      </c>
      <c r="X507">
        <v>1</v>
      </c>
      <c r="Y507" s="1" t="s">
        <v>6</v>
      </c>
      <c r="Z507">
        <v>4</v>
      </c>
      <c r="AA507">
        <v>2659</v>
      </c>
      <c r="AB507">
        <v>17759</v>
      </c>
      <c r="AC507" s="1" t="s">
        <v>18</v>
      </c>
      <c r="AD507">
        <v>13</v>
      </c>
      <c r="AE507">
        <v>3</v>
      </c>
      <c r="AF507">
        <v>3</v>
      </c>
      <c r="AG507">
        <v>80</v>
      </c>
      <c r="AH507">
        <v>1</v>
      </c>
      <c r="AI507">
        <v>3</v>
      </c>
      <c r="AJ507">
        <v>0</v>
      </c>
      <c r="AK507" s="1" t="s">
        <v>136</v>
      </c>
    </row>
    <row r="508" spans="1:37" x14ac:dyDescent="0.25">
      <c r="A508">
        <v>689</v>
      </c>
      <c r="B508">
        <v>37</v>
      </c>
      <c r="C508" s="1" t="s">
        <v>25</v>
      </c>
      <c r="D508" s="1" t="s">
        <v>70</v>
      </c>
      <c r="E508">
        <v>3</v>
      </c>
      <c r="F508" s="1" t="s">
        <v>138</v>
      </c>
      <c r="G508">
        <v>1</v>
      </c>
      <c r="H508" s="1" t="s">
        <v>18</v>
      </c>
      <c r="I508">
        <v>10</v>
      </c>
      <c r="J508">
        <v>2</v>
      </c>
      <c r="K508">
        <v>10</v>
      </c>
      <c r="L508">
        <v>7</v>
      </c>
      <c r="M508">
        <v>7</v>
      </c>
      <c r="N508">
        <v>8</v>
      </c>
      <c r="O508" s="1" t="s">
        <v>19</v>
      </c>
      <c r="P508" s="1" t="s">
        <v>135</v>
      </c>
      <c r="Q508">
        <v>482</v>
      </c>
      <c r="R508" s="1" t="s">
        <v>63</v>
      </c>
      <c r="S508">
        <v>3</v>
      </c>
      <c r="T508">
        <v>1</v>
      </c>
      <c r="U508">
        <v>3</v>
      </c>
      <c r="V508">
        <v>36</v>
      </c>
      <c r="W508">
        <v>3</v>
      </c>
      <c r="X508">
        <v>3</v>
      </c>
      <c r="Y508" s="1" t="s">
        <v>7</v>
      </c>
      <c r="Z508">
        <v>3</v>
      </c>
      <c r="AA508">
        <v>9434</v>
      </c>
      <c r="AB508">
        <v>9606</v>
      </c>
      <c r="AC508" s="1" t="s">
        <v>19</v>
      </c>
      <c r="AD508">
        <v>15</v>
      </c>
      <c r="AE508">
        <v>3</v>
      </c>
      <c r="AF508">
        <v>3</v>
      </c>
      <c r="AG508">
        <v>80</v>
      </c>
      <c r="AH508">
        <v>1</v>
      </c>
      <c r="AI508">
        <v>3</v>
      </c>
      <c r="AJ508">
        <v>0</v>
      </c>
      <c r="AK508" s="1" t="s">
        <v>136</v>
      </c>
    </row>
    <row r="509" spans="1:37" x14ac:dyDescent="0.25">
      <c r="A509">
        <v>690</v>
      </c>
      <c r="B509">
        <v>29</v>
      </c>
      <c r="C509" s="1" t="s">
        <v>24</v>
      </c>
      <c r="D509" s="1" t="s">
        <v>70</v>
      </c>
      <c r="E509">
        <v>2</v>
      </c>
      <c r="F509" s="1" t="s">
        <v>139</v>
      </c>
      <c r="G509">
        <v>1</v>
      </c>
      <c r="H509" s="1" t="s">
        <v>18</v>
      </c>
      <c r="I509">
        <v>6</v>
      </c>
      <c r="J509">
        <v>5</v>
      </c>
      <c r="K509">
        <v>6</v>
      </c>
      <c r="L509">
        <v>0</v>
      </c>
      <c r="M509">
        <v>1</v>
      </c>
      <c r="N509">
        <v>2</v>
      </c>
      <c r="O509" s="1" t="s">
        <v>19</v>
      </c>
      <c r="P509" s="1" t="s">
        <v>135</v>
      </c>
      <c r="Q509">
        <v>1176</v>
      </c>
      <c r="R509" s="1" t="s">
        <v>64</v>
      </c>
      <c r="S509">
        <v>3</v>
      </c>
      <c r="T509">
        <v>1</v>
      </c>
      <c r="U509">
        <v>2</v>
      </c>
      <c r="V509">
        <v>62</v>
      </c>
      <c r="W509">
        <v>3</v>
      </c>
      <c r="X509">
        <v>2</v>
      </c>
      <c r="Y509" s="1" t="s">
        <v>4</v>
      </c>
      <c r="Z509">
        <v>3</v>
      </c>
      <c r="AA509">
        <v>5561</v>
      </c>
      <c r="AB509">
        <v>3487</v>
      </c>
      <c r="AC509" s="1" t="s">
        <v>19</v>
      </c>
      <c r="AD509">
        <v>14</v>
      </c>
      <c r="AE509">
        <v>3</v>
      </c>
      <c r="AF509">
        <v>1</v>
      </c>
      <c r="AG509">
        <v>80</v>
      </c>
      <c r="AH509">
        <v>1</v>
      </c>
      <c r="AI509">
        <v>2</v>
      </c>
      <c r="AJ509">
        <v>0</v>
      </c>
      <c r="AK509" s="1" t="s">
        <v>136</v>
      </c>
    </row>
    <row r="510" spans="1:37" x14ac:dyDescent="0.25">
      <c r="A510">
        <v>691</v>
      </c>
      <c r="B510">
        <v>35</v>
      </c>
      <c r="C510" s="1" t="s">
        <v>25</v>
      </c>
      <c r="D510" s="1" t="s">
        <v>71</v>
      </c>
      <c r="E510">
        <v>4</v>
      </c>
      <c r="F510" s="1" t="s">
        <v>134</v>
      </c>
      <c r="G510">
        <v>1</v>
      </c>
      <c r="H510" s="1" t="s">
        <v>18</v>
      </c>
      <c r="I510">
        <v>17</v>
      </c>
      <c r="J510">
        <v>3</v>
      </c>
      <c r="K510">
        <v>17</v>
      </c>
      <c r="L510">
        <v>11</v>
      </c>
      <c r="M510">
        <v>11</v>
      </c>
      <c r="N510">
        <v>8</v>
      </c>
      <c r="O510" s="1" t="s">
        <v>19</v>
      </c>
      <c r="P510" s="1" t="s">
        <v>135</v>
      </c>
      <c r="Q510">
        <v>1017</v>
      </c>
      <c r="R510" s="1" t="s">
        <v>63</v>
      </c>
      <c r="S510">
        <v>6</v>
      </c>
      <c r="T510">
        <v>1</v>
      </c>
      <c r="U510">
        <v>2</v>
      </c>
      <c r="V510">
        <v>82</v>
      </c>
      <c r="W510">
        <v>1</v>
      </c>
      <c r="X510">
        <v>2</v>
      </c>
      <c r="Y510" s="1" t="s">
        <v>5</v>
      </c>
      <c r="Z510">
        <v>4</v>
      </c>
      <c r="AA510">
        <v>6646</v>
      </c>
      <c r="AB510">
        <v>19368</v>
      </c>
      <c r="AC510" s="1" t="s">
        <v>19</v>
      </c>
      <c r="AD510">
        <v>13</v>
      </c>
      <c r="AE510">
        <v>3</v>
      </c>
      <c r="AF510">
        <v>2</v>
      </c>
      <c r="AG510">
        <v>80</v>
      </c>
      <c r="AH510">
        <v>0</v>
      </c>
      <c r="AI510">
        <v>3</v>
      </c>
      <c r="AJ510">
        <v>0</v>
      </c>
      <c r="AK510" s="1" t="s">
        <v>136</v>
      </c>
    </row>
    <row r="511" spans="1:37" x14ac:dyDescent="0.25">
      <c r="A511">
        <v>692</v>
      </c>
      <c r="B511">
        <v>33</v>
      </c>
      <c r="C511" s="1" t="s">
        <v>25</v>
      </c>
      <c r="D511" s="1" t="s">
        <v>69</v>
      </c>
      <c r="E511">
        <v>3</v>
      </c>
      <c r="F511" s="1" t="s">
        <v>134</v>
      </c>
      <c r="G511">
        <v>3</v>
      </c>
      <c r="H511" s="1" t="s">
        <v>18</v>
      </c>
      <c r="I511">
        <v>15</v>
      </c>
      <c r="J511">
        <v>2</v>
      </c>
      <c r="K511">
        <v>13</v>
      </c>
      <c r="L511">
        <v>11</v>
      </c>
      <c r="M511">
        <v>4</v>
      </c>
      <c r="N511">
        <v>7</v>
      </c>
      <c r="O511" s="1" t="s">
        <v>19</v>
      </c>
      <c r="P511" s="1" t="s">
        <v>137</v>
      </c>
      <c r="Q511">
        <v>1296</v>
      </c>
      <c r="R511" s="1" t="s">
        <v>63</v>
      </c>
      <c r="S511">
        <v>6</v>
      </c>
      <c r="T511">
        <v>1</v>
      </c>
      <c r="U511">
        <v>3</v>
      </c>
      <c r="V511">
        <v>30</v>
      </c>
      <c r="W511">
        <v>3</v>
      </c>
      <c r="X511">
        <v>2</v>
      </c>
      <c r="Y511" s="1" t="s">
        <v>8</v>
      </c>
      <c r="Z511">
        <v>4</v>
      </c>
      <c r="AA511">
        <v>7725</v>
      </c>
      <c r="AB511">
        <v>5335</v>
      </c>
      <c r="AC511" s="1" t="s">
        <v>19</v>
      </c>
      <c r="AD511">
        <v>23</v>
      </c>
      <c r="AE511">
        <v>4</v>
      </c>
      <c r="AF511">
        <v>3</v>
      </c>
      <c r="AG511">
        <v>80</v>
      </c>
      <c r="AH511">
        <v>1</v>
      </c>
      <c r="AI511">
        <v>1</v>
      </c>
      <c r="AJ511">
        <v>0</v>
      </c>
      <c r="AK511" s="1" t="s">
        <v>136</v>
      </c>
    </row>
    <row r="512" spans="1:37" x14ac:dyDescent="0.25">
      <c r="A512">
        <v>698</v>
      </c>
      <c r="B512">
        <v>54</v>
      </c>
      <c r="C512" s="1" t="s">
        <v>25</v>
      </c>
      <c r="D512" s="1" t="s">
        <v>70</v>
      </c>
      <c r="E512">
        <v>4</v>
      </c>
      <c r="F512" s="1" t="s">
        <v>139</v>
      </c>
      <c r="G512">
        <v>2</v>
      </c>
      <c r="H512" s="1" t="s">
        <v>18</v>
      </c>
      <c r="I512">
        <v>16</v>
      </c>
      <c r="J512">
        <v>1</v>
      </c>
      <c r="K512">
        <v>9</v>
      </c>
      <c r="L512">
        <v>7</v>
      </c>
      <c r="M512">
        <v>7</v>
      </c>
      <c r="N512">
        <v>1</v>
      </c>
      <c r="O512" s="1" t="s">
        <v>19</v>
      </c>
      <c r="P512" s="1" t="s">
        <v>135</v>
      </c>
      <c r="Q512">
        <v>397</v>
      </c>
      <c r="R512" s="1" t="s">
        <v>12</v>
      </c>
      <c r="S512">
        <v>19</v>
      </c>
      <c r="T512">
        <v>1</v>
      </c>
      <c r="U512">
        <v>3</v>
      </c>
      <c r="V512">
        <v>88</v>
      </c>
      <c r="W512">
        <v>3</v>
      </c>
      <c r="X512">
        <v>3</v>
      </c>
      <c r="Y512" s="1" t="s">
        <v>12</v>
      </c>
      <c r="Z512">
        <v>2</v>
      </c>
      <c r="AA512">
        <v>10725</v>
      </c>
      <c r="AB512">
        <v>6729</v>
      </c>
      <c r="AC512" s="1" t="s">
        <v>19</v>
      </c>
      <c r="AD512">
        <v>15</v>
      </c>
      <c r="AE512">
        <v>3</v>
      </c>
      <c r="AF512">
        <v>3</v>
      </c>
      <c r="AG512">
        <v>80</v>
      </c>
      <c r="AH512">
        <v>1</v>
      </c>
      <c r="AI512">
        <v>4</v>
      </c>
      <c r="AJ512">
        <v>0</v>
      </c>
      <c r="AK512" s="1" t="s">
        <v>140</v>
      </c>
    </row>
    <row r="513" spans="1:37" x14ac:dyDescent="0.25">
      <c r="A513">
        <v>699</v>
      </c>
      <c r="B513">
        <v>36</v>
      </c>
      <c r="C513" s="1" t="s">
        <v>25</v>
      </c>
      <c r="D513" s="1" t="s">
        <v>69</v>
      </c>
      <c r="E513">
        <v>2</v>
      </c>
      <c r="F513" s="1" t="s">
        <v>139</v>
      </c>
      <c r="G513">
        <v>2</v>
      </c>
      <c r="H513" s="1" t="s">
        <v>18</v>
      </c>
      <c r="I513">
        <v>13</v>
      </c>
      <c r="J513">
        <v>2</v>
      </c>
      <c r="K513">
        <v>3</v>
      </c>
      <c r="L513">
        <v>2</v>
      </c>
      <c r="M513">
        <v>0</v>
      </c>
      <c r="N513">
        <v>2</v>
      </c>
      <c r="O513" s="1" t="s">
        <v>19</v>
      </c>
      <c r="P513" s="1" t="s">
        <v>135</v>
      </c>
      <c r="Q513">
        <v>913</v>
      </c>
      <c r="R513" s="1" t="s">
        <v>63</v>
      </c>
      <c r="S513">
        <v>9</v>
      </c>
      <c r="T513">
        <v>1</v>
      </c>
      <c r="U513">
        <v>2</v>
      </c>
      <c r="V513">
        <v>48</v>
      </c>
      <c r="W513">
        <v>2</v>
      </c>
      <c r="X513">
        <v>2</v>
      </c>
      <c r="Y513" s="1" t="s">
        <v>7</v>
      </c>
      <c r="Z513">
        <v>2</v>
      </c>
      <c r="AA513">
        <v>8847</v>
      </c>
      <c r="AB513">
        <v>13934</v>
      </c>
      <c r="AC513" s="1" t="s">
        <v>18</v>
      </c>
      <c r="AD513">
        <v>11</v>
      </c>
      <c r="AE513">
        <v>3</v>
      </c>
      <c r="AF513">
        <v>3</v>
      </c>
      <c r="AG513">
        <v>80</v>
      </c>
      <c r="AH513">
        <v>1</v>
      </c>
      <c r="AI513">
        <v>3</v>
      </c>
      <c r="AJ513">
        <v>0</v>
      </c>
      <c r="AK513" s="1" t="s">
        <v>136</v>
      </c>
    </row>
    <row r="514" spans="1:37" x14ac:dyDescent="0.25">
      <c r="A514">
        <v>700</v>
      </c>
      <c r="B514">
        <v>27</v>
      </c>
      <c r="C514" s="1" t="s">
        <v>25</v>
      </c>
      <c r="D514" s="1" t="s">
        <v>71</v>
      </c>
      <c r="E514">
        <v>4</v>
      </c>
      <c r="F514" s="1" t="s">
        <v>139</v>
      </c>
      <c r="G514">
        <v>0</v>
      </c>
      <c r="H514" s="1" t="s">
        <v>18</v>
      </c>
      <c r="I514">
        <v>5</v>
      </c>
      <c r="J514">
        <v>0</v>
      </c>
      <c r="K514">
        <v>4</v>
      </c>
      <c r="L514">
        <v>2</v>
      </c>
      <c r="M514">
        <v>1</v>
      </c>
      <c r="N514">
        <v>1</v>
      </c>
      <c r="O514" s="1" t="s">
        <v>19</v>
      </c>
      <c r="P514" s="1" t="s">
        <v>135</v>
      </c>
      <c r="Q514">
        <v>1115</v>
      </c>
      <c r="R514" s="1" t="s">
        <v>63</v>
      </c>
      <c r="S514">
        <v>3</v>
      </c>
      <c r="T514">
        <v>1</v>
      </c>
      <c r="U514">
        <v>1</v>
      </c>
      <c r="V514">
        <v>54</v>
      </c>
      <c r="W514">
        <v>2</v>
      </c>
      <c r="X514">
        <v>1</v>
      </c>
      <c r="Y514" s="1" t="s">
        <v>5</v>
      </c>
      <c r="Z514">
        <v>4</v>
      </c>
      <c r="AA514">
        <v>2045</v>
      </c>
      <c r="AB514">
        <v>15174</v>
      </c>
      <c r="AC514" s="1" t="s">
        <v>19</v>
      </c>
      <c r="AD514">
        <v>13</v>
      </c>
      <c r="AE514">
        <v>3</v>
      </c>
      <c r="AF514">
        <v>4</v>
      </c>
      <c r="AG514">
        <v>80</v>
      </c>
      <c r="AH514">
        <v>0</v>
      </c>
      <c r="AI514">
        <v>3</v>
      </c>
      <c r="AJ514">
        <v>0</v>
      </c>
      <c r="AK514" s="1" t="s">
        <v>136</v>
      </c>
    </row>
    <row r="515" spans="1:37" x14ac:dyDescent="0.25">
      <c r="A515">
        <v>701</v>
      </c>
      <c r="B515">
        <v>20</v>
      </c>
      <c r="C515" s="1" t="s">
        <v>25</v>
      </c>
      <c r="D515" s="1" t="s">
        <v>71</v>
      </c>
      <c r="E515">
        <v>1</v>
      </c>
      <c r="F515" s="1" t="s">
        <v>139</v>
      </c>
      <c r="G515">
        <v>1</v>
      </c>
      <c r="H515" s="1" t="s">
        <v>18</v>
      </c>
      <c r="I515">
        <v>1</v>
      </c>
      <c r="J515">
        <v>5</v>
      </c>
      <c r="K515">
        <v>1</v>
      </c>
      <c r="L515">
        <v>0</v>
      </c>
      <c r="M515">
        <v>1</v>
      </c>
      <c r="N515">
        <v>1</v>
      </c>
      <c r="O515" s="1" t="s">
        <v>18</v>
      </c>
      <c r="P515" s="1" t="s">
        <v>135</v>
      </c>
      <c r="Q515">
        <v>1362</v>
      </c>
      <c r="R515" s="1" t="s">
        <v>63</v>
      </c>
      <c r="S515">
        <v>10</v>
      </c>
      <c r="T515">
        <v>1</v>
      </c>
      <c r="U515">
        <v>4</v>
      </c>
      <c r="V515">
        <v>32</v>
      </c>
      <c r="W515">
        <v>3</v>
      </c>
      <c r="X515">
        <v>1</v>
      </c>
      <c r="Y515" s="1" t="s">
        <v>5</v>
      </c>
      <c r="Z515">
        <v>3</v>
      </c>
      <c r="AA515">
        <v>1009</v>
      </c>
      <c r="AB515">
        <v>26999</v>
      </c>
      <c r="AC515" s="1" t="s">
        <v>18</v>
      </c>
      <c r="AD515">
        <v>11</v>
      </c>
      <c r="AE515">
        <v>3</v>
      </c>
      <c r="AF515">
        <v>4</v>
      </c>
      <c r="AG515">
        <v>80</v>
      </c>
      <c r="AH515">
        <v>0</v>
      </c>
      <c r="AI515">
        <v>3</v>
      </c>
      <c r="AJ515">
        <v>1</v>
      </c>
      <c r="AK515" s="1" t="s">
        <v>136</v>
      </c>
    </row>
    <row r="516" spans="1:37" x14ac:dyDescent="0.25">
      <c r="A516">
        <v>702</v>
      </c>
      <c r="B516">
        <v>33</v>
      </c>
      <c r="C516" s="1" t="s">
        <v>25</v>
      </c>
      <c r="D516" s="1" t="s">
        <v>71</v>
      </c>
      <c r="E516">
        <v>3</v>
      </c>
      <c r="F516" s="1" t="s">
        <v>134</v>
      </c>
      <c r="G516">
        <v>1</v>
      </c>
      <c r="H516" s="1" t="s">
        <v>18</v>
      </c>
      <c r="I516">
        <v>10</v>
      </c>
      <c r="J516">
        <v>3</v>
      </c>
      <c r="K516">
        <v>10</v>
      </c>
      <c r="L516">
        <v>8</v>
      </c>
      <c r="M516">
        <v>9</v>
      </c>
      <c r="N516">
        <v>7</v>
      </c>
      <c r="O516" s="1" t="s">
        <v>18</v>
      </c>
      <c r="P516" s="1" t="s">
        <v>137</v>
      </c>
      <c r="Q516">
        <v>1076</v>
      </c>
      <c r="R516" s="1" t="s">
        <v>63</v>
      </c>
      <c r="S516">
        <v>3</v>
      </c>
      <c r="T516">
        <v>1</v>
      </c>
      <c r="U516">
        <v>1</v>
      </c>
      <c r="V516">
        <v>70</v>
      </c>
      <c r="W516">
        <v>3</v>
      </c>
      <c r="X516">
        <v>1</v>
      </c>
      <c r="Y516" s="1" t="s">
        <v>5</v>
      </c>
      <c r="Z516">
        <v>1</v>
      </c>
      <c r="AA516">
        <v>3348</v>
      </c>
      <c r="AB516">
        <v>3164</v>
      </c>
      <c r="AC516" s="1" t="s">
        <v>18</v>
      </c>
      <c r="AD516">
        <v>11</v>
      </c>
      <c r="AE516">
        <v>3</v>
      </c>
      <c r="AF516">
        <v>1</v>
      </c>
      <c r="AG516">
        <v>80</v>
      </c>
      <c r="AH516">
        <v>0</v>
      </c>
      <c r="AI516">
        <v>3</v>
      </c>
      <c r="AJ516">
        <v>1</v>
      </c>
      <c r="AK516" s="1" t="s">
        <v>136</v>
      </c>
    </row>
    <row r="517" spans="1:37" x14ac:dyDescent="0.25">
      <c r="A517">
        <v>704</v>
      </c>
      <c r="B517">
        <v>35</v>
      </c>
      <c r="C517" s="1" t="s">
        <v>25</v>
      </c>
      <c r="D517" s="1" t="s">
        <v>70</v>
      </c>
      <c r="E517">
        <v>3</v>
      </c>
      <c r="F517" s="1" t="s">
        <v>134</v>
      </c>
      <c r="G517">
        <v>1</v>
      </c>
      <c r="H517" s="1" t="s">
        <v>18</v>
      </c>
      <c r="I517">
        <v>1</v>
      </c>
      <c r="J517">
        <v>3</v>
      </c>
      <c r="K517">
        <v>1</v>
      </c>
      <c r="L517">
        <v>0</v>
      </c>
      <c r="M517">
        <v>0</v>
      </c>
      <c r="N517">
        <v>0</v>
      </c>
      <c r="O517" s="1" t="s">
        <v>19</v>
      </c>
      <c r="P517" s="1" t="s">
        <v>141</v>
      </c>
      <c r="Q517">
        <v>727</v>
      </c>
      <c r="R517" s="1" t="s">
        <v>63</v>
      </c>
      <c r="S517">
        <v>3</v>
      </c>
      <c r="T517">
        <v>1</v>
      </c>
      <c r="U517">
        <v>3</v>
      </c>
      <c r="V517">
        <v>41</v>
      </c>
      <c r="W517">
        <v>2</v>
      </c>
      <c r="X517">
        <v>1</v>
      </c>
      <c r="Y517" s="1" t="s">
        <v>6</v>
      </c>
      <c r="Z517">
        <v>3</v>
      </c>
      <c r="AA517">
        <v>1281</v>
      </c>
      <c r="AB517">
        <v>16900</v>
      </c>
      <c r="AC517" s="1" t="s">
        <v>19</v>
      </c>
      <c r="AD517">
        <v>18</v>
      </c>
      <c r="AE517">
        <v>3</v>
      </c>
      <c r="AF517">
        <v>3</v>
      </c>
      <c r="AG517">
        <v>80</v>
      </c>
      <c r="AH517">
        <v>2</v>
      </c>
      <c r="AI517">
        <v>3</v>
      </c>
      <c r="AJ517">
        <v>0</v>
      </c>
      <c r="AK517" s="1" t="s">
        <v>136</v>
      </c>
    </row>
    <row r="518" spans="1:37" x14ac:dyDescent="0.25">
      <c r="A518">
        <v>705</v>
      </c>
      <c r="B518">
        <v>23</v>
      </c>
      <c r="C518" s="1" t="s">
        <v>25</v>
      </c>
      <c r="D518" s="1" t="s">
        <v>70</v>
      </c>
      <c r="E518">
        <v>3</v>
      </c>
      <c r="F518" s="1" t="s">
        <v>139</v>
      </c>
      <c r="G518">
        <v>2</v>
      </c>
      <c r="H518" s="1" t="s">
        <v>18</v>
      </c>
      <c r="I518">
        <v>5</v>
      </c>
      <c r="J518">
        <v>3</v>
      </c>
      <c r="K518">
        <v>3</v>
      </c>
      <c r="L518">
        <v>2</v>
      </c>
      <c r="M518">
        <v>0</v>
      </c>
      <c r="N518">
        <v>2</v>
      </c>
      <c r="O518" s="1" t="s">
        <v>19</v>
      </c>
      <c r="P518" s="1" t="s">
        <v>135</v>
      </c>
      <c r="Q518">
        <v>885</v>
      </c>
      <c r="R518" s="1" t="s">
        <v>63</v>
      </c>
      <c r="S518">
        <v>4</v>
      </c>
      <c r="T518">
        <v>1</v>
      </c>
      <c r="U518">
        <v>1</v>
      </c>
      <c r="V518">
        <v>58</v>
      </c>
      <c r="W518">
        <v>4</v>
      </c>
      <c r="X518">
        <v>1</v>
      </c>
      <c r="Y518" s="1" t="s">
        <v>5</v>
      </c>
      <c r="Z518">
        <v>1</v>
      </c>
      <c r="AA518">
        <v>2819</v>
      </c>
      <c r="AB518">
        <v>8544</v>
      </c>
      <c r="AC518" s="1" t="s">
        <v>19</v>
      </c>
      <c r="AD518">
        <v>16</v>
      </c>
      <c r="AE518">
        <v>3</v>
      </c>
      <c r="AF518">
        <v>1</v>
      </c>
      <c r="AG518">
        <v>80</v>
      </c>
      <c r="AH518">
        <v>1</v>
      </c>
      <c r="AI518">
        <v>4</v>
      </c>
      <c r="AJ518">
        <v>0</v>
      </c>
      <c r="AK518" s="1" t="s">
        <v>136</v>
      </c>
    </row>
    <row r="519" spans="1:37" x14ac:dyDescent="0.25">
      <c r="A519">
        <v>707</v>
      </c>
      <c r="B519">
        <v>25</v>
      </c>
      <c r="C519" s="1" t="s">
        <v>25</v>
      </c>
      <c r="D519" s="1" t="s">
        <v>70</v>
      </c>
      <c r="E519">
        <v>3</v>
      </c>
      <c r="F519" s="1" t="s">
        <v>134</v>
      </c>
      <c r="G519">
        <v>0</v>
      </c>
      <c r="H519" s="1" t="s">
        <v>18</v>
      </c>
      <c r="I519">
        <v>4</v>
      </c>
      <c r="J519">
        <v>4</v>
      </c>
      <c r="K519">
        <v>3</v>
      </c>
      <c r="L519">
        <v>2</v>
      </c>
      <c r="M519">
        <v>1</v>
      </c>
      <c r="N519">
        <v>2</v>
      </c>
      <c r="O519" s="1" t="s">
        <v>19</v>
      </c>
      <c r="P519" s="1" t="s">
        <v>135</v>
      </c>
      <c r="Q519">
        <v>810</v>
      </c>
      <c r="R519" s="1" t="s">
        <v>64</v>
      </c>
      <c r="S519">
        <v>8</v>
      </c>
      <c r="T519">
        <v>1</v>
      </c>
      <c r="U519">
        <v>4</v>
      </c>
      <c r="V519">
        <v>57</v>
      </c>
      <c r="W519">
        <v>4</v>
      </c>
      <c r="X519">
        <v>2</v>
      </c>
      <c r="Y519" s="1" t="s">
        <v>4</v>
      </c>
      <c r="Z519">
        <v>2</v>
      </c>
      <c r="AA519">
        <v>4851</v>
      </c>
      <c r="AB519">
        <v>15678</v>
      </c>
      <c r="AC519" s="1" t="s">
        <v>19</v>
      </c>
      <c r="AD519">
        <v>22</v>
      </c>
      <c r="AE519">
        <v>4</v>
      </c>
      <c r="AF519">
        <v>3</v>
      </c>
      <c r="AG519">
        <v>80</v>
      </c>
      <c r="AH519">
        <v>1</v>
      </c>
      <c r="AI519">
        <v>3</v>
      </c>
      <c r="AJ519">
        <v>0</v>
      </c>
      <c r="AK519" s="1" t="s">
        <v>136</v>
      </c>
    </row>
    <row r="520" spans="1:37" x14ac:dyDescent="0.25">
      <c r="A520">
        <v>709</v>
      </c>
      <c r="B520">
        <v>38</v>
      </c>
      <c r="C520" s="1" t="s">
        <v>24</v>
      </c>
      <c r="D520" s="1" t="s">
        <v>71</v>
      </c>
      <c r="E520">
        <v>4</v>
      </c>
      <c r="F520" s="1" t="s">
        <v>142</v>
      </c>
      <c r="G520">
        <v>0</v>
      </c>
      <c r="H520" s="1" t="s">
        <v>18</v>
      </c>
      <c r="I520">
        <v>8</v>
      </c>
      <c r="J520">
        <v>2</v>
      </c>
      <c r="K520">
        <v>7</v>
      </c>
      <c r="L520">
        <v>7</v>
      </c>
      <c r="M520">
        <v>0</v>
      </c>
      <c r="N520">
        <v>5</v>
      </c>
      <c r="O520" s="1" t="s">
        <v>19</v>
      </c>
      <c r="P520" s="1" t="s">
        <v>135</v>
      </c>
      <c r="Q520">
        <v>243</v>
      </c>
      <c r="R520" s="1" t="s">
        <v>64</v>
      </c>
      <c r="S520">
        <v>7</v>
      </c>
      <c r="T520">
        <v>1</v>
      </c>
      <c r="U520">
        <v>4</v>
      </c>
      <c r="V520">
        <v>46</v>
      </c>
      <c r="W520">
        <v>2</v>
      </c>
      <c r="X520">
        <v>2</v>
      </c>
      <c r="Y520" s="1" t="s">
        <v>4</v>
      </c>
      <c r="Z520">
        <v>4</v>
      </c>
      <c r="AA520">
        <v>4028</v>
      </c>
      <c r="AB520">
        <v>7791</v>
      </c>
      <c r="AC520" s="1" t="s">
        <v>19</v>
      </c>
      <c r="AD520">
        <v>20</v>
      </c>
      <c r="AE520">
        <v>4</v>
      </c>
      <c r="AF520">
        <v>1</v>
      </c>
      <c r="AG520">
        <v>80</v>
      </c>
      <c r="AH520">
        <v>0</v>
      </c>
      <c r="AI520">
        <v>3</v>
      </c>
      <c r="AJ520">
        <v>0</v>
      </c>
      <c r="AK520" s="1" t="s">
        <v>136</v>
      </c>
    </row>
    <row r="521" spans="1:37" x14ac:dyDescent="0.25">
      <c r="A521">
        <v>710</v>
      </c>
      <c r="B521">
        <v>29</v>
      </c>
      <c r="C521" s="1" t="s">
        <v>25</v>
      </c>
      <c r="D521" s="1" t="s">
        <v>69</v>
      </c>
      <c r="E521">
        <v>4</v>
      </c>
      <c r="F521" s="1" t="s">
        <v>134</v>
      </c>
      <c r="G521">
        <v>1</v>
      </c>
      <c r="H521" s="1" t="s">
        <v>18</v>
      </c>
      <c r="I521">
        <v>10</v>
      </c>
      <c r="J521">
        <v>5</v>
      </c>
      <c r="K521">
        <v>10</v>
      </c>
      <c r="L521">
        <v>7</v>
      </c>
      <c r="M521">
        <v>2</v>
      </c>
      <c r="N521">
        <v>8</v>
      </c>
      <c r="O521" s="1" t="s">
        <v>19</v>
      </c>
      <c r="P521" s="1" t="s">
        <v>137</v>
      </c>
      <c r="Q521">
        <v>806</v>
      </c>
      <c r="R521" s="1" t="s">
        <v>63</v>
      </c>
      <c r="S521">
        <v>1</v>
      </c>
      <c r="T521">
        <v>1</v>
      </c>
      <c r="U521">
        <v>2</v>
      </c>
      <c r="V521">
        <v>76</v>
      </c>
      <c r="W521">
        <v>1</v>
      </c>
      <c r="X521">
        <v>1</v>
      </c>
      <c r="Y521" s="1" t="s">
        <v>5</v>
      </c>
      <c r="Z521">
        <v>4</v>
      </c>
      <c r="AA521">
        <v>2720</v>
      </c>
      <c r="AB521">
        <v>18959</v>
      </c>
      <c r="AC521" s="1" t="s">
        <v>19</v>
      </c>
      <c r="AD521">
        <v>18</v>
      </c>
      <c r="AE521">
        <v>3</v>
      </c>
      <c r="AF521">
        <v>4</v>
      </c>
      <c r="AG521">
        <v>80</v>
      </c>
      <c r="AH521">
        <v>1</v>
      </c>
      <c r="AI521">
        <v>3</v>
      </c>
      <c r="AJ521">
        <v>0</v>
      </c>
      <c r="AK521" s="1" t="s">
        <v>136</v>
      </c>
    </row>
    <row r="522" spans="1:37" x14ac:dyDescent="0.25">
      <c r="A522">
        <v>712</v>
      </c>
      <c r="B522">
        <v>48</v>
      </c>
      <c r="C522" s="1" t="s">
        <v>25</v>
      </c>
      <c r="D522" s="1" t="s">
        <v>70</v>
      </c>
      <c r="E522">
        <v>1</v>
      </c>
      <c r="F522" s="1" t="s">
        <v>142</v>
      </c>
      <c r="G522">
        <v>3</v>
      </c>
      <c r="H522" s="1" t="s">
        <v>18</v>
      </c>
      <c r="I522">
        <v>12</v>
      </c>
      <c r="J522">
        <v>3</v>
      </c>
      <c r="K522">
        <v>2</v>
      </c>
      <c r="L522">
        <v>2</v>
      </c>
      <c r="M522">
        <v>2</v>
      </c>
      <c r="N522">
        <v>2</v>
      </c>
      <c r="O522" s="1" t="s">
        <v>19</v>
      </c>
      <c r="P522" s="1" t="s">
        <v>135</v>
      </c>
      <c r="Q522">
        <v>817</v>
      </c>
      <c r="R522" s="1" t="s">
        <v>64</v>
      </c>
      <c r="S522">
        <v>2</v>
      </c>
      <c r="T522">
        <v>1</v>
      </c>
      <c r="U522">
        <v>2</v>
      </c>
      <c r="V522">
        <v>56</v>
      </c>
      <c r="W522">
        <v>4</v>
      </c>
      <c r="X522">
        <v>2</v>
      </c>
      <c r="Y522" s="1" t="s">
        <v>4</v>
      </c>
      <c r="Z522">
        <v>2</v>
      </c>
      <c r="AA522">
        <v>8120</v>
      </c>
      <c r="AB522">
        <v>18597</v>
      </c>
      <c r="AC522" s="1" t="s">
        <v>19</v>
      </c>
      <c r="AD522">
        <v>12</v>
      </c>
      <c r="AE522">
        <v>3</v>
      </c>
      <c r="AF522">
        <v>4</v>
      </c>
      <c r="AG522">
        <v>80</v>
      </c>
      <c r="AH522">
        <v>0</v>
      </c>
      <c r="AI522">
        <v>3</v>
      </c>
      <c r="AJ522">
        <v>0</v>
      </c>
      <c r="AK522" s="1" t="s">
        <v>136</v>
      </c>
    </row>
    <row r="523" spans="1:37" x14ac:dyDescent="0.25">
      <c r="A523">
        <v>714</v>
      </c>
      <c r="B523">
        <v>27</v>
      </c>
      <c r="C523" s="1" t="s">
        <v>24</v>
      </c>
      <c r="D523" s="1" t="s">
        <v>69</v>
      </c>
      <c r="E523">
        <v>1</v>
      </c>
      <c r="F523" s="1" t="s">
        <v>139</v>
      </c>
      <c r="G523">
        <v>1</v>
      </c>
      <c r="H523" s="1" t="s">
        <v>18</v>
      </c>
      <c r="I523">
        <v>6</v>
      </c>
      <c r="J523">
        <v>3</v>
      </c>
      <c r="K523">
        <v>6</v>
      </c>
      <c r="L523">
        <v>5</v>
      </c>
      <c r="M523">
        <v>0</v>
      </c>
      <c r="N523">
        <v>4</v>
      </c>
      <c r="O523" s="1" t="s">
        <v>19</v>
      </c>
      <c r="P523" s="1" t="s">
        <v>137</v>
      </c>
      <c r="Q523">
        <v>1410</v>
      </c>
      <c r="R523" s="1" t="s">
        <v>64</v>
      </c>
      <c r="S523">
        <v>3</v>
      </c>
      <c r="T523">
        <v>1</v>
      </c>
      <c r="U523">
        <v>4</v>
      </c>
      <c r="V523">
        <v>71</v>
      </c>
      <c r="W523">
        <v>4</v>
      </c>
      <c r="X523">
        <v>2</v>
      </c>
      <c r="Y523" s="1" t="s">
        <v>4</v>
      </c>
      <c r="Z523">
        <v>4</v>
      </c>
      <c r="AA523">
        <v>4647</v>
      </c>
      <c r="AB523">
        <v>16673</v>
      </c>
      <c r="AC523" s="1" t="s">
        <v>18</v>
      </c>
      <c r="AD523">
        <v>20</v>
      </c>
      <c r="AE523">
        <v>4</v>
      </c>
      <c r="AF523">
        <v>2</v>
      </c>
      <c r="AG523">
        <v>80</v>
      </c>
      <c r="AH523">
        <v>2</v>
      </c>
      <c r="AI523">
        <v>3</v>
      </c>
      <c r="AJ523">
        <v>0</v>
      </c>
      <c r="AK523" s="1" t="s">
        <v>136</v>
      </c>
    </row>
    <row r="524" spans="1:37" x14ac:dyDescent="0.25">
      <c r="A524">
        <v>715</v>
      </c>
      <c r="B524">
        <v>37</v>
      </c>
      <c r="C524" s="1" t="s">
        <v>25</v>
      </c>
      <c r="D524" s="1" t="s">
        <v>71</v>
      </c>
      <c r="E524">
        <v>2</v>
      </c>
      <c r="F524" s="1" t="s">
        <v>134</v>
      </c>
      <c r="G524">
        <v>3</v>
      </c>
      <c r="H524" s="1" t="s">
        <v>18</v>
      </c>
      <c r="I524">
        <v>4</v>
      </c>
      <c r="J524">
        <v>2</v>
      </c>
      <c r="K524">
        <v>1</v>
      </c>
      <c r="L524">
        <v>0</v>
      </c>
      <c r="M524">
        <v>0</v>
      </c>
      <c r="N524">
        <v>0</v>
      </c>
      <c r="O524" s="1" t="s">
        <v>19</v>
      </c>
      <c r="P524" s="1" t="s">
        <v>135</v>
      </c>
      <c r="Q524">
        <v>1225</v>
      </c>
      <c r="R524" s="1" t="s">
        <v>63</v>
      </c>
      <c r="S524">
        <v>10</v>
      </c>
      <c r="T524">
        <v>1</v>
      </c>
      <c r="U524">
        <v>4</v>
      </c>
      <c r="V524">
        <v>80</v>
      </c>
      <c r="W524">
        <v>4</v>
      </c>
      <c r="X524">
        <v>1</v>
      </c>
      <c r="Y524" s="1" t="s">
        <v>5</v>
      </c>
      <c r="Z524">
        <v>4</v>
      </c>
      <c r="AA524">
        <v>4680</v>
      </c>
      <c r="AB524">
        <v>15232</v>
      </c>
      <c r="AC524" s="1" t="s">
        <v>19</v>
      </c>
      <c r="AD524">
        <v>17</v>
      </c>
      <c r="AE524">
        <v>3</v>
      </c>
      <c r="AF524">
        <v>1</v>
      </c>
      <c r="AG524">
        <v>80</v>
      </c>
      <c r="AH524">
        <v>0</v>
      </c>
      <c r="AI524">
        <v>3</v>
      </c>
      <c r="AJ524">
        <v>0</v>
      </c>
      <c r="AK524" s="1" t="s">
        <v>136</v>
      </c>
    </row>
    <row r="525" spans="1:37" x14ac:dyDescent="0.25">
      <c r="A525">
        <v>716</v>
      </c>
      <c r="B525">
        <v>50</v>
      </c>
      <c r="C525" s="1" t="s">
        <v>25</v>
      </c>
      <c r="D525" s="1" t="s">
        <v>70</v>
      </c>
      <c r="E525">
        <v>1</v>
      </c>
      <c r="F525" s="1" t="s">
        <v>139</v>
      </c>
      <c r="G525">
        <v>1</v>
      </c>
      <c r="H525" s="1" t="s">
        <v>18</v>
      </c>
      <c r="I525">
        <v>20</v>
      </c>
      <c r="J525">
        <v>3</v>
      </c>
      <c r="K525">
        <v>20</v>
      </c>
      <c r="L525">
        <v>8</v>
      </c>
      <c r="M525">
        <v>3</v>
      </c>
      <c r="N525">
        <v>8</v>
      </c>
      <c r="O525" s="1" t="s">
        <v>19</v>
      </c>
      <c r="P525" s="1" t="s">
        <v>135</v>
      </c>
      <c r="Q525">
        <v>1207</v>
      </c>
      <c r="R525" s="1" t="s">
        <v>63</v>
      </c>
      <c r="S525">
        <v>28</v>
      </c>
      <c r="T525">
        <v>1</v>
      </c>
      <c r="U525">
        <v>4</v>
      </c>
      <c r="V525">
        <v>74</v>
      </c>
      <c r="W525">
        <v>4</v>
      </c>
      <c r="X525">
        <v>1</v>
      </c>
      <c r="Y525" s="1" t="s">
        <v>6</v>
      </c>
      <c r="Z525">
        <v>3</v>
      </c>
      <c r="AA525">
        <v>3221</v>
      </c>
      <c r="AB525">
        <v>3297</v>
      </c>
      <c r="AC525" s="1" t="s">
        <v>18</v>
      </c>
      <c r="AD525">
        <v>11</v>
      </c>
      <c r="AE525">
        <v>3</v>
      </c>
      <c r="AF525">
        <v>3</v>
      </c>
      <c r="AG525">
        <v>80</v>
      </c>
      <c r="AH525">
        <v>3</v>
      </c>
      <c r="AI525">
        <v>3</v>
      </c>
      <c r="AJ525">
        <v>0</v>
      </c>
      <c r="AK525" s="1" t="s">
        <v>140</v>
      </c>
    </row>
    <row r="526" spans="1:37" x14ac:dyDescent="0.25">
      <c r="A526">
        <v>717</v>
      </c>
      <c r="B526">
        <v>34</v>
      </c>
      <c r="C526" s="1" t="s">
        <v>24</v>
      </c>
      <c r="D526" s="1" t="s">
        <v>71</v>
      </c>
      <c r="E526">
        <v>3</v>
      </c>
      <c r="F526" s="1" t="s">
        <v>139</v>
      </c>
      <c r="G526">
        <v>1</v>
      </c>
      <c r="H526" s="1" t="s">
        <v>18</v>
      </c>
      <c r="I526">
        <v>9</v>
      </c>
      <c r="J526">
        <v>3</v>
      </c>
      <c r="K526">
        <v>8</v>
      </c>
      <c r="L526">
        <v>7</v>
      </c>
      <c r="M526">
        <v>7</v>
      </c>
      <c r="N526">
        <v>7</v>
      </c>
      <c r="O526" s="1" t="s">
        <v>19</v>
      </c>
      <c r="P526" s="1" t="s">
        <v>135</v>
      </c>
      <c r="Q526">
        <v>1442</v>
      </c>
      <c r="R526" s="1" t="s">
        <v>63</v>
      </c>
      <c r="S526">
        <v>9</v>
      </c>
      <c r="T526">
        <v>1</v>
      </c>
      <c r="U526">
        <v>4</v>
      </c>
      <c r="V526">
        <v>46</v>
      </c>
      <c r="W526">
        <v>2</v>
      </c>
      <c r="X526">
        <v>3</v>
      </c>
      <c r="Y526" s="1" t="s">
        <v>8</v>
      </c>
      <c r="Z526">
        <v>2</v>
      </c>
      <c r="AA526">
        <v>8621</v>
      </c>
      <c r="AB526">
        <v>17654</v>
      </c>
      <c r="AC526" s="1" t="s">
        <v>19</v>
      </c>
      <c r="AD526">
        <v>14</v>
      </c>
      <c r="AE526">
        <v>3</v>
      </c>
      <c r="AF526">
        <v>2</v>
      </c>
      <c r="AG526">
        <v>80</v>
      </c>
      <c r="AH526">
        <v>0</v>
      </c>
      <c r="AI526">
        <v>4</v>
      </c>
      <c r="AJ526">
        <v>0</v>
      </c>
      <c r="AK526" s="1" t="s">
        <v>136</v>
      </c>
    </row>
    <row r="527" spans="1:37" x14ac:dyDescent="0.25">
      <c r="A527">
        <v>720</v>
      </c>
      <c r="B527">
        <v>24</v>
      </c>
      <c r="C527" s="1" t="s">
        <v>24</v>
      </c>
      <c r="D527" s="1" t="s">
        <v>71</v>
      </c>
      <c r="E527">
        <v>2</v>
      </c>
      <c r="F527" s="1" t="s">
        <v>134</v>
      </c>
      <c r="G527">
        <v>9</v>
      </c>
      <c r="H527" s="1" t="s">
        <v>18</v>
      </c>
      <c r="I527">
        <v>4</v>
      </c>
      <c r="J527">
        <v>3</v>
      </c>
      <c r="K527">
        <v>2</v>
      </c>
      <c r="L527">
        <v>2</v>
      </c>
      <c r="M527">
        <v>2</v>
      </c>
      <c r="N527">
        <v>0</v>
      </c>
      <c r="O527" s="1" t="s">
        <v>18</v>
      </c>
      <c r="P527" s="1" t="s">
        <v>135</v>
      </c>
      <c r="Q527">
        <v>693</v>
      </c>
      <c r="R527" s="1" t="s">
        <v>64</v>
      </c>
      <c r="S527">
        <v>3</v>
      </c>
      <c r="T527">
        <v>1</v>
      </c>
      <c r="U527">
        <v>1</v>
      </c>
      <c r="V527">
        <v>65</v>
      </c>
      <c r="W527">
        <v>3</v>
      </c>
      <c r="X527">
        <v>2</v>
      </c>
      <c r="Y527" s="1" t="s">
        <v>4</v>
      </c>
      <c r="Z527">
        <v>3</v>
      </c>
      <c r="AA527">
        <v>4577</v>
      </c>
      <c r="AB527">
        <v>24785</v>
      </c>
      <c r="AC527" s="1" t="s">
        <v>19</v>
      </c>
      <c r="AD527">
        <v>14</v>
      </c>
      <c r="AE527">
        <v>3</v>
      </c>
      <c r="AF527">
        <v>1</v>
      </c>
      <c r="AG527">
        <v>80</v>
      </c>
      <c r="AH527">
        <v>0</v>
      </c>
      <c r="AI527">
        <v>3</v>
      </c>
      <c r="AJ527">
        <v>1</v>
      </c>
      <c r="AK527" s="1" t="s">
        <v>136</v>
      </c>
    </row>
    <row r="528" spans="1:37" x14ac:dyDescent="0.25">
      <c r="A528">
        <v>721</v>
      </c>
      <c r="B528">
        <v>39</v>
      </c>
      <c r="C528" s="1" t="s">
        <v>24</v>
      </c>
      <c r="D528" s="1" t="s">
        <v>71</v>
      </c>
      <c r="E528">
        <v>4</v>
      </c>
      <c r="F528" s="1" t="s">
        <v>143</v>
      </c>
      <c r="G528">
        <v>1</v>
      </c>
      <c r="H528" s="1" t="s">
        <v>18</v>
      </c>
      <c r="I528">
        <v>20</v>
      </c>
      <c r="J528">
        <v>4</v>
      </c>
      <c r="K528">
        <v>20</v>
      </c>
      <c r="L528">
        <v>7</v>
      </c>
      <c r="M528">
        <v>11</v>
      </c>
      <c r="N528">
        <v>10</v>
      </c>
      <c r="O528" s="1" t="s">
        <v>19</v>
      </c>
      <c r="P528" s="1" t="s">
        <v>135</v>
      </c>
      <c r="Q528">
        <v>408</v>
      </c>
      <c r="R528" s="1" t="s">
        <v>63</v>
      </c>
      <c r="S528">
        <v>2</v>
      </c>
      <c r="T528">
        <v>1</v>
      </c>
      <c r="U528">
        <v>4</v>
      </c>
      <c r="V528">
        <v>80</v>
      </c>
      <c r="W528">
        <v>2</v>
      </c>
      <c r="X528">
        <v>2</v>
      </c>
      <c r="Y528" s="1" t="s">
        <v>8</v>
      </c>
      <c r="Z528">
        <v>3</v>
      </c>
      <c r="AA528">
        <v>4553</v>
      </c>
      <c r="AB528">
        <v>20978</v>
      </c>
      <c r="AC528" s="1" t="s">
        <v>19</v>
      </c>
      <c r="AD528">
        <v>11</v>
      </c>
      <c r="AE528">
        <v>3</v>
      </c>
      <c r="AF528">
        <v>1</v>
      </c>
      <c r="AG528">
        <v>80</v>
      </c>
      <c r="AH528">
        <v>0</v>
      </c>
      <c r="AI528">
        <v>3</v>
      </c>
      <c r="AJ528">
        <v>0</v>
      </c>
      <c r="AK528" s="1" t="s">
        <v>136</v>
      </c>
    </row>
    <row r="529" spans="1:37" x14ac:dyDescent="0.25">
      <c r="A529">
        <v>722</v>
      </c>
      <c r="B529">
        <v>32</v>
      </c>
      <c r="C529" s="1" t="s">
        <v>25</v>
      </c>
      <c r="D529" s="1" t="s">
        <v>71</v>
      </c>
      <c r="E529">
        <v>3</v>
      </c>
      <c r="F529" s="1" t="s">
        <v>142</v>
      </c>
      <c r="G529">
        <v>1</v>
      </c>
      <c r="H529" s="1" t="s">
        <v>18</v>
      </c>
      <c r="I529">
        <v>10</v>
      </c>
      <c r="J529">
        <v>2</v>
      </c>
      <c r="K529">
        <v>10</v>
      </c>
      <c r="L529">
        <v>7</v>
      </c>
      <c r="M529">
        <v>0</v>
      </c>
      <c r="N529">
        <v>8</v>
      </c>
      <c r="O529" s="1" t="s">
        <v>19</v>
      </c>
      <c r="P529" s="1" t="s">
        <v>135</v>
      </c>
      <c r="Q529">
        <v>929</v>
      </c>
      <c r="R529" s="1" t="s">
        <v>64</v>
      </c>
      <c r="S529">
        <v>10</v>
      </c>
      <c r="T529">
        <v>1</v>
      </c>
      <c r="U529">
        <v>4</v>
      </c>
      <c r="V529">
        <v>55</v>
      </c>
      <c r="W529">
        <v>3</v>
      </c>
      <c r="X529">
        <v>2</v>
      </c>
      <c r="Y529" s="1" t="s">
        <v>4</v>
      </c>
      <c r="Z529">
        <v>4</v>
      </c>
      <c r="AA529">
        <v>5396</v>
      </c>
      <c r="AB529">
        <v>21703</v>
      </c>
      <c r="AC529" s="1" t="s">
        <v>19</v>
      </c>
      <c r="AD529">
        <v>12</v>
      </c>
      <c r="AE529">
        <v>3</v>
      </c>
      <c r="AF529">
        <v>4</v>
      </c>
      <c r="AG529">
        <v>80</v>
      </c>
      <c r="AH529">
        <v>0</v>
      </c>
      <c r="AI529">
        <v>2</v>
      </c>
      <c r="AJ529">
        <v>0</v>
      </c>
      <c r="AK529" s="1" t="s">
        <v>136</v>
      </c>
    </row>
    <row r="530" spans="1:37" x14ac:dyDescent="0.25">
      <c r="A530">
        <v>723</v>
      </c>
      <c r="B530">
        <v>50</v>
      </c>
      <c r="C530" s="1" t="s">
        <v>25</v>
      </c>
      <c r="D530" s="1" t="s">
        <v>70</v>
      </c>
      <c r="E530">
        <v>2</v>
      </c>
      <c r="F530" s="1" t="s">
        <v>143</v>
      </c>
      <c r="G530">
        <v>3</v>
      </c>
      <c r="H530" s="1" t="s">
        <v>18</v>
      </c>
      <c r="I530">
        <v>18</v>
      </c>
      <c r="J530">
        <v>4</v>
      </c>
      <c r="K530">
        <v>4</v>
      </c>
      <c r="L530">
        <v>3</v>
      </c>
      <c r="M530">
        <v>1</v>
      </c>
      <c r="N530">
        <v>3</v>
      </c>
      <c r="O530" s="1" t="s">
        <v>18</v>
      </c>
      <c r="P530" s="1" t="s">
        <v>137</v>
      </c>
      <c r="Q530">
        <v>562</v>
      </c>
      <c r="R530" s="1" t="s">
        <v>64</v>
      </c>
      <c r="S530">
        <v>8</v>
      </c>
      <c r="T530">
        <v>1</v>
      </c>
      <c r="U530">
        <v>2</v>
      </c>
      <c r="V530">
        <v>50</v>
      </c>
      <c r="W530">
        <v>3</v>
      </c>
      <c r="X530">
        <v>2</v>
      </c>
      <c r="Y530" s="1" t="s">
        <v>4</v>
      </c>
      <c r="Z530">
        <v>3</v>
      </c>
      <c r="AA530">
        <v>6796</v>
      </c>
      <c r="AB530">
        <v>23452</v>
      </c>
      <c r="AC530" s="1" t="s">
        <v>18</v>
      </c>
      <c r="AD530">
        <v>14</v>
      </c>
      <c r="AE530">
        <v>3</v>
      </c>
      <c r="AF530">
        <v>1</v>
      </c>
      <c r="AG530">
        <v>80</v>
      </c>
      <c r="AH530">
        <v>1</v>
      </c>
      <c r="AI530">
        <v>3</v>
      </c>
      <c r="AJ530">
        <v>1</v>
      </c>
      <c r="AK530" s="1" t="s">
        <v>140</v>
      </c>
    </row>
    <row r="531" spans="1:37" x14ac:dyDescent="0.25">
      <c r="A531">
        <v>724</v>
      </c>
      <c r="B531">
        <v>38</v>
      </c>
      <c r="C531" s="1" t="s">
        <v>24</v>
      </c>
      <c r="D531" s="1" t="s">
        <v>71</v>
      </c>
      <c r="E531">
        <v>4</v>
      </c>
      <c r="F531" s="1" t="s">
        <v>134</v>
      </c>
      <c r="G531">
        <v>0</v>
      </c>
      <c r="H531" s="1" t="s">
        <v>18</v>
      </c>
      <c r="I531">
        <v>10</v>
      </c>
      <c r="J531">
        <v>4</v>
      </c>
      <c r="K531">
        <v>9</v>
      </c>
      <c r="L531">
        <v>7</v>
      </c>
      <c r="M531">
        <v>1</v>
      </c>
      <c r="N531">
        <v>8</v>
      </c>
      <c r="O531" s="1" t="s">
        <v>19</v>
      </c>
      <c r="P531" s="1" t="s">
        <v>135</v>
      </c>
      <c r="Q531">
        <v>827</v>
      </c>
      <c r="R531" s="1" t="s">
        <v>63</v>
      </c>
      <c r="S531">
        <v>1</v>
      </c>
      <c r="T531">
        <v>1</v>
      </c>
      <c r="U531">
        <v>2</v>
      </c>
      <c r="V531">
        <v>33</v>
      </c>
      <c r="W531">
        <v>4</v>
      </c>
      <c r="X531">
        <v>2</v>
      </c>
      <c r="Y531" s="1" t="s">
        <v>8</v>
      </c>
      <c r="Z531">
        <v>4</v>
      </c>
      <c r="AA531">
        <v>7625</v>
      </c>
      <c r="AB531">
        <v>19383</v>
      </c>
      <c r="AC531" s="1" t="s">
        <v>19</v>
      </c>
      <c r="AD531">
        <v>13</v>
      </c>
      <c r="AE531">
        <v>3</v>
      </c>
      <c r="AF531">
        <v>3</v>
      </c>
      <c r="AG531">
        <v>80</v>
      </c>
      <c r="AH531">
        <v>0</v>
      </c>
      <c r="AI531">
        <v>2</v>
      </c>
      <c r="AJ531">
        <v>0</v>
      </c>
      <c r="AK531" s="1" t="s">
        <v>136</v>
      </c>
    </row>
    <row r="532" spans="1:37" x14ac:dyDescent="0.25">
      <c r="A532">
        <v>725</v>
      </c>
      <c r="B532">
        <v>27</v>
      </c>
      <c r="C532" s="1" t="s">
        <v>24</v>
      </c>
      <c r="D532" s="1" t="s">
        <v>70</v>
      </c>
      <c r="E532">
        <v>2</v>
      </c>
      <c r="F532" s="1" t="s">
        <v>134</v>
      </c>
      <c r="G532">
        <v>1</v>
      </c>
      <c r="H532" s="1" t="s">
        <v>18</v>
      </c>
      <c r="I532">
        <v>9</v>
      </c>
      <c r="J532">
        <v>3</v>
      </c>
      <c r="K532">
        <v>9</v>
      </c>
      <c r="L532">
        <v>7</v>
      </c>
      <c r="M532">
        <v>0</v>
      </c>
      <c r="N532">
        <v>7</v>
      </c>
      <c r="O532" s="1" t="s">
        <v>19</v>
      </c>
      <c r="P532" s="1" t="s">
        <v>135</v>
      </c>
      <c r="Q532">
        <v>608</v>
      </c>
      <c r="R532" s="1" t="s">
        <v>63</v>
      </c>
      <c r="S532">
        <v>1</v>
      </c>
      <c r="T532">
        <v>1</v>
      </c>
      <c r="U532">
        <v>3</v>
      </c>
      <c r="V532">
        <v>68</v>
      </c>
      <c r="W532">
        <v>3</v>
      </c>
      <c r="X532">
        <v>3</v>
      </c>
      <c r="Y532" s="1" t="s">
        <v>7</v>
      </c>
      <c r="Z532">
        <v>1</v>
      </c>
      <c r="AA532">
        <v>7412</v>
      </c>
      <c r="AB532">
        <v>6009</v>
      </c>
      <c r="AC532" s="1" t="s">
        <v>19</v>
      </c>
      <c r="AD532">
        <v>11</v>
      </c>
      <c r="AE532">
        <v>3</v>
      </c>
      <c r="AF532">
        <v>4</v>
      </c>
      <c r="AG532">
        <v>80</v>
      </c>
      <c r="AH532">
        <v>0</v>
      </c>
      <c r="AI532">
        <v>3</v>
      </c>
      <c r="AJ532">
        <v>0</v>
      </c>
      <c r="AK532" s="1" t="s">
        <v>136</v>
      </c>
    </row>
    <row r="533" spans="1:37" x14ac:dyDescent="0.25">
      <c r="A533">
        <v>727</v>
      </c>
      <c r="B533">
        <v>32</v>
      </c>
      <c r="C533" s="1" t="s">
        <v>24</v>
      </c>
      <c r="D533" s="1" t="s">
        <v>71</v>
      </c>
      <c r="E533">
        <v>2</v>
      </c>
      <c r="F533" s="1" t="s">
        <v>134</v>
      </c>
      <c r="G533">
        <v>3</v>
      </c>
      <c r="H533" s="1" t="s">
        <v>18</v>
      </c>
      <c r="I533">
        <v>10</v>
      </c>
      <c r="J533">
        <v>6</v>
      </c>
      <c r="K533">
        <v>7</v>
      </c>
      <c r="L533">
        <v>7</v>
      </c>
      <c r="M533">
        <v>7</v>
      </c>
      <c r="N533">
        <v>7</v>
      </c>
      <c r="O533" s="1" t="s">
        <v>19</v>
      </c>
      <c r="P533" s="1" t="s">
        <v>135</v>
      </c>
      <c r="Q533">
        <v>1018</v>
      </c>
      <c r="R533" s="1" t="s">
        <v>63</v>
      </c>
      <c r="S533">
        <v>3</v>
      </c>
      <c r="T533">
        <v>1</v>
      </c>
      <c r="U533">
        <v>3</v>
      </c>
      <c r="V533">
        <v>39</v>
      </c>
      <c r="W533">
        <v>3</v>
      </c>
      <c r="X533">
        <v>3</v>
      </c>
      <c r="Y533" s="1" t="s">
        <v>11</v>
      </c>
      <c r="Z533">
        <v>4</v>
      </c>
      <c r="AA533">
        <v>11159</v>
      </c>
      <c r="AB533">
        <v>19373</v>
      </c>
      <c r="AC533" s="1" t="s">
        <v>19</v>
      </c>
      <c r="AD533">
        <v>15</v>
      </c>
      <c r="AE533">
        <v>3</v>
      </c>
      <c r="AF533">
        <v>4</v>
      </c>
      <c r="AG533">
        <v>80</v>
      </c>
      <c r="AH533">
        <v>0</v>
      </c>
      <c r="AI533">
        <v>3</v>
      </c>
      <c r="AJ533">
        <v>0</v>
      </c>
      <c r="AK533" s="1" t="s">
        <v>136</v>
      </c>
    </row>
    <row r="534" spans="1:37" x14ac:dyDescent="0.25">
      <c r="A534">
        <v>728</v>
      </c>
      <c r="B534">
        <v>47</v>
      </c>
      <c r="C534" s="1" t="s">
        <v>25</v>
      </c>
      <c r="D534" s="1" t="s">
        <v>71</v>
      </c>
      <c r="E534">
        <v>4</v>
      </c>
      <c r="F534" s="1" t="s">
        <v>142</v>
      </c>
      <c r="G534">
        <v>2</v>
      </c>
      <c r="H534" s="1" t="s">
        <v>18</v>
      </c>
      <c r="I534">
        <v>20</v>
      </c>
      <c r="J534">
        <v>2</v>
      </c>
      <c r="K534">
        <v>7</v>
      </c>
      <c r="L534">
        <v>7</v>
      </c>
      <c r="M534">
        <v>1</v>
      </c>
      <c r="N534">
        <v>7</v>
      </c>
      <c r="O534" s="1" t="s">
        <v>19</v>
      </c>
      <c r="P534" s="1" t="s">
        <v>135</v>
      </c>
      <c r="Q534">
        <v>703</v>
      </c>
      <c r="R534" s="1" t="s">
        <v>64</v>
      </c>
      <c r="S534">
        <v>14</v>
      </c>
      <c r="T534">
        <v>1</v>
      </c>
      <c r="U534">
        <v>4</v>
      </c>
      <c r="V534">
        <v>42</v>
      </c>
      <c r="W534">
        <v>3</v>
      </c>
      <c r="X534">
        <v>2</v>
      </c>
      <c r="Y534" s="1" t="s">
        <v>4</v>
      </c>
      <c r="Z534">
        <v>1</v>
      </c>
      <c r="AA534">
        <v>4960</v>
      </c>
      <c r="AB534">
        <v>11825</v>
      </c>
      <c r="AC534" s="1" t="s">
        <v>19</v>
      </c>
      <c r="AD534">
        <v>12</v>
      </c>
      <c r="AE534">
        <v>3</v>
      </c>
      <c r="AF534">
        <v>4</v>
      </c>
      <c r="AG534">
        <v>80</v>
      </c>
      <c r="AH534">
        <v>0</v>
      </c>
      <c r="AI534">
        <v>3</v>
      </c>
      <c r="AJ534">
        <v>0</v>
      </c>
      <c r="AK534" s="1" t="s">
        <v>136</v>
      </c>
    </row>
    <row r="535" spans="1:37" x14ac:dyDescent="0.25">
      <c r="A535">
        <v>729</v>
      </c>
      <c r="B535">
        <v>40</v>
      </c>
      <c r="C535" s="1" t="s">
        <v>25</v>
      </c>
      <c r="D535" s="1" t="s">
        <v>70</v>
      </c>
      <c r="E535">
        <v>4</v>
      </c>
      <c r="F535" s="1" t="s">
        <v>134</v>
      </c>
      <c r="G535">
        <v>5</v>
      </c>
      <c r="H535" s="1" t="s">
        <v>18</v>
      </c>
      <c r="I535">
        <v>20</v>
      </c>
      <c r="J535">
        <v>2</v>
      </c>
      <c r="K535">
        <v>18</v>
      </c>
      <c r="L535">
        <v>13</v>
      </c>
      <c r="M535">
        <v>1</v>
      </c>
      <c r="N535">
        <v>12</v>
      </c>
      <c r="O535" s="1" t="s">
        <v>19</v>
      </c>
      <c r="P535" s="1" t="s">
        <v>137</v>
      </c>
      <c r="Q535">
        <v>580</v>
      </c>
      <c r="R535" s="1" t="s">
        <v>64</v>
      </c>
      <c r="S535">
        <v>5</v>
      </c>
      <c r="T535">
        <v>1</v>
      </c>
      <c r="U535">
        <v>4</v>
      </c>
      <c r="V535">
        <v>48</v>
      </c>
      <c r="W535">
        <v>2</v>
      </c>
      <c r="X535">
        <v>3</v>
      </c>
      <c r="Y535" s="1" t="s">
        <v>4</v>
      </c>
      <c r="Z535">
        <v>1</v>
      </c>
      <c r="AA535">
        <v>10475</v>
      </c>
      <c r="AB535">
        <v>23772</v>
      </c>
      <c r="AC535" s="1" t="s">
        <v>18</v>
      </c>
      <c r="AD535">
        <v>21</v>
      </c>
      <c r="AE535">
        <v>4</v>
      </c>
      <c r="AF535">
        <v>3</v>
      </c>
      <c r="AG535">
        <v>80</v>
      </c>
      <c r="AH535">
        <v>1</v>
      </c>
      <c r="AI535">
        <v>3</v>
      </c>
      <c r="AJ535">
        <v>0</v>
      </c>
      <c r="AK535" s="1" t="s">
        <v>136</v>
      </c>
    </row>
    <row r="536" spans="1:37" x14ac:dyDescent="0.25">
      <c r="A536">
        <v>730</v>
      </c>
      <c r="B536">
        <v>53</v>
      </c>
      <c r="C536" s="1" t="s">
        <v>25</v>
      </c>
      <c r="D536" s="1" t="s">
        <v>70</v>
      </c>
      <c r="E536">
        <v>3</v>
      </c>
      <c r="F536" s="1" t="s">
        <v>134</v>
      </c>
      <c r="G536">
        <v>3</v>
      </c>
      <c r="H536" s="1" t="s">
        <v>18</v>
      </c>
      <c r="I536">
        <v>32</v>
      </c>
      <c r="J536">
        <v>3</v>
      </c>
      <c r="K536">
        <v>5</v>
      </c>
      <c r="L536">
        <v>1</v>
      </c>
      <c r="M536">
        <v>1</v>
      </c>
      <c r="N536">
        <v>3</v>
      </c>
      <c r="O536" s="1" t="s">
        <v>19</v>
      </c>
      <c r="P536" s="1" t="s">
        <v>135</v>
      </c>
      <c r="Q536">
        <v>970</v>
      </c>
      <c r="R536" s="1" t="s">
        <v>63</v>
      </c>
      <c r="S536">
        <v>7</v>
      </c>
      <c r="T536">
        <v>1</v>
      </c>
      <c r="U536">
        <v>3</v>
      </c>
      <c r="V536">
        <v>59</v>
      </c>
      <c r="W536">
        <v>4</v>
      </c>
      <c r="X536">
        <v>4</v>
      </c>
      <c r="Y536" s="1" t="s">
        <v>11</v>
      </c>
      <c r="Z536">
        <v>3</v>
      </c>
      <c r="AA536">
        <v>14814</v>
      </c>
      <c r="AB536">
        <v>13514</v>
      </c>
      <c r="AC536" s="1" t="s">
        <v>19</v>
      </c>
      <c r="AD536">
        <v>19</v>
      </c>
      <c r="AE536">
        <v>3</v>
      </c>
      <c r="AF536">
        <v>3</v>
      </c>
      <c r="AG536">
        <v>80</v>
      </c>
      <c r="AH536">
        <v>0</v>
      </c>
      <c r="AI536">
        <v>3</v>
      </c>
      <c r="AJ536">
        <v>0</v>
      </c>
      <c r="AK536" s="1" t="s">
        <v>140</v>
      </c>
    </row>
    <row r="537" spans="1:37" x14ac:dyDescent="0.25">
      <c r="A537">
        <v>731</v>
      </c>
      <c r="B537">
        <v>41</v>
      </c>
      <c r="C537" s="1" t="s">
        <v>25</v>
      </c>
      <c r="D537" s="1" t="s">
        <v>69</v>
      </c>
      <c r="E537">
        <v>4</v>
      </c>
      <c r="F537" s="1" t="s">
        <v>12</v>
      </c>
      <c r="G537">
        <v>3</v>
      </c>
      <c r="H537" s="1" t="s">
        <v>18</v>
      </c>
      <c r="I537">
        <v>23</v>
      </c>
      <c r="J537">
        <v>2</v>
      </c>
      <c r="K537">
        <v>21</v>
      </c>
      <c r="L537">
        <v>6</v>
      </c>
      <c r="M537">
        <v>12</v>
      </c>
      <c r="N537">
        <v>6</v>
      </c>
      <c r="O537" s="1" t="s">
        <v>19</v>
      </c>
      <c r="P537" s="1" t="s">
        <v>135</v>
      </c>
      <c r="Q537">
        <v>427</v>
      </c>
      <c r="R537" s="1" t="s">
        <v>12</v>
      </c>
      <c r="S537">
        <v>10</v>
      </c>
      <c r="T537">
        <v>1</v>
      </c>
      <c r="U537">
        <v>2</v>
      </c>
      <c r="V537">
        <v>73</v>
      </c>
      <c r="W537">
        <v>2</v>
      </c>
      <c r="X537">
        <v>5</v>
      </c>
      <c r="Y537" s="1" t="s">
        <v>9</v>
      </c>
      <c r="Z537">
        <v>4</v>
      </c>
      <c r="AA537">
        <v>19141</v>
      </c>
      <c r="AB537">
        <v>8861</v>
      </c>
      <c r="AC537" s="1" t="s">
        <v>19</v>
      </c>
      <c r="AD537">
        <v>15</v>
      </c>
      <c r="AE537">
        <v>3</v>
      </c>
      <c r="AF537">
        <v>2</v>
      </c>
      <c r="AG537">
        <v>80</v>
      </c>
      <c r="AH537">
        <v>3</v>
      </c>
      <c r="AI537">
        <v>2</v>
      </c>
      <c r="AJ537">
        <v>0</v>
      </c>
      <c r="AK537" s="1" t="s">
        <v>136</v>
      </c>
    </row>
    <row r="538" spans="1:37" x14ac:dyDescent="0.25">
      <c r="A538">
        <v>732</v>
      </c>
      <c r="B538">
        <v>60</v>
      </c>
      <c r="C538" s="1" t="s">
        <v>25</v>
      </c>
      <c r="D538" s="1" t="s">
        <v>71</v>
      </c>
      <c r="E538">
        <v>4</v>
      </c>
      <c r="F538" s="1" t="s">
        <v>142</v>
      </c>
      <c r="G538">
        <v>8</v>
      </c>
      <c r="H538" s="1" t="s">
        <v>18</v>
      </c>
      <c r="I538">
        <v>10</v>
      </c>
      <c r="J538">
        <v>1</v>
      </c>
      <c r="K538">
        <v>2</v>
      </c>
      <c r="L538">
        <v>2</v>
      </c>
      <c r="M538">
        <v>2</v>
      </c>
      <c r="N538">
        <v>2</v>
      </c>
      <c r="O538" s="1" t="s">
        <v>19</v>
      </c>
      <c r="P538" s="1" t="s">
        <v>135</v>
      </c>
      <c r="Q538">
        <v>1179</v>
      </c>
      <c r="R538" s="1" t="s">
        <v>64</v>
      </c>
      <c r="S538">
        <v>16</v>
      </c>
      <c r="T538">
        <v>1</v>
      </c>
      <c r="U538">
        <v>1</v>
      </c>
      <c r="V538">
        <v>84</v>
      </c>
      <c r="W538">
        <v>3</v>
      </c>
      <c r="X538">
        <v>2</v>
      </c>
      <c r="Y538" s="1" t="s">
        <v>4</v>
      </c>
      <c r="Z538">
        <v>1</v>
      </c>
      <c r="AA538">
        <v>5405</v>
      </c>
      <c r="AB538">
        <v>11924</v>
      </c>
      <c r="AC538" s="1" t="s">
        <v>19</v>
      </c>
      <c r="AD538">
        <v>14</v>
      </c>
      <c r="AE538">
        <v>3</v>
      </c>
      <c r="AF538">
        <v>4</v>
      </c>
      <c r="AG538">
        <v>80</v>
      </c>
      <c r="AH538">
        <v>0</v>
      </c>
      <c r="AI538">
        <v>3</v>
      </c>
      <c r="AJ538">
        <v>0</v>
      </c>
      <c r="AK538" s="1" t="s">
        <v>140</v>
      </c>
    </row>
    <row r="539" spans="1:37" x14ac:dyDescent="0.25">
      <c r="A539">
        <v>733</v>
      </c>
      <c r="B539">
        <v>27</v>
      </c>
      <c r="C539" s="1" t="s">
        <v>25</v>
      </c>
      <c r="D539" s="1" t="s">
        <v>69</v>
      </c>
      <c r="E539">
        <v>2</v>
      </c>
      <c r="F539" s="1" t="s">
        <v>134</v>
      </c>
      <c r="G539">
        <v>1</v>
      </c>
      <c r="H539" s="1" t="s">
        <v>18</v>
      </c>
      <c r="I539">
        <v>9</v>
      </c>
      <c r="J539">
        <v>4</v>
      </c>
      <c r="K539">
        <v>9</v>
      </c>
      <c r="L539">
        <v>7</v>
      </c>
      <c r="M539">
        <v>1</v>
      </c>
      <c r="N539">
        <v>7</v>
      </c>
      <c r="O539" s="1" t="s">
        <v>19</v>
      </c>
      <c r="P539" s="1" t="s">
        <v>137</v>
      </c>
      <c r="Q539">
        <v>294</v>
      </c>
      <c r="R539" s="1" t="s">
        <v>63</v>
      </c>
      <c r="S539">
        <v>10</v>
      </c>
      <c r="T539">
        <v>1</v>
      </c>
      <c r="U539">
        <v>4</v>
      </c>
      <c r="V539">
        <v>32</v>
      </c>
      <c r="W539">
        <v>3</v>
      </c>
      <c r="X539">
        <v>3</v>
      </c>
      <c r="Y539" s="1" t="s">
        <v>7</v>
      </c>
      <c r="Z539">
        <v>1</v>
      </c>
      <c r="AA539">
        <v>8793</v>
      </c>
      <c r="AB539">
        <v>4809</v>
      </c>
      <c r="AC539" s="1" t="s">
        <v>19</v>
      </c>
      <c r="AD539">
        <v>21</v>
      </c>
      <c r="AE539">
        <v>4</v>
      </c>
      <c r="AF539">
        <v>3</v>
      </c>
      <c r="AG539">
        <v>80</v>
      </c>
      <c r="AH539">
        <v>2</v>
      </c>
      <c r="AI539">
        <v>2</v>
      </c>
      <c r="AJ539">
        <v>0</v>
      </c>
      <c r="AK539" s="1" t="s">
        <v>136</v>
      </c>
    </row>
    <row r="540" spans="1:37" x14ac:dyDescent="0.25">
      <c r="A540">
        <v>734</v>
      </c>
      <c r="B540">
        <v>41</v>
      </c>
      <c r="C540" s="1" t="s">
        <v>25</v>
      </c>
      <c r="D540" s="1" t="s">
        <v>70</v>
      </c>
      <c r="E540">
        <v>3</v>
      </c>
      <c r="F540" s="1" t="s">
        <v>12</v>
      </c>
      <c r="G540">
        <v>1</v>
      </c>
      <c r="H540" s="1" t="s">
        <v>18</v>
      </c>
      <c r="I540">
        <v>22</v>
      </c>
      <c r="J540">
        <v>3</v>
      </c>
      <c r="K540">
        <v>22</v>
      </c>
      <c r="L540">
        <v>7</v>
      </c>
      <c r="M540">
        <v>2</v>
      </c>
      <c r="N540">
        <v>10</v>
      </c>
      <c r="O540" s="1" t="s">
        <v>19</v>
      </c>
      <c r="P540" s="1" t="s">
        <v>135</v>
      </c>
      <c r="Q540">
        <v>314</v>
      </c>
      <c r="R540" s="1" t="s">
        <v>12</v>
      </c>
      <c r="S540">
        <v>1</v>
      </c>
      <c r="T540">
        <v>1</v>
      </c>
      <c r="U540">
        <v>4</v>
      </c>
      <c r="V540">
        <v>59</v>
      </c>
      <c r="W540">
        <v>2</v>
      </c>
      <c r="X540">
        <v>5</v>
      </c>
      <c r="Y540" s="1" t="s">
        <v>9</v>
      </c>
      <c r="Z540">
        <v>3</v>
      </c>
      <c r="AA540">
        <v>19189</v>
      </c>
      <c r="AB540">
        <v>19562</v>
      </c>
      <c r="AC540" s="1" t="s">
        <v>19</v>
      </c>
      <c r="AD540">
        <v>12</v>
      </c>
      <c r="AE540">
        <v>3</v>
      </c>
      <c r="AF540">
        <v>2</v>
      </c>
      <c r="AG540">
        <v>80</v>
      </c>
      <c r="AH540">
        <v>1</v>
      </c>
      <c r="AI540">
        <v>3</v>
      </c>
      <c r="AJ540">
        <v>0</v>
      </c>
      <c r="AK540" s="1" t="s">
        <v>136</v>
      </c>
    </row>
    <row r="541" spans="1:37" x14ac:dyDescent="0.25">
      <c r="A541">
        <v>738</v>
      </c>
      <c r="B541">
        <v>50</v>
      </c>
      <c r="C541" s="1" t="s">
        <v>25</v>
      </c>
      <c r="D541" s="1" t="s">
        <v>70</v>
      </c>
      <c r="E541">
        <v>4</v>
      </c>
      <c r="F541" s="1" t="s">
        <v>142</v>
      </c>
      <c r="G541">
        <v>7</v>
      </c>
      <c r="H541" s="1" t="s">
        <v>18</v>
      </c>
      <c r="I541">
        <v>4</v>
      </c>
      <c r="J541">
        <v>2</v>
      </c>
      <c r="K541">
        <v>2</v>
      </c>
      <c r="L541">
        <v>2</v>
      </c>
      <c r="M541">
        <v>2</v>
      </c>
      <c r="N541">
        <v>2</v>
      </c>
      <c r="O541" s="1" t="s">
        <v>19</v>
      </c>
      <c r="P541" s="1" t="s">
        <v>135</v>
      </c>
      <c r="Q541">
        <v>316</v>
      </c>
      <c r="R541" s="1" t="s">
        <v>64</v>
      </c>
      <c r="S541">
        <v>8</v>
      </c>
      <c r="T541">
        <v>1</v>
      </c>
      <c r="U541">
        <v>4</v>
      </c>
      <c r="V541">
        <v>54</v>
      </c>
      <c r="W541">
        <v>3</v>
      </c>
      <c r="X541">
        <v>1</v>
      </c>
      <c r="Y541" s="1" t="s">
        <v>10</v>
      </c>
      <c r="Z541">
        <v>2</v>
      </c>
      <c r="AA541">
        <v>3875</v>
      </c>
      <c r="AB541">
        <v>9983</v>
      </c>
      <c r="AC541" s="1" t="s">
        <v>19</v>
      </c>
      <c r="AD541">
        <v>15</v>
      </c>
      <c r="AE541">
        <v>3</v>
      </c>
      <c r="AF541">
        <v>4</v>
      </c>
      <c r="AG541">
        <v>80</v>
      </c>
      <c r="AH541">
        <v>1</v>
      </c>
      <c r="AI541">
        <v>3</v>
      </c>
      <c r="AJ541">
        <v>0</v>
      </c>
      <c r="AK541" s="1" t="s">
        <v>140</v>
      </c>
    </row>
    <row r="542" spans="1:37" x14ac:dyDescent="0.25">
      <c r="A542">
        <v>741</v>
      </c>
      <c r="B542">
        <v>28</v>
      </c>
      <c r="C542" s="1" t="s">
        <v>24</v>
      </c>
      <c r="D542" s="1" t="s">
        <v>71</v>
      </c>
      <c r="E542">
        <v>2</v>
      </c>
      <c r="F542" s="1" t="s">
        <v>134</v>
      </c>
      <c r="G542">
        <v>7</v>
      </c>
      <c r="H542" s="1" t="s">
        <v>18</v>
      </c>
      <c r="I542">
        <v>10</v>
      </c>
      <c r="J542">
        <v>4</v>
      </c>
      <c r="K542">
        <v>7</v>
      </c>
      <c r="L542">
        <v>7</v>
      </c>
      <c r="M542">
        <v>3</v>
      </c>
      <c r="N542">
        <v>7</v>
      </c>
      <c r="O542" s="1" t="s">
        <v>18</v>
      </c>
      <c r="P542" s="1" t="s">
        <v>135</v>
      </c>
      <c r="Q542">
        <v>654</v>
      </c>
      <c r="R542" s="1" t="s">
        <v>63</v>
      </c>
      <c r="S542">
        <v>1</v>
      </c>
      <c r="T542">
        <v>1</v>
      </c>
      <c r="U542">
        <v>1</v>
      </c>
      <c r="V542">
        <v>67</v>
      </c>
      <c r="W542">
        <v>1</v>
      </c>
      <c r="X542">
        <v>1</v>
      </c>
      <c r="Y542" s="1" t="s">
        <v>5</v>
      </c>
      <c r="Z542">
        <v>2</v>
      </c>
      <c r="AA542">
        <v>2216</v>
      </c>
      <c r="AB542">
        <v>3872</v>
      </c>
      <c r="AC542" s="1" t="s">
        <v>18</v>
      </c>
      <c r="AD542">
        <v>13</v>
      </c>
      <c r="AE542">
        <v>3</v>
      </c>
      <c r="AF542">
        <v>4</v>
      </c>
      <c r="AG542">
        <v>80</v>
      </c>
      <c r="AH542">
        <v>0</v>
      </c>
      <c r="AI542">
        <v>3</v>
      </c>
      <c r="AJ542">
        <v>1</v>
      </c>
      <c r="AK542" s="1" t="s">
        <v>136</v>
      </c>
    </row>
    <row r="543" spans="1:37" x14ac:dyDescent="0.25">
      <c r="A543">
        <v>742</v>
      </c>
      <c r="B543">
        <v>36</v>
      </c>
      <c r="C543" s="1" t="s">
        <v>24</v>
      </c>
      <c r="D543" s="1" t="s">
        <v>70</v>
      </c>
      <c r="E543">
        <v>3</v>
      </c>
      <c r="F543" s="1" t="s">
        <v>134</v>
      </c>
      <c r="G543">
        <v>9</v>
      </c>
      <c r="H543" s="1" t="s">
        <v>18</v>
      </c>
      <c r="I543">
        <v>10</v>
      </c>
      <c r="J543">
        <v>2</v>
      </c>
      <c r="K543">
        <v>8</v>
      </c>
      <c r="L543">
        <v>7</v>
      </c>
      <c r="M543">
        <v>0</v>
      </c>
      <c r="N543">
        <v>5</v>
      </c>
      <c r="O543" s="1" t="s">
        <v>19</v>
      </c>
      <c r="P543" s="1" t="s">
        <v>141</v>
      </c>
      <c r="Q543">
        <v>427</v>
      </c>
      <c r="R543" s="1" t="s">
        <v>63</v>
      </c>
      <c r="S543">
        <v>8</v>
      </c>
      <c r="T543">
        <v>1</v>
      </c>
      <c r="U543">
        <v>1</v>
      </c>
      <c r="V543">
        <v>63</v>
      </c>
      <c r="W543">
        <v>4</v>
      </c>
      <c r="X543">
        <v>3</v>
      </c>
      <c r="Y543" s="1" t="s">
        <v>11</v>
      </c>
      <c r="Z543">
        <v>1</v>
      </c>
      <c r="AA543">
        <v>11713</v>
      </c>
      <c r="AB543">
        <v>20335</v>
      </c>
      <c r="AC543" s="1" t="s">
        <v>19</v>
      </c>
      <c r="AD543">
        <v>14</v>
      </c>
      <c r="AE543">
        <v>3</v>
      </c>
      <c r="AF543">
        <v>1</v>
      </c>
      <c r="AG543">
        <v>80</v>
      </c>
      <c r="AH543">
        <v>1</v>
      </c>
      <c r="AI543">
        <v>3</v>
      </c>
      <c r="AJ543">
        <v>0</v>
      </c>
      <c r="AK543" s="1" t="s">
        <v>136</v>
      </c>
    </row>
    <row r="544" spans="1:37" x14ac:dyDescent="0.25">
      <c r="A544">
        <v>743</v>
      </c>
      <c r="B544">
        <v>38</v>
      </c>
      <c r="C544" s="1" t="s">
        <v>24</v>
      </c>
      <c r="D544" s="1" t="s">
        <v>71</v>
      </c>
      <c r="E544">
        <v>3</v>
      </c>
      <c r="F544" s="1" t="s">
        <v>134</v>
      </c>
      <c r="G544">
        <v>4</v>
      </c>
      <c r="H544" s="1" t="s">
        <v>18</v>
      </c>
      <c r="I544">
        <v>10</v>
      </c>
      <c r="J544">
        <v>4</v>
      </c>
      <c r="K544">
        <v>1</v>
      </c>
      <c r="L544">
        <v>0</v>
      </c>
      <c r="M544">
        <v>0</v>
      </c>
      <c r="N544">
        <v>0</v>
      </c>
      <c r="O544" s="1" t="s">
        <v>19</v>
      </c>
      <c r="P544" s="1" t="s">
        <v>135</v>
      </c>
      <c r="Q544">
        <v>168</v>
      </c>
      <c r="R544" s="1" t="s">
        <v>63</v>
      </c>
      <c r="S544">
        <v>1</v>
      </c>
      <c r="T544">
        <v>1</v>
      </c>
      <c r="U544">
        <v>3</v>
      </c>
      <c r="V544">
        <v>81</v>
      </c>
      <c r="W544">
        <v>3</v>
      </c>
      <c r="X544">
        <v>3</v>
      </c>
      <c r="Y544" s="1" t="s">
        <v>7</v>
      </c>
      <c r="Z544">
        <v>3</v>
      </c>
      <c r="AA544">
        <v>7861</v>
      </c>
      <c r="AB544">
        <v>15397</v>
      </c>
      <c r="AC544" s="1" t="s">
        <v>18</v>
      </c>
      <c r="AD544">
        <v>14</v>
      </c>
      <c r="AE544">
        <v>3</v>
      </c>
      <c r="AF544">
        <v>4</v>
      </c>
      <c r="AG544">
        <v>80</v>
      </c>
      <c r="AH544">
        <v>0</v>
      </c>
      <c r="AI544">
        <v>4</v>
      </c>
      <c r="AJ544">
        <v>0</v>
      </c>
      <c r="AK544" s="1" t="s">
        <v>136</v>
      </c>
    </row>
    <row r="545" spans="1:37" x14ac:dyDescent="0.25">
      <c r="A545">
        <v>744</v>
      </c>
      <c r="B545">
        <v>44</v>
      </c>
      <c r="C545" s="1" t="s">
        <v>25</v>
      </c>
      <c r="D545" s="1" t="s">
        <v>71</v>
      </c>
      <c r="E545">
        <v>3</v>
      </c>
      <c r="F545" s="1" t="s">
        <v>139</v>
      </c>
      <c r="G545">
        <v>2</v>
      </c>
      <c r="H545" s="1" t="s">
        <v>18</v>
      </c>
      <c r="I545">
        <v>9</v>
      </c>
      <c r="J545">
        <v>5</v>
      </c>
      <c r="K545">
        <v>5</v>
      </c>
      <c r="L545">
        <v>2</v>
      </c>
      <c r="M545">
        <v>1</v>
      </c>
      <c r="N545">
        <v>4</v>
      </c>
      <c r="O545" s="1" t="s">
        <v>19</v>
      </c>
      <c r="P545" s="1" t="s">
        <v>141</v>
      </c>
      <c r="Q545">
        <v>381</v>
      </c>
      <c r="R545" s="1" t="s">
        <v>63</v>
      </c>
      <c r="S545">
        <v>24</v>
      </c>
      <c r="T545">
        <v>1</v>
      </c>
      <c r="U545">
        <v>1</v>
      </c>
      <c r="V545">
        <v>49</v>
      </c>
      <c r="W545">
        <v>1</v>
      </c>
      <c r="X545">
        <v>1</v>
      </c>
      <c r="Y545" s="1" t="s">
        <v>6</v>
      </c>
      <c r="Z545">
        <v>3</v>
      </c>
      <c r="AA545">
        <v>3708</v>
      </c>
      <c r="AB545">
        <v>2104</v>
      </c>
      <c r="AC545" s="1" t="s">
        <v>19</v>
      </c>
      <c r="AD545">
        <v>14</v>
      </c>
      <c r="AE545">
        <v>3</v>
      </c>
      <c r="AF545">
        <v>3</v>
      </c>
      <c r="AG545">
        <v>80</v>
      </c>
      <c r="AH545">
        <v>0</v>
      </c>
      <c r="AI545">
        <v>3</v>
      </c>
      <c r="AJ545">
        <v>0</v>
      </c>
      <c r="AK545" s="1" t="s">
        <v>136</v>
      </c>
    </row>
    <row r="546" spans="1:37" x14ac:dyDescent="0.25">
      <c r="A546">
        <v>746</v>
      </c>
      <c r="B546">
        <v>47</v>
      </c>
      <c r="C546" s="1" t="s">
        <v>24</v>
      </c>
      <c r="D546" s="1" t="s">
        <v>69</v>
      </c>
      <c r="E546">
        <v>3</v>
      </c>
      <c r="F546" s="1" t="s">
        <v>139</v>
      </c>
      <c r="G546">
        <v>9</v>
      </c>
      <c r="H546" s="1" t="s">
        <v>18</v>
      </c>
      <c r="I546">
        <v>28</v>
      </c>
      <c r="J546">
        <v>2</v>
      </c>
      <c r="K546">
        <v>22</v>
      </c>
      <c r="L546">
        <v>2</v>
      </c>
      <c r="M546">
        <v>11</v>
      </c>
      <c r="N546">
        <v>13</v>
      </c>
      <c r="O546" s="1" t="s">
        <v>19</v>
      </c>
      <c r="P546" s="1" t="s">
        <v>137</v>
      </c>
      <c r="Q546">
        <v>217</v>
      </c>
      <c r="R546" s="1" t="s">
        <v>64</v>
      </c>
      <c r="S546">
        <v>3</v>
      </c>
      <c r="T546">
        <v>1</v>
      </c>
      <c r="U546">
        <v>4</v>
      </c>
      <c r="V546">
        <v>49</v>
      </c>
      <c r="W546">
        <v>3</v>
      </c>
      <c r="X546">
        <v>4</v>
      </c>
      <c r="Y546" s="1" t="s">
        <v>4</v>
      </c>
      <c r="Z546">
        <v>3</v>
      </c>
      <c r="AA546">
        <v>13770</v>
      </c>
      <c r="AB546">
        <v>10225</v>
      </c>
      <c r="AC546" s="1" t="s">
        <v>18</v>
      </c>
      <c r="AD546">
        <v>12</v>
      </c>
      <c r="AE546">
        <v>3</v>
      </c>
      <c r="AF546">
        <v>4</v>
      </c>
      <c r="AG546">
        <v>80</v>
      </c>
      <c r="AH546">
        <v>2</v>
      </c>
      <c r="AI546">
        <v>2</v>
      </c>
      <c r="AJ546">
        <v>0</v>
      </c>
      <c r="AK546" s="1" t="s">
        <v>136</v>
      </c>
    </row>
    <row r="547" spans="1:37" x14ac:dyDescent="0.25">
      <c r="A547">
        <v>747</v>
      </c>
      <c r="B547">
        <v>30</v>
      </c>
      <c r="C547" s="1" t="s">
        <v>25</v>
      </c>
      <c r="D547" s="1" t="s">
        <v>69</v>
      </c>
      <c r="E547">
        <v>5</v>
      </c>
      <c r="F547" s="1" t="s">
        <v>142</v>
      </c>
      <c r="G547">
        <v>7</v>
      </c>
      <c r="H547" s="1" t="s">
        <v>18</v>
      </c>
      <c r="I547">
        <v>10</v>
      </c>
      <c r="J547">
        <v>2</v>
      </c>
      <c r="K547">
        <v>8</v>
      </c>
      <c r="L547">
        <v>7</v>
      </c>
      <c r="M547">
        <v>7</v>
      </c>
      <c r="N547">
        <v>7</v>
      </c>
      <c r="O547" s="1" t="s">
        <v>19</v>
      </c>
      <c r="P547" s="1" t="s">
        <v>135</v>
      </c>
      <c r="Q547">
        <v>501</v>
      </c>
      <c r="R547" s="1" t="s">
        <v>64</v>
      </c>
      <c r="S547">
        <v>27</v>
      </c>
      <c r="T547">
        <v>1</v>
      </c>
      <c r="U547">
        <v>3</v>
      </c>
      <c r="V547">
        <v>99</v>
      </c>
      <c r="W547">
        <v>3</v>
      </c>
      <c r="X547">
        <v>2</v>
      </c>
      <c r="Y547" s="1" t="s">
        <v>4</v>
      </c>
      <c r="Z547">
        <v>4</v>
      </c>
      <c r="AA547">
        <v>5304</v>
      </c>
      <c r="AB547">
        <v>25275</v>
      </c>
      <c r="AC547" s="1" t="s">
        <v>19</v>
      </c>
      <c r="AD547">
        <v>23</v>
      </c>
      <c r="AE547">
        <v>4</v>
      </c>
      <c r="AF547">
        <v>4</v>
      </c>
      <c r="AG547">
        <v>80</v>
      </c>
      <c r="AH547">
        <v>1</v>
      </c>
      <c r="AI547">
        <v>2</v>
      </c>
      <c r="AJ547">
        <v>0</v>
      </c>
      <c r="AK547" s="1" t="s">
        <v>136</v>
      </c>
    </row>
    <row r="548" spans="1:37" x14ac:dyDescent="0.25">
      <c r="A548">
        <v>749</v>
      </c>
      <c r="B548">
        <v>29</v>
      </c>
      <c r="C548" s="1" t="s">
        <v>25</v>
      </c>
      <c r="D548" s="1" t="s">
        <v>71</v>
      </c>
      <c r="E548">
        <v>3</v>
      </c>
      <c r="F548" s="1" t="s">
        <v>134</v>
      </c>
      <c r="G548">
        <v>1</v>
      </c>
      <c r="H548" s="1" t="s">
        <v>18</v>
      </c>
      <c r="I548">
        <v>1</v>
      </c>
      <c r="J548">
        <v>6</v>
      </c>
      <c r="K548">
        <v>1</v>
      </c>
      <c r="L548">
        <v>0</v>
      </c>
      <c r="M548">
        <v>0</v>
      </c>
      <c r="N548">
        <v>0</v>
      </c>
      <c r="O548" s="1" t="s">
        <v>19</v>
      </c>
      <c r="P548" s="1" t="s">
        <v>135</v>
      </c>
      <c r="Q548">
        <v>1396</v>
      </c>
      <c r="R548" s="1" t="s">
        <v>64</v>
      </c>
      <c r="S548">
        <v>10</v>
      </c>
      <c r="T548">
        <v>1</v>
      </c>
      <c r="U548">
        <v>3</v>
      </c>
      <c r="V548">
        <v>99</v>
      </c>
      <c r="W548">
        <v>3</v>
      </c>
      <c r="X548">
        <v>1</v>
      </c>
      <c r="Y548" s="1" t="s">
        <v>10</v>
      </c>
      <c r="Z548">
        <v>3</v>
      </c>
      <c r="AA548">
        <v>2642</v>
      </c>
      <c r="AB548">
        <v>2755</v>
      </c>
      <c r="AC548" s="1" t="s">
        <v>19</v>
      </c>
      <c r="AD548">
        <v>11</v>
      </c>
      <c r="AE548">
        <v>3</v>
      </c>
      <c r="AF548">
        <v>3</v>
      </c>
      <c r="AG548">
        <v>80</v>
      </c>
      <c r="AH548">
        <v>0</v>
      </c>
      <c r="AI548">
        <v>3</v>
      </c>
      <c r="AJ548">
        <v>0</v>
      </c>
      <c r="AK548" s="1" t="s">
        <v>136</v>
      </c>
    </row>
    <row r="549" spans="1:37" x14ac:dyDescent="0.25">
      <c r="A549">
        <v>752</v>
      </c>
      <c r="B549">
        <v>42</v>
      </c>
      <c r="C549" s="1" t="s">
        <v>25</v>
      </c>
      <c r="D549" s="1" t="s">
        <v>69</v>
      </c>
      <c r="E549">
        <v>3</v>
      </c>
      <c r="F549" s="1" t="s">
        <v>139</v>
      </c>
      <c r="G549">
        <v>6</v>
      </c>
      <c r="H549" s="1" t="s">
        <v>18</v>
      </c>
      <c r="I549">
        <v>7</v>
      </c>
      <c r="J549">
        <v>2</v>
      </c>
      <c r="K549">
        <v>2</v>
      </c>
      <c r="L549">
        <v>2</v>
      </c>
      <c r="M549">
        <v>2</v>
      </c>
      <c r="N549">
        <v>2</v>
      </c>
      <c r="O549" s="1" t="s">
        <v>18</v>
      </c>
      <c r="P549" s="1" t="s">
        <v>137</v>
      </c>
      <c r="Q549">
        <v>933</v>
      </c>
      <c r="R549" s="1" t="s">
        <v>63</v>
      </c>
      <c r="S549">
        <v>19</v>
      </c>
      <c r="T549">
        <v>1</v>
      </c>
      <c r="U549">
        <v>3</v>
      </c>
      <c r="V549">
        <v>57</v>
      </c>
      <c r="W549">
        <v>4</v>
      </c>
      <c r="X549">
        <v>1</v>
      </c>
      <c r="Y549" s="1" t="s">
        <v>5</v>
      </c>
      <c r="Z549">
        <v>3</v>
      </c>
      <c r="AA549">
        <v>2759</v>
      </c>
      <c r="AB549">
        <v>20366</v>
      </c>
      <c r="AC549" s="1" t="s">
        <v>18</v>
      </c>
      <c r="AD549">
        <v>12</v>
      </c>
      <c r="AE549">
        <v>3</v>
      </c>
      <c r="AF549">
        <v>4</v>
      </c>
      <c r="AG549">
        <v>80</v>
      </c>
      <c r="AH549">
        <v>0</v>
      </c>
      <c r="AI549">
        <v>3</v>
      </c>
      <c r="AJ549">
        <v>1</v>
      </c>
      <c r="AK549" s="1" t="s">
        <v>136</v>
      </c>
    </row>
    <row r="550" spans="1:37" x14ac:dyDescent="0.25">
      <c r="A550">
        <v>754</v>
      </c>
      <c r="B550">
        <v>43</v>
      </c>
      <c r="C550" s="1" t="s">
        <v>25</v>
      </c>
      <c r="D550" s="1" t="s">
        <v>70</v>
      </c>
      <c r="E550">
        <v>3</v>
      </c>
      <c r="F550" s="1" t="s">
        <v>134</v>
      </c>
      <c r="G550">
        <v>3</v>
      </c>
      <c r="H550" s="1" t="s">
        <v>18</v>
      </c>
      <c r="I550">
        <v>7</v>
      </c>
      <c r="J550">
        <v>5</v>
      </c>
      <c r="K550">
        <v>2</v>
      </c>
      <c r="L550">
        <v>2</v>
      </c>
      <c r="M550">
        <v>2</v>
      </c>
      <c r="N550">
        <v>2</v>
      </c>
      <c r="O550" s="1" t="s">
        <v>19</v>
      </c>
      <c r="P550" s="1" t="s">
        <v>137</v>
      </c>
      <c r="Q550">
        <v>775</v>
      </c>
      <c r="R550" s="1" t="s">
        <v>64</v>
      </c>
      <c r="S550">
        <v>15</v>
      </c>
      <c r="T550">
        <v>1</v>
      </c>
      <c r="U550">
        <v>4</v>
      </c>
      <c r="V550">
        <v>47</v>
      </c>
      <c r="W550">
        <v>2</v>
      </c>
      <c r="X550">
        <v>2</v>
      </c>
      <c r="Y550" s="1" t="s">
        <v>4</v>
      </c>
      <c r="Z550">
        <v>4</v>
      </c>
      <c r="AA550">
        <v>6804</v>
      </c>
      <c r="AB550">
        <v>23683</v>
      </c>
      <c r="AC550" s="1" t="s">
        <v>19</v>
      </c>
      <c r="AD550">
        <v>18</v>
      </c>
      <c r="AE550">
        <v>3</v>
      </c>
      <c r="AF550">
        <v>3</v>
      </c>
      <c r="AG550">
        <v>80</v>
      </c>
      <c r="AH550">
        <v>1</v>
      </c>
      <c r="AI550">
        <v>3</v>
      </c>
      <c r="AJ550">
        <v>0</v>
      </c>
      <c r="AK550" s="1" t="s">
        <v>136</v>
      </c>
    </row>
    <row r="551" spans="1:37" x14ac:dyDescent="0.25">
      <c r="A551">
        <v>757</v>
      </c>
      <c r="B551">
        <v>34</v>
      </c>
      <c r="C551" s="1" t="s">
        <v>24</v>
      </c>
      <c r="D551" s="1" t="s">
        <v>71</v>
      </c>
      <c r="E551">
        <v>2</v>
      </c>
      <c r="F551" s="1" t="s">
        <v>139</v>
      </c>
      <c r="G551">
        <v>3</v>
      </c>
      <c r="H551" s="1" t="s">
        <v>18</v>
      </c>
      <c r="I551">
        <v>10</v>
      </c>
      <c r="J551">
        <v>2</v>
      </c>
      <c r="K551">
        <v>5</v>
      </c>
      <c r="L551">
        <v>1</v>
      </c>
      <c r="M551">
        <v>4</v>
      </c>
      <c r="N551">
        <v>3</v>
      </c>
      <c r="O551" s="1" t="s">
        <v>19</v>
      </c>
      <c r="P551" s="1" t="s">
        <v>135</v>
      </c>
      <c r="Q551">
        <v>970</v>
      </c>
      <c r="R551" s="1" t="s">
        <v>63</v>
      </c>
      <c r="S551">
        <v>8</v>
      </c>
      <c r="T551">
        <v>1</v>
      </c>
      <c r="U551">
        <v>2</v>
      </c>
      <c r="V551">
        <v>96</v>
      </c>
      <c r="W551">
        <v>3</v>
      </c>
      <c r="X551">
        <v>2</v>
      </c>
      <c r="Y551" s="1" t="s">
        <v>8</v>
      </c>
      <c r="Z551">
        <v>3</v>
      </c>
      <c r="AA551">
        <v>6142</v>
      </c>
      <c r="AB551">
        <v>7360</v>
      </c>
      <c r="AC551" s="1" t="s">
        <v>19</v>
      </c>
      <c r="AD551">
        <v>11</v>
      </c>
      <c r="AE551">
        <v>3</v>
      </c>
      <c r="AF551">
        <v>4</v>
      </c>
      <c r="AG551">
        <v>80</v>
      </c>
      <c r="AH551">
        <v>0</v>
      </c>
      <c r="AI551">
        <v>3</v>
      </c>
      <c r="AJ551">
        <v>0</v>
      </c>
      <c r="AK551" s="1" t="s">
        <v>136</v>
      </c>
    </row>
    <row r="552" spans="1:37" x14ac:dyDescent="0.25">
      <c r="A552">
        <v>758</v>
      </c>
      <c r="B552">
        <v>23</v>
      </c>
      <c r="C552" s="1" t="s">
        <v>25</v>
      </c>
      <c r="D552" s="1" t="s">
        <v>70</v>
      </c>
      <c r="E552">
        <v>1</v>
      </c>
      <c r="F552" s="1" t="s">
        <v>139</v>
      </c>
      <c r="G552">
        <v>1</v>
      </c>
      <c r="H552" s="1" t="s">
        <v>18</v>
      </c>
      <c r="I552">
        <v>5</v>
      </c>
      <c r="J552">
        <v>2</v>
      </c>
      <c r="K552">
        <v>4</v>
      </c>
      <c r="L552">
        <v>3</v>
      </c>
      <c r="M552">
        <v>0</v>
      </c>
      <c r="N552">
        <v>2</v>
      </c>
      <c r="O552" s="1" t="s">
        <v>19</v>
      </c>
      <c r="P552" s="1" t="s">
        <v>135</v>
      </c>
      <c r="Q552">
        <v>650</v>
      </c>
      <c r="R552" s="1" t="s">
        <v>63</v>
      </c>
      <c r="S552">
        <v>9</v>
      </c>
      <c r="T552">
        <v>1</v>
      </c>
      <c r="U552">
        <v>2</v>
      </c>
      <c r="V552">
        <v>37</v>
      </c>
      <c r="W552">
        <v>3</v>
      </c>
      <c r="X552">
        <v>1</v>
      </c>
      <c r="Y552" s="1" t="s">
        <v>6</v>
      </c>
      <c r="Z552">
        <v>1</v>
      </c>
      <c r="AA552">
        <v>2500</v>
      </c>
      <c r="AB552">
        <v>4344</v>
      </c>
      <c r="AC552" s="1" t="s">
        <v>19</v>
      </c>
      <c r="AD552">
        <v>14</v>
      </c>
      <c r="AE552">
        <v>3</v>
      </c>
      <c r="AF552">
        <v>4</v>
      </c>
      <c r="AG552">
        <v>80</v>
      </c>
      <c r="AH552">
        <v>1</v>
      </c>
      <c r="AI552">
        <v>4</v>
      </c>
      <c r="AJ552">
        <v>0</v>
      </c>
      <c r="AK552" s="1" t="s">
        <v>136</v>
      </c>
    </row>
    <row r="553" spans="1:37" x14ac:dyDescent="0.25">
      <c r="A553">
        <v>760</v>
      </c>
      <c r="B553">
        <v>39</v>
      </c>
      <c r="C553" s="1" t="s">
        <v>24</v>
      </c>
      <c r="D553" s="1" t="s">
        <v>70</v>
      </c>
      <c r="E553">
        <v>3</v>
      </c>
      <c r="F553" s="1" t="s">
        <v>12</v>
      </c>
      <c r="G553">
        <v>9</v>
      </c>
      <c r="H553" s="1" t="s">
        <v>18</v>
      </c>
      <c r="I553">
        <v>12</v>
      </c>
      <c r="J553">
        <v>3</v>
      </c>
      <c r="K553">
        <v>8</v>
      </c>
      <c r="L553">
        <v>3</v>
      </c>
      <c r="M553">
        <v>3</v>
      </c>
      <c r="N553">
        <v>6</v>
      </c>
      <c r="O553" s="1" t="s">
        <v>19</v>
      </c>
      <c r="P553" s="1" t="s">
        <v>135</v>
      </c>
      <c r="Q553">
        <v>141</v>
      </c>
      <c r="R553" s="1" t="s">
        <v>12</v>
      </c>
      <c r="S553">
        <v>3</v>
      </c>
      <c r="T553">
        <v>1</v>
      </c>
      <c r="U553">
        <v>3</v>
      </c>
      <c r="V553">
        <v>44</v>
      </c>
      <c r="W553">
        <v>4</v>
      </c>
      <c r="X553">
        <v>2</v>
      </c>
      <c r="Y553" s="1" t="s">
        <v>12</v>
      </c>
      <c r="Z553">
        <v>2</v>
      </c>
      <c r="AA553">
        <v>6389</v>
      </c>
      <c r="AB553">
        <v>18767</v>
      </c>
      <c r="AC553" s="1" t="s">
        <v>19</v>
      </c>
      <c r="AD553">
        <v>15</v>
      </c>
      <c r="AE553">
        <v>3</v>
      </c>
      <c r="AF553">
        <v>3</v>
      </c>
      <c r="AG553">
        <v>80</v>
      </c>
      <c r="AH553">
        <v>1</v>
      </c>
      <c r="AI553">
        <v>1</v>
      </c>
      <c r="AJ553">
        <v>0</v>
      </c>
      <c r="AK553" s="1" t="s">
        <v>136</v>
      </c>
    </row>
    <row r="554" spans="1:37" x14ac:dyDescent="0.25">
      <c r="A554">
        <v>762</v>
      </c>
      <c r="B554">
        <v>56</v>
      </c>
      <c r="C554" s="1" t="s">
        <v>25</v>
      </c>
      <c r="D554" s="1" t="s">
        <v>70</v>
      </c>
      <c r="E554">
        <v>3</v>
      </c>
      <c r="F554" s="1" t="s">
        <v>139</v>
      </c>
      <c r="G554">
        <v>7</v>
      </c>
      <c r="H554" s="1" t="s">
        <v>18</v>
      </c>
      <c r="I554">
        <v>30</v>
      </c>
      <c r="J554">
        <v>1</v>
      </c>
      <c r="K554">
        <v>10</v>
      </c>
      <c r="L554">
        <v>7</v>
      </c>
      <c r="M554">
        <v>1</v>
      </c>
      <c r="N554">
        <v>1</v>
      </c>
      <c r="O554" s="1" t="s">
        <v>19</v>
      </c>
      <c r="P554" s="1" t="s">
        <v>135</v>
      </c>
      <c r="Q554">
        <v>832</v>
      </c>
      <c r="R554" s="1" t="s">
        <v>63</v>
      </c>
      <c r="S554">
        <v>9</v>
      </c>
      <c r="T554">
        <v>1</v>
      </c>
      <c r="U554">
        <v>3</v>
      </c>
      <c r="V554">
        <v>81</v>
      </c>
      <c r="W554">
        <v>3</v>
      </c>
      <c r="X554">
        <v>4</v>
      </c>
      <c r="Y554" s="1" t="s">
        <v>8</v>
      </c>
      <c r="Z554">
        <v>4</v>
      </c>
      <c r="AA554">
        <v>11103</v>
      </c>
      <c r="AB554">
        <v>20420</v>
      </c>
      <c r="AC554" s="1" t="s">
        <v>19</v>
      </c>
      <c r="AD554">
        <v>11</v>
      </c>
      <c r="AE554">
        <v>3</v>
      </c>
      <c r="AF554">
        <v>3</v>
      </c>
      <c r="AG554">
        <v>80</v>
      </c>
      <c r="AH554">
        <v>0</v>
      </c>
      <c r="AI554">
        <v>2</v>
      </c>
      <c r="AJ554">
        <v>0</v>
      </c>
      <c r="AK554" s="1" t="s">
        <v>140</v>
      </c>
    </row>
    <row r="555" spans="1:37" x14ac:dyDescent="0.25">
      <c r="A555">
        <v>763</v>
      </c>
      <c r="B555">
        <v>40</v>
      </c>
      <c r="C555" s="1" t="s">
        <v>24</v>
      </c>
      <c r="D555" s="1" t="s">
        <v>71</v>
      </c>
      <c r="E555">
        <v>1</v>
      </c>
      <c r="F555" s="1" t="s">
        <v>139</v>
      </c>
      <c r="G555">
        <v>0</v>
      </c>
      <c r="H555" s="1" t="s">
        <v>18</v>
      </c>
      <c r="I555">
        <v>5</v>
      </c>
      <c r="J555">
        <v>2</v>
      </c>
      <c r="K555">
        <v>4</v>
      </c>
      <c r="L555">
        <v>2</v>
      </c>
      <c r="M555">
        <v>2</v>
      </c>
      <c r="N555">
        <v>3</v>
      </c>
      <c r="O555" s="1" t="s">
        <v>19</v>
      </c>
      <c r="P555" s="1" t="s">
        <v>135</v>
      </c>
      <c r="Q555">
        <v>804</v>
      </c>
      <c r="R555" s="1" t="s">
        <v>63</v>
      </c>
      <c r="S555">
        <v>2</v>
      </c>
      <c r="T555">
        <v>1</v>
      </c>
      <c r="U555">
        <v>4</v>
      </c>
      <c r="V555">
        <v>86</v>
      </c>
      <c r="W555">
        <v>2</v>
      </c>
      <c r="X555">
        <v>1</v>
      </c>
      <c r="Y555" s="1" t="s">
        <v>5</v>
      </c>
      <c r="Z555">
        <v>4</v>
      </c>
      <c r="AA555">
        <v>2342</v>
      </c>
      <c r="AB555">
        <v>22929</v>
      </c>
      <c r="AC555" s="1" t="s">
        <v>18</v>
      </c>
      <c r="AD555">
        <v>20</v>
      </c>
      <c r="AE555">
        <v>4</v>
      </c>
      <c r="AF555">
        <v>4</v>
      </c>
      <c r="AG555">
        <v>80</v>
      </c>
      <c r="AH555">
        <v>0</v>
      </c>
      <c r="AI555">
        <v>2</v>
      </c>
      <c r="AJ555">
        <v>0</v>
      </c>
      <c r="AK555" s="1" t="s">
        <v>136</v>
      </c>
    </row>
    <row r="556" spans="1:37" x14ac:dyDescent="0.25">
      <c r="A556">
        <v>764</v>
      </c>
      <c r="B556">
        <v>27</v>
      </c>
      <c r="C556" s="1" t="s">
        <v>24</v>
      </c>
      <c r="D556" s="1" t="s">
        <v>71</v>
      </c>
      <c r="E556">
        <v>3</v>
      </c>
      <c r="F556" s="1" t="s">
        <v>139</v>
      </c>
      <c r="G556">
        <v>8</v>
      </c>
      <c r="H556" s="1" t="s">
        <v>18</v>
      </c>
      <c r="I556">
        <v>9</v>
      </c>
      <c r="J556">
        <v>2</v>
      </c>
      <c r="K556">
        <v>7</v>
      </c>
      <c r="L556">
        <v>6</v>
      </c>
      <c r="M556">
        <v>0</v>
      </c>
      <c r="N556">
        <v>7</v>
      </c>
      <c r="O556" s="1" t="s">
        <v>19</v>
      </c>
      <c r="P556" s="1" t="s">
        <v>135</v>
      </c>
      <c r="Q556">
        <v>975</v>
      </c>
      <c r="R556" s="1" t="s">
        <v>63</v>
      </c>
      <c r="S556">
        <v>7</v>
      </c>
      <c r="T556">
        <v>1</v>
      </c>
      <c r="U556">
        <v>4</v>
      </c>
      <c r="V556">
        <v>55</v>
      </c>
      <c r="W556">
        <v>2</v>
      </c>
      <c r="X556">
        <v>2</v>
      </c>
      <c r="Y556" s="1" t="s">
        <v>8</v>
      </c>
      <c r="Z556">
        <v>1</v>
      </c>
      <c r="AA556">
        <v>6811</v>
      </c>
      <c r="AB556">
        <v>23398</v>
      </c>
      <c r="AC556" s="1" t="s">
        <v>19</v>
      </c>
      <c r="AD556">
        <v>19</v>
      </c>
      <c r="AE556">
        <v>3</v>
      </c>
      <c r="AF556">
        <v>1</v>
      </c>
      <c r="AG556">
        <v>80</v>
      </c>
      <c r="AH556">
        <v>0</v>
      </c>
      <c r="AI556">
        <v>1</v>
      </c>
      <c r="AJ556">
        <v>0</v>
      </c>
      <c r="AK556" s="1" t="s">
        <v>136</v>
      </c>
    </row>
    <row r="557" spans="1:37" x14ac:dyDescent="0.25">
      <c r="A557">
        <v>766</v>
      </c>
      <c r="B557">
        <v>29</v>
      </c>
      <c r="C557" s="1" t="s">
        <v>25</v>
      </c>
      <c r="D557" s="1" t="s">
        <v>69</v>
      </c>
      <c r="E557">
        <v>3</v>
      </c>
      <c r="F557" s="1" t="s">
        <v>142</v>
      </c>
      <c r="G557">
        <v>1</v>
      </c>
      <c r="H557" s="1" t="s">
        <v>18</v>
      </c>
      <c r="I557">
        <v>2</v>
      </c>
      <c r="J557">
        <v>2</v>
      </c>
      <c r="K557">
        <v>2</v>
      </c>
      <c r="L557">
        <v>2</v>
      </c>
      <c r="M557">
        <v>2</v>
      </c>
      <c r="N557">
        <v>2</v>
      </c>
      <c r="O557" s="1" t="s">
        <v>19</v>
      </c>
      <c r="P557" s="1" t="s">
        <v>135</v>
      </c>
      <c r="Q557">
        <v>1090</v>
      </c>
      <c r="R557" s="1" t="s">
        <v>64</v>
      </c>
      <c r="S557">
        <v>10</v>
      </c>
      <c r="T557">
        <v>1</v>
      </c>
      <c r="U557">
        <v>4</v>
      </c>
      <c r="V557">
        <v>83</v>
      </c>
      <c r="W557">
        <v>3</v>
      </c>
      <c r="X557">
        <v>1</v>
      </c>
      <c r="Y557" s="1" t="s">
        <v>10</v>
      </c>
      <c r="Z557">
        <v>2</v>
      </c>
      <c r="AA557">
        <v>2297</v>
      </c>
      <c r="AB557">
        <v>17967</v>
      </c>
      <c r="AC557" s="1" t="s">
        <v>19</v>
      </c>
      <c r="AD557">
        <v>14</v>
      </c>
      <c r="AE557">
        <v>3</v>
      </c>
      <c r="AF557">
        <v>4</v>
      </c>
      <c r="AG557">
        <v>80</v>
      </c>
      <c r="AH557">
        <v>2</v>
      </c>
      <c r="AI557">
        <v>3</v>
      </c>
      <c r="AJ557">
        <v>0</v>
      </c>
      <c r="AK557" s="1" t="s">
        <v>136</v>
      </c>
    </row>
    <row r="558" spans="1:37" x14ac:dyDescent="0.25">
      <c r="A558">
        <v>769</v>
      </c>
      <c r="B558">
        <v>53</v>
      </c>
      <c r="C558" s="1" t="s">
        <v>25</v>
      </c>
      <c r="D558" s="1" t="s">
        <v>71</v>
      </c>
      <c r="E558">
        <v>3</v>
      </c>
      <c r="F558" s="1" t="s">
        <v>134</v>
      </c>
      <c r="G558">
        <v>2</v>
      </c>
      <c r="H558" s="1" t="s">
        <v>18</v>
      </c>
      <c r="I558">
        <v>19</v>
      </c>
      <c r="J558">
        <v>4</v>
      </c>
      <c r="K558">
        <v>2</v>
      </c>
      <c r="L558">
        <v>2</v>
      </c>
      <c r="M558">
        <v>2</v>
      </c>
      <c r="N558">
        <v>2</v>
      </c>
      <c r="O558" s="1" t="s">
        <v>19</v>
      </c>
      <c r="P558" s="1" t="s">
        <v>135</v>
      </c>
      <c r="Q558">
        <v>346</v>
      </c>
      <c r="R558" s="1" t="s">
        <v>63</v>
      </c>
      <c r="S558">
        <v>6</v>
      </c>
      <c r="T558">
        <v>1</v>
      </c>
      <c r="U558">
        <v>4</v>
      </c>
      <c r="V558">
        <v>86</v>
      </c>
      <c r="W558">
        <v>3</v>
      </c>
      <c r="X558">
        <v>2</v>
      </c>
      <c r="Y558" s="1" t="s">
        <v>6</v>
      </c>
      <c r="Z558">
        <v>4</v>
      </c>
      <c r="AA558">
        <v>2450</v>
      </c>
      <c r="AB558">
        <v>10919</v>
      </c>
      <c r="AC558" s="1" t="s">
        <v>19</v>
      </c>
      <c r="AD558">
        <v>17</v>
      </c>
      <c r="AE558">
        <v>3</v>
      </c>
      <c r="AF558">
        <v>4</v>
      </c>
      <c r="AG558">
        <v>80</v>
      </c>
      <c r="AH558">
        <v>0</v>
      </c>
      <c r="AI558">
        <v>3</v>
      </c>
      <c r="AJ558">
        <v>0</v>
      </c>
      <c r="AK558" s="1" t="s">
        <v>140</v>
      </c>
    </row>
    <row r="559" spans="1:37" x14ac:dyDescent="0.25">
      <c r="A559">
        <v>771</v>
      </c>
      <c r="B559">
        <v>35</v>
      </c>
      <c r="C559" s="1" t="s">
        <v>24</v>
      </c>
      <c r="D559" s="1" t="s">
        <v>69</v>
      </c>
      <c r="E559">
        <v>4</v>
      </c>
      <c r="F559" s="1" t="s">
        <v>134</v>
      </c>
      <c r="G559">
        <v>2</v>
      </c>
      <c r="H559" s="1" t="s">
        <v>18</v>
      </c>
      <c r="I559">
        <v>16</v>
      </c>
      <c r="J559">
        <v>2</v>
      </c>
      <c r="K559">
        <v>1</v>
      </c>
      <c r="L559">
        <v>0</v>
      </c>
      <c r="M559">
        <v>0</v>
      </c>
      <c r="N559">
        <v>0</v>
      </c>
      <c r="O559" s="1" t="s">
        <v>19</v>
      </c>
      <c r="P559" s="1" t="s">
        <v>141</v>
      </c>
      <c r="Q559">
        <v>1225</v>
      </c>
      <c r="R559" s="1" t="s">
        <v>63</v>
      </c>
      <c r="S559">
        <v>2</v>
      </c>
      <c r="T559">
        <v>1</v>
      </c>
      <c r="U559">
        <v>4</v>
      </c>
      <c r="V559">
        <v>61</v>
      </c>
      <c r="W559">
        <v>3</v>
      </c>
      <c r="X559">
        <v>2</v>
      </c>
      <c r="Y559" s="1" t="s">
        <v>8</v>
      </c>
      <c r="Z559">
        <v>1</v>
      </c>
      <c r="AA559">
        <v>5093</v>
      </c>
      <c r="AB559">
        <v>4761</v>
      </c>
      <c r="AC559" s="1" t="s">
        <v>19</v>
      </c>
      <c r="AD559">
        <v>11</v>
      </c>
      <c r="AE559">
        <v>3</v>
      </c>
      <c r="AF559">
        <v>1</v>
      </c>
      <c r="AG559">
        <v>80</v>
      </c>
      <c r="AH559">
        <v>1</v>
      </c>
      <c r="AI559">
        <v>4</v>
      </c>
      <c r="AJ559">
        <v>0</v>
      </c>
      <c r="AK559" s="1" t="s">
        <v>136</v>
      </c>
    </row>
    <row r="560" spans="1:37" x14ac:dyDescent="0.25">
      <c r="A560">
        <v>772</v>
      </c>
      <c r="B560">
        <v>32</v>
      </c>
      <c r="C560" s="1" t="s">
        <v>25</v>
      </c>
      <c r="D560" s="1" t="s">
        <v>70</v>
      </c>
      <c r="E560">
        <v>4</v>
      </c>
      <c r="F560" s="1" t="s">
        <v>134</v>
      </c>
      <c r="G560">
        <v>1</v>
      </c>
      <c r="H560" s="1" t="s">
        <v>18</v>
      </c>
      <c r="I560">
        <v>10</v>
      </c>
      <c r="J560">
        <v>2</v>
      </c>
      <c r="K560">
        <v>10</v>
      </c>
      <c r="L560">
        <v>8</v>
      </c>
      <c r="M560">
        <v>4</v>
      </c>
      <c r="N560">
        <v>7</v>
      </c>
      <c r="O560" s="1" t="s">
        <v>19</v>
      </c>
      <c r="P560" s="1" t="s">
        <v>137</v>
      </c>
      <c r="Q560">
        <v>430</v>
      </c>
      <c r="R560" s="1" t="s">
        <v>63</v>
      </c>
      <c r="S560">
        <v>24</v>
      </c>
      <c r="T560">
        <v>1</v>
      </c>
      <c r="U560">
        <v>1</v>
      </c>
      <c r="V560">
        <v>80</v>
      </c>
      <c r="W560">
        <v>3</v>
      </c>
      <c r="X560">
        <v>2</v>
      </c>
      <c r="Y560" s="1" t="s">
        <v>6</v>
      </c>
      <c r="Z560">
        <v>4</v>
      </c>
      <c r="AA560">
        <v>5309</v>
      </c>
      <c r="AB560">
        <v>21146</v>
      </c>
      <c r="AC560" s="1" t="s">
        <v>19</v>
      </c>
      <c r="AD560">
        <v>15</v>
      </c>
      <c r="AE560">
        <v>3</v>
      </c>
      <c r="AF560">
        <v>4</v>
      </c>
      <c r="AG560">
        <v>80</v>
      </c>
      <c r="AH560">
        <v>2</v>
      </c>
      <c r="AI560">
        <v>3</v>
      </c>
      <c r="AJ560">
        <v>0</v>
      </c>
      <c r="AK560" s="1" t="s">
        <v>136</v>
      </c>
    </row>
    <row r="561" spans="1:37" x14ac:dyDescent="0.25">
      <c r="A561">
        <v>773</v>
      </c>
      <c r="B561">
        <v>38</v>
      </c>
      <c r="C561" s="1" t="s">
        <v>25</v>
      </c>
      <c r="D561" s="1" t="s">
        <v>70</v>
      </c>
      <c r="E561">
        <v>5</v>
      </c>
      <c r="F561" s="1" t="s">
        <v>139</v>
      </c>
      <c r="G561">
        <v>6</v>
      </c>
      <c r="H561" s="1" t="s">
        <v>18</v>
      </c>
      <c r="I561">
        <v>6</v>
      </c>
      <c r="J561">
        <v>0</v>
      </c>
      <c r="K561">
        <v>1</v>
      </c>
      <c r="L561">
        <v>0</v>
      </c>
      <c r="M561">
        <v>0</v>
      </c>
      <c r="N561">
        <v>1</v>
      </c>
      <c r="O561" s="1" t="s">
        <v>19</v>
      </c>
      <c r="P561" s="1" t="s">
        <v>135</v>
      </c>
      <c r="Q561">
        <v>268</v>
      </c>
      <c r="R561" s="1" t="s">
        <v>63</v>
      </c>
      <c r="S561">
        <v>2</v>
      </c>
      <c r="T561">
        <v>1</v>
      </c>
      <c r="U561">
        <v>4</v>
      </c>
      <c r="V561">
        <v>92</v>
      </c>
      <c r="W561">
        <v>3</v>
      </c>
      <c r="X561">
        <v>1</v>
      </c>
      <c r="Y561" s="1" t="s">
        <v>5</v>
      </c>
      <c r="Z561">
        <v>3</v>
      </c>
      <c r="AA561">
        <v>3057</v>
      </c>
      <c r="AB561">
        <v>20471</v>
      </c>
      <c r="AC561" s="1" t="s">
        <v>18</v>
      </c>
      <c r="AD561">
        <v>13</v>
      </c>
      <c r="AE561">
        <v>3</v>
      </c>
      <c r="AF561">
        <v>2</v>
      </c>
      <c r="AG561">
        <v>80</v>
      </c>
      <c r="AH561">
        <v>1</v>
      </c>
      <c r="AI561">
        <v>1</v>
      </c>
      <c r="AJ561">
        <v>0</v>
      </c>
      <c r="AK561" s="1" t="s">
        <v>136</v>
      </c>
    </row>
    <row r="562" spans="1:37" x14ac:dyDescent="0.25">
      <c r="A562">
        <v>775</v>
      </c>
      <c r="B562">
        <v>34</v>
      </c>
      <c r="C562" s="1" t="s">
        <v>24</v>
      </c>
      <c r="D562" s="1" t="s">
        <v>69</v>
      </c>
      <c r="E562">
        <v>5</v>
      </c>
      <c r="F562" s="1" t="s">
        <v>134</v>
      </c>
      <c r="G562">
        <v>3</v>
      </c>
      <c r="H562" s="1" t="s">
        <v>18</v>
      </c>
      <c r="I562">
        <v>7</v>
      </c>
      <c r="J562">
        <v>3</v>
      </c>
      <c r="K562">
        <v>0</v>
      </c>
      <c r="L562">
        <v>0</v>
      </c>
      <c r="M562">
        <v>0</v>
      </c>
      <c r="N562">
        <v>0</v>
      </c>
      <c r="O562" s="1" t="s">
        <v>19</v>
      </c>
      <c r="P562" s="1" t="s">
        <v>135</v>
      </c>
      <c r="Q562">
        <v>167</v>
      </c>
      <c r="R562" s="1" t="s">
        <v>63</v>
      </c>
      <c r="S562">
        <v>8</v>
      </c>
      <c r="T562">
        <v>1</v>
      </c>
      <c r="U562">
        <v>2</v>
      </c>
      <c r="V562">
        <v>32</v>
      </c>
      <c r="W562">
        <v>3</v>
      </c>
      <c r="X562">
        <v>2</v>
      </c>
      <c r="Y562" s="1" t="s">
        <v>7</v>
      </c>
      <c r="Z562">
        <v>1</v>
      </c>
      <c r="AA562">
        <v>5121</v>
      </c>
      <c r="AB562">
        <v>4187</v>
      </c>
      <c r="AC562" s="1" t="s">
        <v>19</v>
      </c>
      <c r="AD562">
        <v>14</v>
      </c>
      <c r="AE562">
        <v>3</v>
      </c>
      <c r="AF562">
        <v>3</v>
      </c>
      <c r="AG562">
        <v>80</v>
      </c>
      <c r="AH562">
        <v>1</v>
      </c>
      <c r="AI562">
        <v>3</v>
      </c>
      <c r="AJ562">
        <v>0</v>
      </c>
      <c r="AK562" s="1" t="s">
        <v>136</v>
      </c>
    </row>
    <row r="563" spans="1:37" x14ac:dyDescent="0.25">
      <c r="A563">
        <v>776</v>
      </c>
      <c r="B563">
        <v>52</v>
      </c>
      <c r="C563" s="1" t="s">
        <v>25</v>
      </c>
      <c r="D563" s="1" t="s">
        <v>70</v>
      </c>
      <c r="E563">
        <v>4</v>
      </c>
      <c r="F563" s="1" t="s">
        <v>142</v>
      </c>
      <c r="G563">
        <v>1</v>
      </c>
      <c r="H563" s="1" t="s">
        <v>18</v>
      </c>
      <c r="I563">
        <v>34</v>
      </c>
      <c r="J563">
        <v>3</v>
      </c>
      <c r="K563">
        <v>34</v>
      </c>
      <c r="L563">
        <v>6</v>
      </c>
      <c r="M563">
        <v>1</v>
      </c>
      <c r="N563">
        <v>16</v>
      </c>
      <c r="O563" s="1" t="s">
        <v>19</v>
      </c>
      <c r="P563" s="1" t="s">
        <v>135</v>
      </c>
      <c r="Q563">
        <v>621</v>
      </c>
      <c r="R563" s="1" t="s">
        <v>64</v>
      </c>
      <c r="S563">
        <v>3</v>
      </c>
      <c r="T563">
        <v>1</v>
      </c>
      <c r="U563">
        <v>3</v>
      </c>
      <c r="V563">
        <v>31</v>
      </c>
      <c r="W563">
        <v>2</v>
      </c>
      <c r="X563">
        <v>4</v>
      </c>
      <c r="Y563" s="1" t="s">
        <v>9</v>
      </c>
      <c r="Z563">
        <v>1</v>
      </c>
      <c r="AA563">
        <v>16856</v>
      </c>
      <c r="AB563">
        <v>10084</v>
      </c>
      <c r="AC563" s="1" t="s">
        <v>19</v>
      </c>
      <c r="AD563">
        <v>11</v>
      </c>
      <c r="AE563">
        <v>3</v>
      </c>
      <c r="AF563">
        <v>1</v>
      </c>
      <c r="AG563">
        <v>80</v>
      </c>
      <c r="AH563">
        <v>0</v>
      </c>
      <c r="AI563">
        <v>4</v>
      </c>
      <c r="AJ563">
        <v>0</v>
      </c>
      <c r="AK563" s="1" t="s">
        <v>140</v>
      </c>
    </row>
    <row r="564" spans="1:37" x14ac:dyDescent="0.25">
      <c r="A564">
        <v>780</v>
      </c>
      <c r="B564">
        <v>33</v>
      </c>
      <c r="C564" s="1" t="s">
        <v>25</v>
      </c>
      <c r="D564" s="1" t="s">
        <v>71</v>
      </c>
      <c r="E564">
        <v>4</v>
      </c>
      <c r="F564" s="1" t="s">
        <v>138</v>
      </c>
      <c r="G564">
        <v>1</v>
      </c>
      <c r="H564" s="1" t="s">
        <v>18</v>
      </c>
      <c r="I564">
        <v>10</v>
      </c>
      <c r="J564">
        <v>2</v>
      </c>
      <c r="K564">
        <v>10</v>
      </c>
      <c r="L564">
        <v>9</v>
      </c>
      <c r="M564">
        <v>7</v>
      </c>
      <c r="N564">
        <v>8</v>
      </c>
      <c r="O564" s="1" t="s">
        <v>18</v>
      </c>
      <c r="P564" s="1" t="s">
        <v>135</v>
      </c>
      <c r="Q564">
        <v>527</v>
      </c>
      <c r="R564" s="1" t="s">
        <v>63</v>
      </c>
      <c r="S564">
        <v>1</v>
      </c>
      <c r="T564">
        <v>1</v>
      </c>
      <c r="U564">
        <v>4</v>
      </c>
      <c r="V564">
        <v>63</v>
      </c>
      <c r="W564">
        <v>3</v>
      </c>
      <c r="X564">
        <v>1</v>
      </c>
      <c r="Y564" s="1" t="s">
        <v>5</v>
      </c>
      <c r="Z564">
        <v>4</v>
      </c>
      <c r="AA564">
        <v>2686</v>
      </c>
      <c r="AB564">
        <v>5207</v>
      </c>
      <c r="AC564" s="1" t="s">
        <v>18</v>
      </c>
      <c r="AD564">
        <v>13</v>
      </c>
      <c r="AE564">
        <v>3</v>
      </c>
      <c r="AF564">
        <v>3</v>
      </c>
      <c r="AG564">
        <v>80</v>
      </c>
      <c r="AH564">
        <v>0</v>
      </c>
      <c r="AI564">
        <v>2</v>
      </c>
      <c r="AJ564">
        <v>1</v>
      </c>
      <c r="AK564" s="1" t="s">
        <v>136</v>
      </c>
    </row>
    <row r="565" spans="1:37" x14ac:dyDescent="0.25">
      <c r="A565">
        <v>781</v>
      </c>
      <c r="B565">
        <v>25</v>
      </c>
      <c r="C565" s="1" t="s">
        <v>24</v>
      </c>
      <c r="D565" s="1" t="s">
        <v>71</v>
      </c>
      <c r="E565">
        <v>1</v>
      </c>
      <c r="F565" s="1" t="s">
        <v>139</v>
      </c>
      <c r="G565">
        <v>1</v>
      </c>
      <c r="H565" s="1" t="s">
        <v>18</v>
      </c>
      <c r="I565">
        <v>6</v>
      </c>
      <c r="J565">
        <v>5</v>
      </c>
      <c r="K565">
        <v>6</v>
      </c>
      <c r="L565">
        <v>5</v>
      </c>
      <c r="M565">
        <v>1</v>
      </c>
      <c r="N565">
        <v>4</v>
      </c>
      <c r="O565" s="1" t="s">
        <v>19</v>
      </c>
      <c r="P565" s="1" t="s">
        <v>135</v>
      </c>
      <c r="Q565">
        <v>883</v>
      </c>
      <c r="R565" s="1" t="s">
        <v>64</v>
      </c>
      <c r="S565">
        <v>26</v>
      </c>
      <c r="T565">
        <v>1</v>
      </c>
      <c r="U565">
        <v>3</v>
      </c>
      <c r="V565">
        <v>32</v>
      </c>
      <c r="W565">
        <v>3</v>
      </c>
      <c r="X565">
        <v>2</v>
      </c>
      <c r="Y565" s="1" t="s">
        <v>4</v>
      </c>
      <c r="Z565">
        <v>4</v>
      </c>
      <c r="AA565">
        <v>6180</v>
      </c>
      <c r="AB565">
        <v>22807</v>
      </c>
      <c r="AC565" s="1" t="s">
        <v>19</v>
      </c>
      <c r="AD565">
        <v>23</v>
      </c>
      <c r="AE565">
        <v>4</v>
      </c>
      <c r="AF565">
        <v>2</v>
      </c>
      <c r="AG565">
        <v>80</v>
      </c>
      <c r="AH565">
        <v>0</v>
      </c>
      <c r="AI565">
        <v>2</v>
      </c>
      <c r="AJ565">
        <v>0</v>
      </c>
      <c r="AK565" s="1" t="s">
        <v>136</v>
      </c>
    </row>
    <row r="566" spans="1:37" x14ac:dyDescent="0.25">
      <c r="A566">
        <v>783</v>
      </c>
      <c r="B566">
        <v>45</v>
      </c>
      <c r="C566" s="1" t="s">
        <v>25</v>
      </c>
      <c r="D566" s="1" t="s">
        <v>71</v>
      </c>
      <c r="E566">
        <v>2</v>
      </c>
      <c r="F566" s="1" t="s">
        <v>143</v>
      </c>
      <c r="G566">
        <v>0</v>
      </c>
      <c r="H566" s="1" t="s">
        <v>18</v>
      </c>
      <c r="I566">
        <v>9</v>
      </c>
      <c r="J566">
        <v>3</v>
      </c>
      <c r="K566">
        <v>8</v>
      </c>
      <c r="L566">
        <v>7</v>
      </c>
      <c r="M566">
        <v>3</v>
      </c>
      <c r="N566">
        <v>1</v>
      </c>
      <c r="O566" s="1" t="s">
        <v>19</v>
      </c>
      <c r="P566" s="1" t="s">
        <v>135</v>
      </c>
      <c r="Q566">
        <v>954</v>
      </c>
      <c r="R566" s="1" t="s">
        <v>64</v>
      </c>
      <c r="S566">
        <v>2</v>
      </c>
      <c r="T566">
        <v>1</v>
      </c>
      <c r="U566">
        <v>2</v>
      </c>
      <c r="V566">
        <v>46</v>
      </c>
      <c r="W566">
        <v>1</v>
      </c>
      <c r="X566">
        <v>2</v>
      </c>
      <c r="Y566" s="1" t="s">
        <v>10</v>
      </c>
      <c r="Z566">
        <v>3</v>
      </c>
      <c r="AA566">
        <v>6632</v>
      </c>
      <c r="AB566">
        <v>12388</v>
      </c>
      <c r="AC566" s="1" t="s">
        <v>19</v>
      </c>
      <c r="AD566">
        <v>13</v>
      </c>
      <c r="AE566">
        <v>3</v>
      </c>
      <c r="AF566">
        <v>1</v>
      </c>
      <c r="AG566">
        <v>80</v>
      </c>
      <c r="AH566">
        <v>0</v>
      </c>
      <c r="AI566">
        <v>3</v>
      </c>
      <c r="AJ566">
        <v>0</v>
      </c>
      <c r="AK566" s="1" t="s">
        <v>136</v>
      </c>
    </row>
    <row r="567" spans="1:37" x14ac:dyDescent="0.25">
      <c r="A567">
        <v>784</v>
      </c>
      <c r="B567">
        <v>23</v>
      </c>
      <c r="C567" s="1" t="s">
        <v>25</v>
      </c>
      <c r="D567" s="1" t="s">
        <v>71</v>
      </c>
      <c r="E567">
        <v>1</v>
      </c>
      <c r="F567" s="1" t="s">
        <v>139</v>
      </c>
      <c r="G567">
        <v>1</v>
      </c>
      <c r="H567" s="1" t="s">
        <v>18</v>
      </c>
      <c r="I567">
        <v>2</v>
      </c>
      <c r="J567">
        <v>3</v>
      </c>
      <c r="K567">
        <v>2</v>
      </c>
      <c r="L567">
        <v>2</v>
      </c>
      <c r="M567">
        <v>0</v>
      </c>
      <c r="N567">
        <v>2</v>
      </c>
      <c r="O567" s="1" t="s">
        <v>19</v>
      </c>
      <c r="P567" s="1" t="s">
        <v>135</v>
      </c>
      <c r="Q567">
        <v>310</v>
      </c>
      <c r="R567" s="1" t="s">
        <v>63</v>
      </c>
      <c r="S567">
        <v>10</v>
      </c>
      <c r="T567">
        <v>1</v>
      </c>
      <c r="U567">
        <v>1</v>
      </c>
      <c r="V567">
        <v>79</v>
      </c>
      <c r="W567">
        <v>4</v>
      </c>
      <c r="X567">
        <v>1</v>
      </c>
      <c r="Y567" s="1" t="s">
        <v>5</v>
      </c>
      <c r="Z567">
        <v>3</v>
      </c>
      <c r="AA567">
        <v>3505</v>
      </c>
      <c r="AB567">
        <v>19630</v>
      </c>
      <c r="AC567" s="1" t="s">
        <v>19</v>
      </c>
      <c r="AD567">
        <v>18</v>
      </c>
      <c r="AE567">
        <v>3</v>
      </c>
      <c r="AF567">
        <v>4</v>
      </c>
      <c r="AG567">
        <v>80</v>
      </c>
      <c r="AH567">
        <v>0</v>
      </c>
      <c r="AI567">
        <v>3</v>
      </c>
      <c r="AJ567">
        <v>0</v>
      </c>
      <c r="AK567" s="1" t="s">
        <v>136</v>
      </c>
    </row>
    <row r="568" spans="1:37" x14ac:dyDescent="0.25">
      <c r="A568">
        <v>785</v>
      </c>
      <c r="B568">
        <v>47</v>
      </c>
      <c r="C568" s="1" t="s">
        <v>24</v>
      </c>
      <c r="D568" s="1" t="s">
        <v>71</v>
      </c>
      <c r="E568">
        <v>2</v>
      </c>
      <c r="F568" s="1" t="s">
        <v>134</v>
      </c>
      <c r="G568">
        <v>4</v>
      </c>
      <c r="H568" s="1" t="s">
        <v>18</v>
      </c>
      <c r="I568">
        <v>8</v>
      </c>
      <c r="J568">
        <v>2</v>
      </c>
      <c r="K568">
        <v>5</v>
      </c>
      <c r="L568">
        <v>4</v>
      </c>
      <c r="M568">
        <v>1</v>
      </c>
      <c r="N568">
        <v>3</v>
      </c>
      <c r="O568" s="1" t="s">
        <v>18</v>
      </c>
      <c r="P568" s="1" t="s">
        <v>137</v>
      </c>
      <c r="Q568">
        <v>719</v>
      </c>
      <c r="R568" s="1" t="s">
        <v>64</v>
      </c>
      <c r="S568">
        <v>27</v>
      </c>
      <c r="T568">
        <v>1</v>
      </c>
      <c r="U568">
        <v>2</v>
      </c>
      <c r="V568">
        <v>77</v>
      </c>
      <c r="W568">
        <v>4</v>
      </c>
      <c r="X568">
        <v>2</v>
      </c>
      <c r="Y568" s="1" t="s">
        <v>4</v>
      </c>
      <c r="Z568">
        <v>3</v>
      </c>
      <c r="AA568">
        <v>6397</v>
      </c>
      <c r="AB568">
        <v>10339</v>
      </c>
      <c r="AC568" s="1" t="s">
        <v>18</v>
      </c>
      <c r="AD568">
        <v>12</v>
      </c>
      <c r="AE568">
        <v>3</v>
      </c>
      <c r="AF568">
        <v>4</v>
      </c>
      <c r="AG568">
        <v>80</v>
      </c>
      <c r="AH568">
        <v>0</v>
      </c>
      <c r="AI568">
        <v>3</v>
      </c>
      <c r="AJ568">
        <v>1</v>
      </c>
      <c r="AK568" s="1" t="s">
        <v>136</v>
      </c>
    </row>
    <row r="569" spans="1:37" x14ac:dyDescent="0.25">
      <c r="A569">
        <v>786</v>
      </c>
      <c r="B569">
        <v>34</v>
      </c>
      <c r="C569" s="1" t="s">
        <v>25</v>
      </c>
      <c r="D569" s="1" t="s">
        <v>71</v>
      </c>
      <c r="E569">
        <v>3</v>
      </c>
      <c r="F569" s="1" t="s">
        <v>138</v>
      </c>
      <c r="G569">
        <v>1</v>
      </c>
      <c r="H569" s="1" t="s">
        <v>18</v>
      </c>
      <c r="I569">
        <v>6</v>
      </c>
      <c r="J569">
        <v>5</v>
      </c>
      <c r="K569">
        <v>6</v>
      </c>
      <c r="L569">
        <v>5</v>
      </c>
      <c r="M569">
        <v>1</v>
      </c>
      <c r="N569">
        <v>4</v>
      </c>
      <c r="O569" s="1" t="s">
        <v>19</v>
      </c>
      <c r="P569" s="1" t="s">
        <v>135</v>
      </c>
      <c r="Q569">
        <v>304</v>
      </c>
      <c r="R569" s="1" t="s">
        <v>64</v>
      </c>
      <c r="S569">
        <v>2</v>
      </c>
      <c r="T569">
        <v>1</v>
      </c>
      <c r="U569">
        <v>4</v>
      </c>
      <c r="V569">
        <v>60</v>
      </c>
      <c r="W569">
        <v>3</v>
      </c>
      <c r="X569">
        <v>2</v>
      </c>
      <c r="Y569" s="1" t="s">
        <v>4</v>
      </c>
      <c r="Z569">
        <v>4</v>
      </c>
      <c r="AA569">
        <v>6274</v>
      </c>
      <c r="AB569">
        <v>18686</v>
      </c>
      <c r="AC569" s="1" t="s">
        <v>19</v>
      </c>
      <c r="AD569">
        <v>22</v>
      </c>
      <c r="AE569">
        <v>4</v>
      </c>
      <c r="AF569">
        <v>3</v>
      </c>
      <c r="AG569">
        <v>80</v>
      </c>
      <c r="AH569">
        <v>0</v>
      </c>
      <c r="AI569">
        <v>3</v>
      </c>
      <c r="AJ569">
        <v>0</v>
      </c>
      <c r="AK569" s="1" t="s">
        <v>136</v>
      </c>
    </row>
    <row r="570" spans="1:37" x14ac:dyDescent="0.25">
      <c r="A570">
        <v>787</v>
      </c>
      <c r="B570">
        <v>55</v>
      </c>
      <c r="C570" s="1" t="s">
        <v>25</v>
      </c>
      <c r="D570" s="1" t="s">
        <v>70</v>
      </c>
      <c r="E570">
        <v>3</v>
      </c>
      <c r="F570" s="1" t="s">
        <v>139</v>
      </c>
      <c r="G570">
        <v>5</v>
      </c>
      <c r="H570" s="1" t="s">
        <v>18</v>
      </c>
      <c r="I570">
        <v>24</v>
      </c>
      <c r="J570">
        <v>2</v>
      </c>
      <c r="K570">
        <v>5</v>
      </c>
      <c r="L570">
        <v>2</v>
      </c>
      <c r="M570">
        <v>1</v>
      </c>
      <c r="N570">
        <v>4</v>
      </c>
      <c r="O570" s="1" t="s">
        <v>18</v>
      </c>
      <c r="P570" s="1" t="s">
        <v>135</v>
      </c>
      <c r="Q570">
        <v>725</v>
      </c>
      <c r="R570" s="1" t="s">
        <v>63</v>
      </c>
      <c r="S570">
        <v>2</v>
      </c>
      <c r="T570">
        <v>1</v>
      </c>
      <c r="U570">
        <v>4</v>
      </c>
      <c r="V570">
        <v>78</v>
      </c>
      <c r="W570">
        <v>3</v>
      </c>
      <c r="X570">
        <v>5</v>
      </c>
      <c r="Y570" s="1" t="s">
        <v>9</v>
      </c>
      <c r="Z570">
        <v>1</v>
      </c>
      <c r="AA570">
        <v>19859</v>
      </c>
      <c r="AB570">
        <v>21199</v>
      </c>
      <c r="AC570" s="1" t="s">
        <v>18</v>
      </c>
      <c r="AD570">
        <v>13</v>
      </c>
      <c r="AE570">
        <v>3</v>
      </c>
      <c r="AF570">
        <v>4</v>
      </c>
      <c r="AG570">
        <v>80</v>
      </c>
      <c r="AH570">
        <v>1</v>
      </c>
      <c r="AI570">
        <v>3</v>
      </c>
      <c r="AJ570">
        <v>1</v>
      </c>
      <c r="AK570" s="1" t="s">
        <v>140</v>
      </c>
    </row>
    <row r="571" spans="1:37" x14ac:dyDescent="0.25">
      <c r="A571">
        <v>789</v>
      </c>
      <c r="B571">
        <v>36</v>
      </c>
      <c r="C571" s="1" t="s">
        <v>25</v>
      </c>
      <c r="D571" s="1" t="s">
        <v>71</v>
      </c>
      <c r="E571">
        <v>4</v>
      </c>
      <c r="F571" s="1" t="s">
        <v>134</v>
      </c>
      <c r="G571">
        <v>1</v>
      </c>
      <c r="H571" s="1" t="s">
        <v>18</v>
      </c>
      <c r="I571">
        <v>10</v>
      </c>
      <c r="J571">
        <v>1</v>
      </c>
      <c r="K571">
        <v>10</v>
      </c>
      <c r="L571">
        <v>7</v>
      </c>
      <c r="M571">
        <v>0</v>
      </c>
      <c r="N571">
        <v>9</v>
      </c>
      <c r="O571" s="1" t="s">
        <v>19</v>
      </c>
      <c r="P571" s="1" t="s">
        <v>141</v>
      </c>
      <c r="Q571">
        <v>1434</v>
      </c>
      <c r="R571" s="1" t="s">
        <v>64</v>
      </c>
      <c r="S571">
        <v>8</v>
      </c>
      <c r="T571">
        <v>1</v>
      </c>
      <c r="U571">
        <v>1</v>
      </c>
      <c r="V571">
        <v>76</v>
      </c>
      <c r="W571">
        <v>2</v>
      </c>
      <c r="X571">
        <v>3</v>
      </c>
      <c r="Y571" s="1" t="s">
        <v>4</v>
      </c>
      <c r="Z571">
        <v>1</v>
      </c>
      <c r="AA571">
        <v>7587</v>
      </c>
      <c r="AB571">
        <v>14229</v>
      </c>
      <c r="AC571" s="1" t="s">
        <v>19</v>
      </c>
      <c r="AD571">
        <v>15</v>
      </c>
      <c r="AE571">
        <v>3</v>
      </c>
      <c r="AF571">
        <v>2</v>
      </c>
      <c r="AG571">
        <v>80</v>
      </c>
      <c r="AH571">
        <v>0</v>
      </c>
      <c r="AI571">
        <v>3</v>
      </c>
      <c r="AJ571">
        <v>0</v>
      </c>
      <c r="AK571" s="1" t="s">
        <v>136</v>
      </c>
    </row>
    <row r="572" spans="1:37" x14ac:dyDescent="0.25">
      <c r="A572">
        <v>791</v>
      </c>
      <c r="B572">
        <v>52</v>
      </c>
      <c r="C572" s="1" t="s">
        <v>25</v>
      </c>
      <c r="D572" s="1" t="s">
        <v>70</v>
      </c>
      <c r="E572">
        <v>4</v>
      </c>
      <c r="F572" s="1" t="s">
        <v>139</v>
      </c>
      <c r="G572">
        <v>0</v>
      </c>
      <c r="H572" s="1" t="s">
        <v>18</v>
      </c>
      <c r="I572">
        <v>5</v>
      </c>
      <c r="J572">
        <v>3</v>
      </c>
      <c r="K572">
        <v>4</v>
      </c>
      <c r="L572">
        <v>3</v>
      </c>
      <c r="M572">
        <v>1</v>
      </c>
      <c r="N572">
        <v>2</v>
      </c>
      <c r="O572" s="1" t="s">
        <v>19</v>
      </c>
      <c r="P572" s="1" t="s">
        <v>141</v>
      </c>
      <c r="Q572">
        <v>715</v>
      </c>
      <c r="R572" s="1" t="s">
        <v>63</v>
      </c>
      <c r="S572">
        <v>19</v>
      </c>
      <c r="T572">
        <v>1</v>
      </c>
      <c r="U572">
        <v>4</v>
      </c>
      <c r="V572">
        <v>41</v>
      </c>
      <c r="W572">
        <v>3</v>
      </c>
      <c r="X572">
        <v>1</v>
      </c>
      <c r="Y572" s="1" t="s">
        <v>5</v>
      </c>
      <c r="Z572">
        <v>4</v>
      </c>
      <c r="AA572">
        <v>4258</v>
      </c>
      <c r="AB572">
        <v>26589</v>
      </c>
      <c r="AC572" s="1" t="s">
        <v>19</v>
      </c>
      <c r="AD572">
        <v>18</v>
      </c>
      <c r="AE572">
        <v>3</v>
      </c>
      <c r="AF572">
        <v>1</v>
      </c>
      <c r="AG572">
        <v>80</v>
      </c>
      <c r="AH572">
        <v>1</v>
      </c>
      <c r="AI572">
        <v>3</v>
      </c>
      <c r="AJ572">
        <v>0</v>
      </c>
      <c r="AK572" s="1" t="s">
        <v>140</v>
      </c>
    </row>
    <row r="573" spans="1:37" x14ac:dyDescent="0.25">
      <c r="A573">
        <v>792</v>
      </c>
      <c r="B573">
        <v>26</v>
      </c>
      <c r="C573" s="1" t="s">
        <v>24</v>
      </c>
      <c r="D573" s="1" t="s">
        <v>69</v>
      </c>
      <c r="E573">
        <v>2</v>
      </c>
      <c r="F573" s="1" t="s">
        <v>134</v>
      </c>
      <c r="G573">
        <v>3</v>
      </c>
      <c r="H573" s="1" t="s">
        <v>18</v>
      </c>
      <c r="I573">
        <v>5</v>
      </c>
      <c r="J573">
        <v>2</v>
      </c>
      <c r="K573">
        <v>2</v>
      </c>
      <c r="L573">
        <v>2</v>
      </c>
      <c r="M573">
        <v>2</v>
      </c>
      <c r="N573">
        <v>0</v>
      </c>
      <c r="O573" s="1" t="s">
        <v>19</v>
      </c>
      <c r="P573" s="1" t="s">
        <v>137</v>
      </c>
      <c r="Q573">
        <v>575</v>
      </c>
      <c r="R573" s="1" t="s">
        <v>63</v>
      </c>
      <c r="S573">
        <v>1</v>
      </c>
      <c r="T573">
        <v>1</v>
      </c>
      <c r="U573">
        <v>1</v>
      </c>
      <c r="V573">
        <v>71</v>
      </c>
      <c r="W573">
        <v>1</v>
      </c>
      <c r="X573">
        <v>1</v>
      </c>
      <c r="Y573" s="1" t="s">
        <v>6</v>
      </c>
      <c r="Z573">
        <v>4</v>
      </c>
      <c r="AA573">
        <v>4364</v>
      </c>
      <c r="AB573">
        <v>5288</v>
      </c>
      <c r="AC573" s="1" t="s">
        <v>19</v>
      </c>
      <c r="AD573">
        <v>14</v>
      </c>
      <c r="AE573">
        <v>3</v>
      </c>
      <c r="AF573">
        <v>1</v>
      </c>
      <c r="AG573">
        <v>80</v>
      </c>
      <c r="AH573">
        <v>1</v>
      </c>
      <c r="AI573">
        <v>3</v>
      </c>
      <c r="AJ573">
        <v>0</v>
      </c>
      <c r="AK573" s="1" t="s">
        <v>136</v>
      </c>
    </row>
    <row r="574" spans="1:37" x14ac:dyDescent="0.25">
      <c r="A574">
        <v>793</v>
      </c>
      <c r="B574">
        <v>29</v>
      </c>
      <c r="C574" s="1" t="s">
        <v>24</v>
      </c>
      <c r="D574" s="1" t="s">
        <v>70</v>
      </c>
      <c r="E574">
        <v>3</v>
      </c>
      <c r="F574" s="1" t="s">
        <v>139</v>
      </c>
      <c r="G574">
        <v>4</v>
      </c>
      <c r="H574" s="1" t="s">
        <v>18</v>
      </c>
      <c r="I574">
        <v>11</v>
      </c>
      <c r="J574">
        <v>3</v>
      </c>
      <c r="K574">
        <v>8</v>
      </c>
      <c r="L574">
        <v>7</v>
      </c>
      <c r="M574">
        <v>1</v>
      </c>
      <c r="N574">
        <v>1</v>
      </c>
      <c r="O574" s="1" t="s">
        <v>19</v>
      </c>
      <c r="P574" s="1" t="s">
        <v>135</v>
      </c>
      <c r="Q574">
        <v>657</v>
      </c>
      <c r="R574" s="1" t="s">
        <v>63</v>
      </c>
      <c r="S574">
        <v>27</v>
      </c>
      <c r="T574">
        <v>1</v>
      </c>
      <c r="U574">
        <v>2</v>
      </c>
      <c r="V574">
        <v>66</v>
      </c>
      <c r="W574">
        <v>3</v>
      </c>
      <c r="X574">
        <v>2</v>
      </c>
      <c r="Y574" s="1" t="s">
        <v>8</v>
      </c>
      <c r="Z574">
        <v>3</v>
      </c>
      <c r="AA574">
        <v>4335</v>
      </c>
      <c r="AB574">
        <v>25549</v>
      </c>
      <c r="AC574" s="1" t="s">
        <v>19</v>
      </c>
      <c r="AD574">
        <v>12</v>
      </c>
      <c r="AE574">
        <v>3</v>
      </c>
      <c r="AF574">
        <v>1</v>
      </c>
      <c r="AG574">
        <v>80</v>
      </c>
      <c r="AH574">
        <v>1</v>
      </c>
      <c r="AI574">
        <v>2</v>
      </c>
      <c r="AJ574">
        <v>0</v>
      </c>
      <c r="AK574" s="1" t="s">
        <v>136</v>
      </c>
    </row>
    <row r="575" spans="1:37" x14ac:dyDescent="0.25">
      <c r="A575">
        <v>796</v>
      </c>
      <c r="B575">
        <v>26</v>
      </c>
      <c r="C575" s="1" t="s">
        <v>25</v>
      </c>
      <c r="D575" s="1" t="s">
        <v>71</v>
      </c>
      <c r="E575">
        <v>3</v>
      </c>
      <c r="F575" s="1" t="s">
        <v>143</v>
      </c>
      <c r="G575">
        <v>6</v>
      </c>
      <c r="H575" s="1" t="s">
        <v>18</v>
      </c>
      <c r="I575">
        <v>6</v>
      </c>
      <c r="J575">
        <v>2</v>
      </c>
      <c r="K575">
        <v>4</v>
      </c>
      <c r="L575">
        <v>3</v>
      </c>
      <c r="M575">
        <v>1</v>
      </c>
      <c r="N575">
        <v>2</v>
      </c>
      <c r="O575" s="1" t="s">
        <v>18</v>
      </c>
      <c r="P575" s="1" t="s">
        <v>135</v>
      </c>
      <c r="Q575">
        <v>1146</v>
      </c>
      <c r="R575" s="1" t="s">
        <v>64</v>
      </c>
      <c r="S575">
        <v>8</v>
      </c>
      <c r="T575">
        <v>1</v>
      </c>
      <c r="U575">
        <v>4</v>
      </c>
      <c r="V575">
        <v>38</v>
      </c>
      <c r="W575">
        <v>2</v>
      </c>
      <c r="X575">
        <v>2</v>
      </c>
      <c r="Y575" s="1" t="s">
        <v>4</v>
      </c>
      <c r="Z575">
        <v>1</v>
      </c>
      <c r="AA575">
        <v>5326</v>
      </c>
      <c r="AB575">
        <v>3064</v>
      </c>
      <c r="AC575" s="1" t="s">
        <v>19</v>
      </c>
      <c r="AD575">
        <v>17</v>
      </c>
      <c r="AE575">
        <v>3</v>
      </c>
      <c r="AF575">
        <v>3</v>
      </c>
      <c r="AG575">
        <v>80</v>
      </c>
      <c r="AH575">
        <v>0</v>
      </c>
      <c r="AI575">
        <v>2</v>
      </c>
      <c r="AJ575">
        <v>1</v>
      </c>
      <c r="AK575" s="1" t="s">
        <v>136</v>
      </c>
    </row>
    <row r="576" spans="1:37" x14ac:dyDescent="0.25">
      <c r="A576">
        <v>797</v>
      </c>
      <c r="B576">
        <v>34</v>
      </c>
      <c r="C576" s="1" t="s">
        <v>24</v>
      </c>
      <c r="D576" s="1" t="s">
        <v>71</v>
      </c>
      <c r="E576">
        <v>4</v>
      </c>
      <c r="F576" s="1" t="s">
        <v>134</v>
      </c>
      <c r="G576">
        <v>2</v>
      </c>
      <c r="H576" s="1" t="s">
        <v>18</v>
      </c>
      <c r="I576">
        <v>10</v>
      </c>
      <c r="J576">
        <v>2</v>
      </c>
      <c r="K576">
        <v>4</v>
      </c>
      <c r="L576">
        <v>2</v>
      </c>
      <c r="M576">
        <v>1</v>
      </c>
      <c r="N576">
        <v>3</v>
      </c>
      <c r="O576" s="1" t="s">
        <v>19</v>
      </c>
      <c r="P576" s="1" t="s">
        <v>135</v>
      </c>
      <c r="Q576">
        <v>182</v>
      </c>
      <c r="R576" s="1" t="s">
        <v>63</v>
      </c>
      <c r="S576">
        <v>1</v>
      </c>
      <c r="T576">
        <v>1</v>
      </c>
      <c r="U576">
        <v>2</v>
      </c>
      <c r="V576">
        <v>72</v>
      </c>
      <c r="W576">
        <v>4</v>
      </c>
      <c r="X576">
        <v>1</v>
      </c>
      <c r="Y576" s="1" t="s">
        <v>5</v>
      </c>
      <c r="Z576">
        <v>4</v>
      </c>
      <c r="AA576">
        <v>3280</v>
      </c>
      <c r="AB576">
        <v>13551</v>
      </c>
      <c r="AC576" s="1" t="s">
        <v>19</v>
      </c>
      <c r="AD576">
        <v>16</v>
      </c>
      <c r="AE576">
        <v>3</v>
      </c>
      <c r="AF576">
        <v>3</v>
      </c>
      <c r="AG576">
        <v>80</v>
      </c>
      <c r="AH576">
        <v>0</v>
      </c>
      <c r="AI576">
        <v>3</v>
      </c>
      <c r="AJ576">
        <v>0</v>
      </c>
      <c r="AK576" s="1" t="s">
        <v>136</v>
      </c>
    </row>
    <row r="577" spans="1:37" x14ac:dyDescent="0.25">
      <c r="A577">
        <v>799</v>
      </c>
      <c r="B577">
        <v>54</v>
      </c>
      <c r="C577" s="1" t="s">
        <v>24</v>
      </c>
      <c r="D577" s="1" t="s">
        <v>69</v>
      </c>
      <c r="E577">
        <v>4</v>
      </c>
      <c r="F577" s="1" t="s">
        <v>139</v>
      </c>
      <c r="G577">
        <v>9</v>
      </c>
      <c r="H577" s="1" t="s">
        <v>18</v>
      </c>
      <c r="I577">
        <v>9</v>
      </c>
      <c r="J577">
        <v>4</v>
      </c>
      <c r="K577">
        <v>5</v>
      </c>
      <c r="L577">
        <v>3</v>
      </c>
      <c r="M577">
        <v>1</v>
      </c>
      <c r="N577">
        <v>4</v>
      </c>
      <c r="O577" s="1" t="s">
        <v>19</v>
      </c>
      <c r="P577" s="1" t="s">
        <v>135</v>
      </c>
      <c r="Q577">
        <v>376</v>
      </c>
      <c r="R577" s="1" t="s">
        <v>63</v>
      </c>
      <c r="S577">
        <v>19</v>
      </c>
      <c r="T577">
        <v>1</v>
      </c>
      <c r="U577">
        <v>4</v>
      </c>
      <c r="V577">
        <v>95</v>
      </c>
      <c r="W577">
        <v>3</v>
      </c>
      <c r="X577">
        <v>2</v>
      </c>
      <c r="Y577" s="1" t="s">
        <v>7</v>
      </c>
      <c r="Z577">
        <v>1</v>
      </c>
      <c r="AA577">
        <v>5485</v>
      </c>
      <c r="AB577">
        <v>22670</v>
      </c>
      <c r="AC577" s="1" t="s">
        <v>18</v>
      </c>
      <c r="AD577">
        <v>11</v>
      </c>
      <c r="AE577">
        <v>3</v>
      </c>
      <c r="AF577">
        <v>2</v>
      </c>
      <c r="AG577">
        <v>80</v>
      </c>
      <c r="AH577">
        <v>2</v>
      </c>
      <c r="AI577">
        <v>3</v>
      </c>
      <c r="AJ577">
        <v>0</v>
      </c>
      <c r="AK577" s="1" t="s">
        <v>140</v>
      </c>
    </row>
    <row r="578" spans="1:37" x14ac:dyDescent="0.25">
      <c r="A578">
        <v>800</v>
      </c>
      <c r="B578">
        <v>27</v>
      </c>
      <c r="C578" s="1" t="s">
        <v>25</v>
      </c>
      <c r="D578" s="1" t="s">
        <v>70</v>
      </c>
      <c r="E578">
        <v>1</v>
      </c>
      <c r="F578" s="1" t="s">
        <v>142</v>
      </c>
      <c r="G578">
        <v>0</v>
      </c>
      <c r="H578" s="1" t="s">
        <v>18</v>
      </c>
      <c r="I578">
        <v>5</v>
      </c>
      <c r="J578">
        <v>3</v>
      </c>
      <c r="K578">
        <v>4</v>
      </c>
      <c r="L578">
        <v>2</v>
      </c>
      <c r="M578">
        <v>1</v>
      </c>
      <c r="N578">
        <v>1</v>
      </c>
      <c r="O578" s="1" t="s">
        <v>19</v>
      </c>
      <c r="P578" s="1" t="s">
        <v>137</v>
      </c>
      <c r="Q578">
        <v>829</v>
      </c>
      <c r="R578" s="1" t="s">
        <v>64</v>
      </c>
      <c r="S578">
        <v>8</v>
      </c>
      <c r="T578">
        <v>1</v>
      </c>
      <c r="U578">
        <v>3</v>
      </c>
      <c r="V578">
        <v>84</v>
      </c>
      <c r="W578">
        <v>3</v>
      </c>
      <c r="X578">
        <v>2</v>
      </c>
      <c r="Y578" s="1" t="s">
        <v>4</v>
      </c>
      <c r="Z578">
        <v>4</v>
      </c>
      <c r="AA578">
        <v>4342</v>
      </c>
      <c r="AB578">
        <v>24008</v>
      </c>
      <c r="AC578" s="1" t="s">
        <v>19</v>
      </c>
      <c r="AD578">
        <v>19</v>
      </c>
      <c r="AE578">
        <v>3</v>
      </c>
      <c r="AF578">
        <v>2</v>
      </c>
      <c r="AG578">
        <v>80</v>
      </c>
      <c r="AH578">
        <v>1</v>
      </c>
      <c r="AI578">
        <v>3</v>
      </c>
      <c r="AJ578">
        <v>0</v>
      </c>
      <c r="AK578" s="1" t="s">
        <v>136</v>
      </c>
    </row>
    <row r="579" spans="1:37" x14ac:dyDescent="0.25">
      <c r="A579">
        <v>802</v>
      </c>
      <c r="B579">
        <v>37</v>
      </c>
      <c r="C579" s="1" t="s">
        <v>24</v>
      </c>
      <c r="D579" s="1" t="s">
        <v>69</v>
      </c>
      <c r="E579">
        <v>1</v>
      </c>
      <c r="F579" s="1" t="s">
        <v>134</v>
      </c>
      <c r="G579">
        <v>0</v>
      </c>
      <c r="H579" s="1" t="s">
        <v>18</v>
      </c>
      <c r="I579">
        <v>6</v>
      </c>
      <c r="J579">
        <v>3</v>
      </c>
      <c r="K579">
        <v>5</v>
      </c>
      <c r="L579">
        <v>3</v>
      </c>
      <c r="M579">
        <v>4</v>
      </c>
      <c r="N579">
        <v>3</v>
      </c>
      <c r="O579" s="1" t="s">
        <v>19</v>
      </c>
      <c r="P579" s="1" t="s">
        <v>135</v>
      </c>
      <c r="Q579">
        <v>571</v>
      </c>
      <c r="R579" s="1" t="s">
        <v>63</v>
      </c>
      <c r="S579">
        <v>10</v>
      </c>
      <c r="T579">
        <v>1</v>
      </c>
      <c r="U579">
        <v>4</v>
      </c>
      <c r="V579">
        <v>82</v>
      </c>
      <c r="W579">
        <v>3</v>
      </c>
      <c r="X579">
        <v>1</v>
      </c>
      <c r="Y579" s="1" t="s">
        <v>5</v>
      </c>
      <c r="Z579">
        <v>1</v>
      </c>
      <c r="AA579">
        <v>2782</v>
      </c>
      <c r="AB579">
        <v>19905</v>
      </c>
      <c r="AC579" s="1" t="s">
        <v>18</v>
      </c>
      <c r="AD579">
        <v>13</v>
      </c>
      <c r="AE579">
        <v>3</v>
      </c>
      <c r="AF579">
        <v>2</v>
      </c>
      <c r="AG579">
        <v>80</v>
      </c>
      <c r="AH579">
        <v>2</v>
      </c>
      <c r="AI579">
        <v>2</v>
      </c>
      <c r="AJ579">
        <v>0</v>
      </c>
      <c r="AK579" s="1" t="s">
        <v>136</v>
      </c>
    </row>
    <row r="580" spans="1:37" x14ac:dyDescent="0.25">
      <c r="A580">
        <v>803</v>
      </c>
      <c r="B580">
        <v>38</v>
      </c>
      <c r="C580" s="1" t="s">
        <v>24</v>
      </c>
      <c r="D580" s="1" t="s">
        <v>71</v>
      </c>
      <c r="E580">
        <v>4</v>
      </c>
      <c r="F580" s="1" t="s">
        <v>134</v>
      </c>
      <c r="G580">
        <v>6</v>
      </c>
      <c r="H580" s="1" t="s">
        <v>18</v>
      </c>
      <c r="I580">
        <v>17</v>
      </c>
      <c r="J580">
        <v>2</v>
      </c>
      <c r="K580">
        <v>15</v>
      </c>
      <c r="L580">
        <v>7</v>
      </c>
      <c r="M580">
        <v>4</v>
      </c>
      <c r="N580">
        <v>12</v>
      </c>
      <c r="O580" s="1" t="s">
        <v>19</v>
      </c>
      <c r="P580" s="1" t="s">
        <v>137</v>
      </c>
      <c r="Q580">
        <v>240</v>
      </c>
      <c r="R580" s="1" t="s">
        <v>63</v>
      </c>
      <c r="S580">
        <v>2</v>
      </c>
      <c r="T580">
        <v>1</v>
      </c>
      <c r="U580">
        <v>1</v>
      </c>
      <c r="V580">
        <v>75</v>
      </c>
      <c r="W580">
        <v>4</v>
      </c>
      <c r="X580">
        <v>2</v>
      </c>
      <c r="Y580" s="1" t="s">
        <v>7</v>
      </c>
      <c r="Z580">
        <v>1</v>
      </c>
      <c r="AA580">
        <v>5980</v>
      </c>
      <c r="AB580">
        <v>26085</v>
      </c>
      <c r="AC580" s="1" t="s">
        <v>18</v>
      </c>
      <c r="AD580">
        <v>12</v>
      </c>
      <c r="AE580">
        <v>3</v>
      </c>
      <c r="AF580">
        <v>4</v>
      </c>
      <c r="AG580">
        <v>80</v>
      </c>
      <c r="AH580">
        <v>0</v>
      </c>
      <c r="AI580">
        <v>3</v>
      </c>
      <c r="AJ580">
        <v>0</v>
      </c>
      <c r="AK580" s="1" t="s">
        <v>136</v>
      </c>
    </row>
    <row r="581" spans="1:37" x14ac:dyDescent="0.25">
      <c r="A581">
        <v>804</v>
      </c>
      <c r="B581">
        <v>34</v>
      </c>
      <c r="C581" s="1" t="s">
        <v>24</v>
      </c>
      <c r="D581" s="1" t="s">
        <v>71</v>
      </c>
      <c r="E581">
        <v>4</v>
      </c>
      <c r="F581" s="1" t="s">
        <v>139</v>
      </c>
      <c r="G581">
        <v>1</v>
      </c>
      <c r="H581" s="1" t="s">
        <v>18</v>
      </c>
      <c r="I581">
        <v>6</v>
      </c>
      <c r="J581">
        <v>3</v>
      </c>
      <c r="K581">
        <v>6</v>
      </c>
      <c r="L581">
        <v>5</v>
      </c>
      <c r="M581">
        <v>1</v>
      </c>
      <c r="N581">
        <v>3</v>
      </c>
      <c r="O581" s="1" t="s">
        <v>19</v>
      </c>
      <c r="P581" s="1" t="s">
        <v>135</v>
      </c>
      <c r="Q581">
        <v>121</v>
      </c>
      <c r="R581" s="1" t="s">
        <v>63</v>
      </c>
      <c r="S581">
        <v>2</v>
      </c>
      <c r="T581">
        <v>1</v>
      </c>
      <c r="U581">
        <v>3</v>
      </c>
      <c r="V581">
        <v>86</v>
      </c>
      <c r="W581">
        <v>2</v>
      </c>
      <c r="X581">
        <v>1</v>
      </c>
      <c r="Y581" s="1" t="s">
        <v>5</v>
      </c>
      <c r="Z581">
        <v>1</v>
      </c>
      <c r="AA581">
        <v>4381</v>
      </c>
      <c r="AB581">
        <v>7530</v>
      </c>
      <c r="AC581" s="1" t="s">
        <v>19</v>
      </c>
      <c r="AD581">
        <v>11</v>
      </c>
      <c r="AE581">
        <v>3</v>
      </c>
      <c r="AF581">
        <v>3</v>
      </c>
      <c r="AG581">
        <v>80</v>
      </c>
      <c r="AH581">
        <v>0</v>
      </c>
      <c r="AI581">
        <v>3</v>
      </c>
      <c r="AJ581">
        <v>0</v>
      </c>
      <c r="AK581" s="1" t="s">
        <v>136</v>
      </c>
    </row>
    <row r="582" spans="1:37" x14ac:dyDescent="0.25">
      <c r="A582">
        <v>805</v>
      </c>
      <c r="B582">
        <v>35</v>
      </c>
      <c r="C582" s="1" t="s">
        <v>24</v>
      </c>
      <c r="D582" s="1" t="s">
        <v>70</v>
      </c>
      <c r="E582">
        <v>4</v>
      </c>
      <c r="F582" s="1" t="s">
        <v>134</v>
      </c>
      <c r="G582">
        <v>1</v>
      </c>
      <c r="H582" s="1" t="s">
        <v>18</v>
      </c>
      <c r="I582">
        <v>3</v>
      </c>
      <c r="J582">
        <v>1</v>
      </c>
      <c r="K582">
        <v>3</v>
      </c>
      <c r="L582">
        <v>2</v>
      </c>
      <c r="M582">
        <v>0</v>
      </c>
      <c r="N582">
        <v>2</v>
      </c>
      <c r="O582" s="1" t="s">
        <v>19</v>
      </c>
      <c r="P582" s="1" t="s">
        <v>135</v>
      </c>
      <c r="Q582">
        <v>384</v>
      </c>
      <c r="R582" s="1" t="s">
        <v>64</v>
      </c>
      <c r="S582">
        <v>8</v>
      </c>
      <c r="T582">
        <v>1</v>
      </c>
      <c r="U582">
        <v>1</v>
      </c>
      <c r="V582">
        <v>72</v>
      </c>
      <c r="W582">
        <v>3</v>
      </c>
      <c r="X582">
        <v>1</v>
      </c>
      <c r="Y582" s="1" t="s">
        <v>10</v>
      </c>
      <c r="Z582">
        <v>4</v>
      </c>
      <c r="AA582">
        <v>2572</v>
      </c>
      <c r="AB582">
        <v>20317</v>
      </c>
      <c r="AC582" s="1" t="s">
        <v>19</v>
      </c>
      <c r="AD582">
        <v>16</v>
      </c>
      <c r="AE582">
        <v>3</v>
      </c>
      <c r="AF582">
        <v>2</v>
      </c>
      <c r="AG582">
        <v>80</v>
      </c>
      <c r="AH582">
        <v>1</v>
      </c>
      <c r="AI582">
        <v>2</v>
      </c>
      <c r="AJ582">
        <v>0</v>
      </c>
      <c r="AK582" s="1" t="s">
        <v>136</v>
      </c>
    </row>
    <row r="583" spans="1:37" x14ac:dyDescent="0.25">
      <c r="A583">
        <v>806</v>
      </c>
      <c r="B583">
        <v>30</v>
      </c>
      <c r="C583" s="1" t="s">
        <v>25</v>
      </c>
      <c r="D583" s="1" t="s">
        <v>70</v>
      </c>
      <c r="E583">
        <v>3</v>
      </c>
      <c r="F583" s="1" t="s">
        <v>134</v>
      </c>
      <c r="G583">
        <v>3</v>
      </c>
      <c r="H583" s="1" t="s">
        <v>18</v>
      </c>
      <c r="I583">
        <v>7</v>
      </c>
      <c r="J583">
        <v>2</v>
      </c>
      <c r="K583">
        <v>2</v>
      </c>
      <c r="L583">
        <v>2</v>
      </c>
      <c r="M583">
        <v>0</v>
      </c>
      <c r="N583">
        <v>2</v>
      </c>
      <c r="O583" s="1" t="s">
        <v>19</v>
      </c>
      <c r="P583" s="1" t="s">
        <v>135</v>
      </c>
      <c r="Q583">
        <v>921</v>
      </c>
      <c r="R583" s="1" t="s">
        <v>63</v>
      </c>
      <c r="S583">
        <v>1</v>
      </c>
      <c r="T583">
        <v>1</v>
      </c>
      <c r="U583">
        <v>4</v>
      </c>
      <c r="V583">
        <v>38</v>
      </c>
      <c r="W583">
        <v>1</v>
      </c>
      <c r="X583">
        <v>1</v>
      </c>
      <c r="Y583" s="1" t="s">
        <v>6</v>
      </c>
      <c r="Z583">
        <v>3</v>
      </c>
      <c r="AA583">
        <v>3833</v>
      </c>
      <c r="AB583">
        <v>24375</v>
      </c>
      <c r="AC583" s="1" t="s">
        <v>19</v>
      </c>
      <c r="AD583">
        <v>21</v>
      </c>
      <c r="AE583">
        <v>4</v>
      </c>
      <c r="AF583">
        <v>3</v>
      </c>
      <c r="AG583">
        <v>80</v>
      </c>
      <c r="AH583">
        <v>2</v>
      </c>
      <c r="AI583">
        <v>3</v>
      </c>
      <c r="AJ583">
        <v>0</v>
      </c>
      <c r="AK583" s="1" t="s">
        <v>136</v>
      </c>
    </row>
    <row r="584" spans="1:37" x14ac:dyDescent="0.25">
      <c r="A584">
        <v>807</v>
      </c>
      <c r="B584">
        <v>40</v>
      </c>
      <c r="C584" s="1" t="s">
        <v>24</v>
      </c>
      <c r="D584" s="1" t="s">
        <v>70</v>
      </c>
      <c r="E584">
        <v>2</v>
      </c>
      <c r="F584" s="1" t="s">
        <v>139</v>
      </c>
      <c r="G584">
        <v>1</v>
      </c>
      <c r="H584" s="1" t="s">
        <v>18</v>
      </c>
      <c r="I584">
        <v>8</v>
      </c>
      <c r="J584">
        <v>2</v>
      </c>
      <c r="K584">
        <v>8</v>
      </c>
      <c r="L584">
        <v>7</v>
      </c>
      <c r="M584">
        <v>3</v>
      </c>
      <c r="N584">
        <v>7</v>
      </c>
      <c r="O584" s="1" t="s">
        <v>19</v>
      </c>
      <c r="P584" s="1" t="s">
        <v>137</v>
      </c>
      <c r="Q584">
        <v>791</v>
      </c>
      <c r="R584" s="1" t="s">
        <v>63</v>
      </c>
      <c r="S584">
        <v>2</v>
      </c>
      <c r="T584">
        <v>1</v>
      </c>
      <c r="U584">
        <v>3</v>
      </c>
      <c r="V584">
        <v>38</v>
      </c>
      <c r="W584">
        <v>4</v>
      </c>
      <c r="X584">
        <v>2</v>
      </c>
      <c r="Y584" s="1" t="s">
        <v>8</v>
      </c>
      <c r="Z584">
        <v>2</v>
      </c>
      <c r="AA584">
        <v>4244</v>
      </c>
      <c r="AB584">
        <v>9931</v>
      </c>
      <c r="AC584" s="1" t="s">
        <v>19</v>
      </c>
      <c r="AD584">
        <v>24</v>
      </c>
      <c r="AE584">
        <v>4</v>
      </c>
      <c r="AF584">
        <v>4</v>
      </c>
      <c r="AG584">
        <v>80</v>
      </c>
      <c r="AH584">
        <v>1</v>
      </c>
      <c r="AI584">
        <v>3</v>
      </c>
      <c r="AJ584">
        <v>0</v>
      </c>
      <c r="AK584" s="1" t="s">
        <v>136</v>
      </c>
    </row>
    <row r="585" spans="1:37" x14ac:dyDescent="0.25">
      <c r="A585">
        <v>808</v>
      </c>
      <c r="B585">
        <v>34</v>
      </c>
      <c r="C585" s="1" t="s">
        <v>24</v>
      </c>
      <c r="D585" s="1" t="s">
        <v>70</v>
      </c>
      <c r="E585">
        <v>2</v>
      </c>
      <c r="F585" s="1" t="s">
        <v>134</v>
      </c>
      <c r="G585">
        <v>5</v>
      </c>
      <c r="H585" s="1" t="s">
        <v>18</v>
      </c>
      <c r="I585">
        <v>6</v>
      </c>
      <c r="J585">
        <v>1</v>
      </c>
      <c r="K585">
        <v>3</v>
      </c>
      <c r="L585">
        <v>2</v>
      </c>
      <c r="M585">
        <v>1</v>
      </c>
      <c r="N585">
        <v>2</v>
      </c>
      <c r="O585" s="1" t="s">
        <v>19</v>
      </c>
      <c r="P585" s="1" t="s">
        <v>135</v>
      </c>
      <c r="Q585">
        <v>1111</v>
      </c>
      <c r="R585" s="1" t="s">
        <v>64</v>
      </c>
      <c r="S585">
        <v>8</v>
      </c>
      <c r="T585">
        <v>1</v>
      </c>
      <c r="U585">
        <v>3</v>
      </c>
      <c r="V585">
        <v>93</v>
      </c>
      <c r="W585">
        <v>3</v>
      </c>
      <c r="X585">
        <v>2</v>
      </c>
      <c r="Y585" s="1" t="s">
        <v>4</v>
      </c>
      <c r="Z585">
        <v>1</v>
      </c>
      <c r="AA585">
        <v>6500</v>
      </c>
      <c r="AB585">
        <v>13305</v>
      </c>
      <c r="AC585" s="1" t="s">
        <v>19</v>
      </c>
      <c r="AD585">
        <v>17</v>
      </c>
      <c r="AE585">
        <v>3</v>
      </c>
      <c r="AF585">
        <v>2</v>
      </c>
      <c r="AG585">
        <v>80</v>
      </c>
      <c r="AH585">
        <v>1</v>
      </c>
      <c r="AI585">
        <v>3</v>
      </c>
      <c r="AJ585">
        <v>0</v>
      </c>
      <c r="AK585" s="1" t="s">
        <v>136</v>
      </c>
    </row>
    <row r="586" spans="1:37" x14ac:dyDescent="0.25">
      <c r="A586">
        <v>809</v>
      </c>
      <c r="B586">
        <v>42</v>
      </c>
      <c r="C586" s="1" t="s">
        <v>25</v>
      </c>
      <c r="D586" s="1" t="s">
        <v>69</v>
      </c>
      <c r="E586">
        <v>3</v>
      </c>
      <c r="F586" s="1" t="s">
        <v>134</v>
      </c>
      <c r="G586">
        <v>1</v>
      </c>
      <c r="H586" s="1" t="s">
        <v>18</v>
      </c>
      <c r="I586">
        <v>24</v>
      </c>
      <c r="J586">
        <v>4</v>
      </c>
      <c r="K586">
        <v>24</v>
      </c>
      <c r="L586">
        <v>7</v>
      </c>
      <c r="M586">
        <v>14</v>
      </c>
      <c r="N586">
        <v>9</v>
      </c>
      <c r="O586" s="1" t="s">
        <v>19</v>
      </c>
      <c r="P586" s="1" t="s">
        <v>137</v>
      </c>
      <c r="Q586">
        <v>570</v>
      </c>
      <c r="R586" s="1" t="s">
        <v>63</v>
      </c>
      <c r="S586">
        <v>8</v>
      </c>
      <c r="T586">
        <v>1</v>
      </c>
      <c r="U586">
        <v>2</v>
      </c>
      <c r="V586">
        <v>66</v>
      </c>
      <c r="W586">
        <v>3</v>
      </c>
      <c r="X586">
        <v>5</v>
      </c>
      <c r="Y586" s="1" t="s">
        <v>9</v>
      </c>
      <c r="Z586">
        <v>4</v>
      </c>
      <c r="AA586">
        <v>18430</v>
      </c>
      <c r="AB586">
        <v>16225</v>
      </c>
      <c r="AC586" s="1" t="s">
        <v>19</v>
      </c>
      <c r="AD586">
        <v>13</v>
      </c>
      <c r="AE586">
        <v>3</v>
      </c>
      <c r="AF586">
        <v>2</v>
      </c>
      <c r="AG586">
        <v>80</v>
      </c>
      <c r="AH586">
        <v>1</v>
      </c>
      <c r="AI586">
        <v>2</v>
      </c>
      <c r="AJ586">
        <v>0</v>
      </c>
      <c r="AK586" s="1" t="s">
        <v>136</v>
      </c>
    </row>
    <row r="587" spans="1:37" x14ac:dyDescent="0.25">
      <c r="A587">
        <v>811</v>
      </c>
      <c r="B587">
        <v>23</v>
      </c>
      <c r="C587" s="1" t="s">
        <v>25</v>
      </c>
      <c r="D587" s="1" t="s">
        <v>70</v>
      </c>
      <c r="E587">
        <v>3</v>
      </c>
      <c r="F587" s="1" t="s">
        <v>134</v>
      </c>
      <c r="G587">
        <v>1</v>
      </c>
      <c r="H587" s="1" t="s">
        <v>18</v>
      </c>
      <c r="I587">
        <v>1</v>
      </c>
      <c r="J587">
        <v>2</v>
      </c>
      <c r="K587">
        <v>0</v>
      </c>
      <c r="L587">
        <v>0</v>
      </c>
      <c r="M587">
        <v>0</v>
      </c>
      <c r="N587">
        <v>0</v>
      </c>
      <c r="O587" s="1" t="s">
        <v>18</v>
      </c>
      <c r="P587" s="1" t="s">
        <v>135</v>
      </c>
      <c r="Q587">
        <v>1243</v>
      </c>
      <c r="R587" s="1" t="s">
        <v>63</v>
      </c>
      <c r="S587">
        <v>6</v>
      </c>
      <c r="T587">
        <v>1</v>
      </c>
      <c r="U587">
        <v>3</v>
      </c>
      <c r="V587">
        <v>63</v>
      </c>
      <c r="W587">
        <v>4</v>
      </c>
      <c r="X587">
        <v>1</v>
      </c>
      <c r="Y587" s="1" t="s">
        <v>6</v>
      </c>
      <c r="Z587">
        <v>1</v>
      </c>
      <c r="AA587">
        <v>1601</v>
      </c>
      <c r="AB587">
        <v>3445</v>
      </c>
      <c r="AC587" s="1" t="s">
        <v>18</v>
      </c>
      <c r="AD587">
        <v>21</v>
      </c>
      <c r="AE587">
        <v>4</v>
      </c>
      <c r="AF587">
        <v>3</v>
      </c>
      <c r="AG587">
        <v>80</v>
      </c>
      <c r="AH587">
        <v>2</v>
      </c>
      <c r="AI587">
        <v>3</v>
      </c>
      <c r="AJ587">
        <v>1</v>
      </c>
      <c r="AK587" s="1" t="s">
        <v>136</v>
      </c>
    </row>
    <row r="588" spans="1:37" x14ac:dyDescent="0.25">
      <c r="A588">
        <v>812</v>
      </c>
      <c r="B588">
        <v>24</v>
      </c>
      <c r="C588" s="1" t="s">
        <v>25</v>
      </c>
      <c r="D588" s="1" t="s">
        <v>69</v>
      </c>
      <c r="E588">
        <v>3</v>
      </c>
      <c r="F588" s="1" t="s">
        <v>134</v>
      </c>
      <c r="G588">
        <v>1</v>
      </c>
      <c r="H588" s="1" t="s">
        <v>18</v>
      </c>
      <c r="I588">
        <v>1</v>
      </c>
      <c r="J588">
        <v>4</v>
      </c>
      <c r="K588">
        <v>1</v>
      </c>
      <c r="L588">
        <v>0</v>
      </c>
      <c r="M588">
        <v>0</v>
      </c>
      <c r="N588">
        <v>0</v>
      </c>
      <c r="O588" s="1" t="s">
        <v>19</v>
      </c>
      <c r="P588" s="1" t="s">
        <v>141</v>
      </c>
      <c r="Q588">
        <v>1092</v>
      </c>
      <c r="R588" s="1" t="s">
        <v>63</v>
      </c>
      <c r="S588">
        <v>9</v>
      </c>
      <c r="T588">
        <v>1</v>
      </c>
      <c r="U588">
        <v>3</v>
      </c>
      <c r="V588">
        <v>60</v>
      </c>
      <c r="W588">
        <v>2</v>
      </c>
      <c r="X588">
        <v>1</v>
      </c>
      <c r="Y588" s="1" t="s">
        <v>6</v>
      </c>
      <c r="Z588">
        <v>2</v>
      </c>
      <c r="AA588">
        <v>2694</v>
      </c>
      <c r="AB588">
        <v>26551</v>
      </c>
      <c r="AC588" s="1" t="s">
        <v>19</v>
      </c>
      <c r="AD588">
        <v>11</v>
      </c>
      <c r="AE588">
        <v>3</v>
      </c>
      <c r="AF588">
        <v>3</v>
      </c>
      <c r="AG588">
        <v>80</v>
      </c>
      <c r="AH588">
        <v>3</v>
      </c>
      <c r="AI588">
        <v>3</v>
      </c>
      <c r="AJ588">
        <v>0</v>
      </c>
      <c r="AK588" s="1" t="s">
        <v>136</v>
      </c>
    </row>
    <row r="589" spans="1:37" x14ac:dyDescent="0.25">
      <c r="A589">
        <v>813</v>
      </c>
      <c r="B589">
        <v>52</v>
      </c>
      <c r="C589" s="1" t="s">
        <v>24</v>
      </c>
      <c r="D589" s="1" t="s">
        <v>70</v>
      </c>
      <c r="E589">
        <v>4</v>
      </c>
      <c r="F589" s="1" t="s">
        <v>134</v>
      </c>
      <c r="G589">
        <v>8</v>
      </c>
      <c r="H589" s="1" t="s">
        <v>18</v>
      </c>
      <c r="I589">
        <v>9</v>
      </c>
      <c r="J589">
        <v>3</v>
      </c>
      <c r="K589">
        <v>5</v>
      </c>
      <c r="L589">
        <v>2</v>
      </c>
      <c r="M589">
        <v>1</v>
      </c>
      <c r="N589">
        <v>4</v>
      </c>
      <c r="O589" s="1" t="s">
        <v>19</v>
      </c>
      <c r="P589" s="1" t="s">
        <v>135</v>
      </c>
      <c r="Q589">
        <v>1325</v>
      </c>
      <c r="R589" s="1" t="s">
        <v>63</v>
      </c>
      <c r="S589">
        <v>11</v>
      </c>
      <c r="T589">
        <v>1</v>
      </c>
      <c r="U589">
        <v>4</v>
      </c>
      <c r="V589">
        <v>82</v>
      </c>
      <c r="W589">
        <v>3</v>
      </c>
      <c r="X589">
        <v>2</v>
      </c>
      <c r="Y589" s="1" t="s">
        <v>6</v>
      </c>
      <c r="Z589">
        <v>3</v>
      </c>
      <c r="AA589">
        <v>3149</v>
      </c>
      <c r="AB589">
        <v>21821</v>
      </c>
      <c r="AC589" s="1" t="s">
        <v>19</v>
      </c>
      <c r="AD589">
        <v>20</v>
      </c>
      <c r="AE589">
        <v>4</v>
      </c>
      <c r="AF589">
        <v>2</v>
      </c>
      <c r="AG589">
        <v>80</v>
      </c>
      <c r="AH589">
        <v>1</v>
      </c>
      <c r="AI589">
        <v>3</v>
      </c>
      <c r="AJ589">
        <v>0</v>
      </c>
      <c r="AK589" s="1" t="s">
        <v>140</v>
      </c>
    </row>
    <row r="590" spans="1:37" x14ac:dyDescent="0.25">
      <c r="A590">
        <v>815</v>
      </c>
      <c r="B590">
        <v>50</v>
      </c>
      <c r="C590" s="1" t="s">
        <v>25</v>
      </c>
      <c r="D590" s="1" t="s">
        <v>70</v>
      </c>
      <c r="E590">
        <v>3</v>
      </c>
      <c r="F590" s="1" t="s">
        <v>139</v>
      </c>
      <c r="G590">
        <v>5</v>
      </c>
      <c r="H590" s="1" t="s">
        <v>18</v>
      </c>
      <c r="I590">
        <v>30</v>
      </c>
      <c r="J590">
        <v>3</v>
      </c>
      <c r="K590">
        <v>4</v>
      </c>
      <c r="L590">
        <v>3</v>
      </c>
      <c r="M590">
        <v>0</v>
      </c>
      <c r="N590">
        <v>3</v>
      </c>
      <c r="O590" s="1" t="s">
        <v>19</v>
      </c>
      <c r="P590" s="1" t="s">
        <v>135</v>
      </c>
      <c r="Q590">
        <v>691</v>
      </c>
      <c r="R590" s="1" t="s">
        <v>63</v>
      </c>
      <c r="S590">
        <v>2</v>
      </c>
      <c r="T590">
        <v>1</v>
      </c>
      <c r="U590">
        <v>3</v>
      </c>
      <c r="V590">
        <v>64</v>
      </c>
      <c r="W590">
        <v>3</v>
      </c>
      <c r="X590">
        <v>4</v>
      </c>
      <c r="Y590" s="1" t="s">
        <v>11</v>
      </c>
      <c r="Z590">
        <v>3</v>
      </c>
      <c r="AA590">
        <v>17639</v>
      </c>
      <c r="AB590">
        <v>6881</v>
      </c>
      <c r="AC590" s="1" t="s">
        <v>19</v>
      </c>
      <c r="AD590">
        <v>16</v>
      </c>
      <c r="AE590">
        <v>3</v>
      </c>
      <c r="AF590">
        <v>4</v>
      </c>
      <c r="AG590">
        <v>80</v>
      </c>
      <c r="AH590">
        <v>0</v>
      </c>
      <c r="AI590">
        <v>3</v>
      </c>
      <c r="AJ590">
        <v>0</v>
      </c>
      <c r="AK590" s="1" t="s">
        <v>140</v>
      </c>
    </row>
    <row r="591" spans="1:37" x14ac:dyDescent="0.25">
      <c r="A591">
        <v>816</v>
      </c>
      <c r="B591">
        <v>29</v>
      </c>
      <c r="C591" s="1" t="s">
        <v>24</v>
      </c>
      <c r="D591" s="1" t="s">
        <v>70</v>
      </c>
      <c r="E591">
        <v>2</v>
      </c>
      <c r="F591" s="1" t="s">
        <v>134</v>
      </c>
      <c r="G591">
        <v>1</v>
      </c>
      <c r="H591" s="1" t="s">
        <v>18</v>
      </c>
      <c r="I591">
        <v>1</v>
      </c>
      <c r="J591">
        <v>1</v>
      </c>
      <c r="K591">
        <v>1</v>
      </c>
      <c r="L591">
        <v>0</v>
      </c>
      <c r="M591">
        <v>0</v>
      </c>
      <c r="N591">
        <v>0</v>
      </c>
      <c r="O591" s="1" t="s">
        <v>18</v>
      </c>
      <c r="P591" s="1" t="s">
        <v>135</v>
      </c>
      <c r="Q591">
        <v>805</v>
      </c>
      <c r="R591" s="1" t="s">
        <v>63</v>
      </c>
      <c r="S591">
        <v>1</v>
      </c>
      <c r="T591">
        <v>1</v>
      </c>
      <c r="U591">
        <v>2</v>
      </c>
      <c r="V591">
        <v>36</v>
      </c>
      <c r="W591">
        <v>2</v>
      </c>
      <c r="X591">
        <v>1</v>
      </c>
      <c r="Y591" s="1" t="s">
        <v>6</v>
      </c>
      <c r="Z591">
        <v>1</v>
      </c>
      <c r="AA591">
        <v>2319</v>
      </c>
      <c r="AB591">
        <v>6689</v>
      </c>
      <c r="AC591" s="1" t="s">
        <v>18</v>
      </c>
      <c r="AD591">
        <v>11</v>
      </c>
      <c r="AE591">
        <v>3</v>
      </c>
      <c r="AF591">
        <v>4</v>
      </c>
      <c r="AG591">
        <v>80</v>
      </c>
      <c r="AH591">
        <v>1</v>
      </c>
      <c r="AI591">
        <v>3</v>
      </c>
      <c r="AJ591">
        <v>1</v>
      </c>
      <c r="AK591" s="1" t="s">
        <v>136</v>
      </c>
    </row>
    <row r="592" spans="1:37" x14ac:dyDescent="0.25">
      <c r="A592">
        <v>817</v>
      </c>
      <c r="B592">
        <v>33</v>
      </c>
      <c r="C592" s="1" t="s">
        <v>25</v>
      </c>
      <c r="D592" s="1" t="s">
        <v>70</v>
      </c>
      <c r="E592">
        <v>3</v>
      </c>
      <c r="F592" s="1" t="s">
        <v>139</v>
      </c>
      <c r="G592">
        <v>0</v>
      </c>
      <c r="H592" s="1" t="s">
        <v>18</v>
      </c>
      <c r="I592">
        <v>14</v>
      </c>
      <c r="J592">
        <v>3</v>
      </c>
      <c r="K592">
        <v>13</v>
      </c>
      <c r="L592">
        <v>9</v>
      </c>
      <c r="M592">
        <v>3</v>
      </c>
      <c r="N592">
        <v>7</v>
      </c>
      <c r="O592" s="1" t="s">
        <v>19</v>
      </c>
      <c r="P592" s="1" t="s">
        <v>135</v>
      </c>
      <c r="Q592">
        <v>213</v>
      </c>
      <c r="R592" s="1" t="s">
        <v>63</v>
      </c>
      <c r="S592">
        <v>7</v>
      </c>
      <c r="T592">
        <v>1</v>
      </c>
      <c r="U592">
        <v>3</v>
      </c>
      <c r="V592">
        <v>49</v>
      </c>
      <c r="W592">
        <v>3</v>
      </c>
      <c r="X592">
        <v>3</v>
      </c>
      <c r="Y592" s="1" t="s">
        <v>11</v>
      </c>
      <c r="Z592">
        <v>3</v>
      </c>
      <c r="AA592">
        <v>11691</v>
      </c>
      <c r="AB592">
        <v>25995</v>
      </c>
      <c r="AC592" s="1" t="s">
        <v>19</v>
      </c>
      <c r="AD592">
        <v>11</v>
      </c>
      <c r="AE592">
        <v>3</v>
      </c>
      <c r="AF592">
        <v>4</v>
      </c>
      <c r="AG592">
        <v>80</v>
      </c>
      <c r="AH592">
        <v>0</v>
      </c>
      <c r="AI592">
        <v>4</v>
      </c>
      <c r="AJ592">
        <v>0</v>
      </c>
      <c r="AK592" s="1" t="s">
        <v>136</v>
      </c>
    </row>
    <row r="593" spans="1:37" x14ac:dyDescent="0.25">
      <c r="A593">
        <v>819</v>
      </c>
      <c r="B593">
        <v>33</v>
      </c>
      <c r="C593" s="1" t="s">
        <v>24</v>
      </c>
      <c r="D593" s="1" t="s">
        <v>71</v>
      </c>
      <c r="E593">
        <v>3</v>
      </c>
      <c r="F593" s="1" t="s">
        <v>142</v>
      </c>
      <c r="G593">
        <v>5</v>
      </c>
      <c r="H593" s="1" t="s">
        <v>18</v>
      </c>
      <c r="I593">
        <v>6</v>
      </c>
      <c r="J593">
        <v>3</v>
      </c>
      <c r="K593">
        <v>3</v>
      </c>
      <c r="L593">
        <v>2</v>
      </c>
      <c r="M593">
        <v>0</v>
      </c>
      <c r="N593">
        <v>2</v>
      </c>
      <c r="O593" s="1" t="s">
        <v>18</v>
      </c>
      <c r="P593" s="1" t="s">
        <v>135</v>
      </c>
      <c r="Q593">
        <v>118</v>
      </c>
      <c r="R593" s="1" t="s">
        <v>64</v>
      </c>
      <c r="S593">
        <v>16</v>
      </c>
      <c r="T593">
        <v>1</v>
      </c>
      <c r="U593">
        <v>1</v>
      </c>
      <c r="V593">
        <v>69</v>
      </c>
      <c r="W593">
        <v>3</v>
      </c>
      <c r="X593">
        <v>2</v>
      </c>
      <c r="Y593" s="1" t="s">
        <v>4</v>
      </c>
      <c r="Z593">
        <v>1</v>
      </c>
      <c r="AA593">
        <v>5324</v>
      </c>
      <c r="AB593">
        <v>26507</v>
      </c>
      <c r="AC593" s="1" t="s">
        <v>19</v>
      </c>
      <c r="AD593">
        <v>15</v>
      </c>
      <c r="AE593">
        <v>3</v>
      </c>
      <c r="AF593">
        <v>3</v>
      </c>
      <c r="AG593">
        <v>80</v>
      </c>
      <c r="AH593">
        <v>0</v>
      </c>
      <c r="AI593">
        <v>3</v>
      </c>
      <c r="AJ593">
        <v>1</v>
      </c>
      <c r="AK593" s="1" t="s">
        <v>136</v>
      </c>
    </row>
    <row r="594" spans="1:37" x14ac:dyDescent="0.25">
      <c r="A594">
        <v>820</v>
      </c>
      <c r="B594">
        <v>47</v>
      </c>
      <c r="C594" s="1" t="s">
        <v>24</v>
      </c>
      <c r="D594" s="1" t="s">
        <v>70</v>
      </c>
      <c r="E594">
        <v>2</v>
      </c>
      <c r="F594" s="1" t="s">
        <v>138</v>
      </c>
      <c r="G594">
        <v>1</v>
      </c>
      <c r="H594" s="1" t="s">
        <v>18</v>
      </c>
      <c r="I594">
        <v>26</v>
      </c>
      <c r="J594">
        <v>3</v>
      </c>
      <c r="K594">
        <v>26</v>
      </c>
      <c r="L594">
        <v>14</v>
      </c>
      <c r="M594">
        <v>3</v>
      </c>
      <c r="N594">
        <v>0</v>
      </c>
      <c r="O594" s="1" t="s">
        <v>19</v>
      </c>
      <c r="P594" s="1" t="s">
        <v>135</v>
      </c>
      <c r="Q594">
        <v>202</v>
      </c>
      <c r="R594" s="1" t="s">
        <v>63</v>
      </c>
      <c r="S594">
        <v>2</v>
      </c>
      <c r="T594">
        <v>1</v>
      </c>
      <c r="U594">
        <v>3</v>
      </c>
      <c r="V594">
        <v>33</v>
      </c>
      <c r="W594">
        <v>3</v>
      </c>
      <c r="X594">
        <v>4</v>
      </c>
      <c r="Y594" s="1" t="s">
        <v>9</v>
      </c>
      <c r="Z594">
        <v>4</v>
      </c>
      <c r="AA594">
        <v>16752</v>
      </c>
      <c r="AB594">
        <v>12982</v>
      </c>
      <c r="AC594" s="1" t="s">
        <v>18</v>
      </c>
      <c r="AD594">
        <v>11</v>
      </c>
      <c r="AE594">
        <v>3</v>
      </c>
      <c r="AF594">
        <v>3</v>
      </c>
      <c r="AG594">
        <v>80</v>
      </c>
      <c r="AH594">
        <v>1</v>
      </c>
      <c r="AI594">
        <v>2</v>
      </c>
      <c r="AJ594">
        <v>0</v>
      </c>
      <c r="AK594" s="1" t="s">
        <v>136</v>
      </c>
    </row>
    <row r="595" spans="1:37" x14ac:dyDescent="0.25">
      <c r="A595">
        <v>823</v>
      </c>
      <c r="B595">
        <v>36</v>
      </c>
      <c r="C595" s="1" t="s">
        <v>24</v>
      </c>
      <c r="D595" s="1" t="s">
        <v>70</v>
      </c>
      <c r="E595">
        <v>3</v>
      </c>
      <c r="F595" s="1" t="s">
        <v>138</v>
      </c>
      <c r="G595">
        <v>0</v>
      </c>
      <c r="H595" s="1" t="s">
        <v>18</v>
      </c>
      <c r="I595">
        <v>10</v>
      </c>
      <c r="J595">
        <v>2</v>
      </c>
      <c r="K595">
        <v>9</v>
      </c>
      <c r="L595">
        <v>7</v>
      </c>
      <c r="M595">
        <v>0</v>
      </c>
      <c r="N595">
        <v>5</v>
      </c>
      <c r="O595" s="1" t="s">
        <v>19</v>
      </c>
      <c r="P595" s="1" t="s">
        <v>135</v>
      </c>
      <c r="Q595">
        <v>676</v>
      </c>
      <c r="R595" s="1" t="s">
        <v>63</v>
      </c>
      <c r="S595">
        <v>1</v>
      </c>
      <c r="T595">
        <v>1</v>
      </c>
      <c r="U595">
        <v>3</v>
      </c>
      <c r="V595">
        <v>35</v>
      </c>
      <c r="W595">
        <v>3</v>
      </c>
      <c r="X595">
        <v>2</v>
      </c>
      <c r="Y595" s="1" t="s">
        <v>7</v>
      </c>
      <c r="Z595">
        <v>2</v>
      </c>
      <c r="AA595">
        <v>5228</v>
      </c>
      <c r="AB595">
        <v>23361</v>
      </c>
      <c r="AC595" s="1" t="s">
        <v>19</v>
      </c>
      <c r="AD595">
        <v>15</v>
      </c>
      <c r="AE595">
        <v>3</v>
      </c>
      <c r="AF595">
        <v>1</v>
      </c>
      <c r="AG595">
        <v>80</v>
      </c>
      <c r="AH595">
        <v>1</v>
      </c>
      <c r="AI595">
        <v>3</v>
      </c>
      <c r="AJ595">
        <v>0</v>
      </c>
      <c r="AK595" s="1" t="s">
        <v>136</v>
      </c>
    </row>
    <row r="596" spans="1:37" x14ac:dyDescent="0.25">
      <c r="A596">
        <v>824</v>
      </c>
      <c r="B596">
        <v>29</v>
      </c>
      <c r="C596" s="1" t="s">
        <v>25</v>
      </c>
      <c r="D596" s="1" t="s">
        <v>70</v>
      </c>
      <c r="E596">
        <v>2</v>
      </c>
      <c r="F596" s="1" t="s">
        <v>134</v>
      </c>
      <c r="G596">
        <v>1</v>
      </c>
      <c r="H596" s="1" t="s">
        <v>18</v>
      </c>
      <c r="I596">
        <v>10</v>
      </c>
      <c r="J596">
        <v>3</v>
      </c>
      <c r="K596">
        <v>10</v>
      </c>
      <c r="L596">
        <v>7</v>
      </c>
      <c r="M596">
        <v>0</v>
      </c>
      <c r="N596">
        <v>7</v>
      </c>
      <c r="O596" s="1" t="s">
        <v>19</v>
      </c>
      <c r="P596" s="1" t="s">
        <v>135</v>
      </c>
      <c r="Q596">
        <v>1252</v>
      </c>
      <c r="R596" s="1" t="s">
        <v>63</v>
      </c>
      <c r="S596">
        <v>23</v>
      </c>
      <c r="T596">
        <v>1</v>
      </c>
      <c r="U596">
        <v>3</v>
      </c>
      <c r="V596">
        <v>81</v>
      </c>
      <c r="W596">
        <v>4</v>
      </c>
      <c r="X596">
        <v>1</v>
      </c>
      <c r="Y596" s="1" t="s">
        <v>5</v>
      </c>
      <c r="Z596">
        <v>3</v>
      </c>
      <c r="AA596">
        <v>2700</v>
      </c>
      <c r="AB596">
        <v>23779</v>
      </c>
      <c r="AC596" s="1" t="s">
        <v>19</v>
      </c>
      <c r="AD596">
        <v>24</v>
      </c>
      <c r="AE596">
        <v>4</v>
      </c>
      <c r="AF596">
        <v>3</v>
      </c>
      <c r="AG596">
        <v>80</v>
      </c>
      <c r="AH596">
        <v>1</v>
      </c>
      <c r="AI596">
        <v>3</v>
      </c>
      <c r="AJ596">
        <v>0</v>
      </c>
      <c r="AK596" s="1" t="s">
        <v>136</v>
      </c>
    </row>
    <row r="597" spans="1:37" x14ac:dyDescent="0.25">
      <c r="A597">
        <v>825</v>
      </c>
      <c r="B597">
        <v>58</v>
      </c>
      <c r="C597" s="1" t="s">
        <v>25</v>
      </c>
      <c r="D597" s="1" t="s">
        <v>71</v>
      </c>
      <c r="E597">
        <v>4</v>
      </c>
      <c r="F597" s="1" t="s">
        <v>134</v>
      </c>
      <c r="G597">
        <v>7</v>
      </c>
      <c r="H597" s="1" t="s">
        <v>18</v>
      </c>
      <c r="I597">
        <v>40</v>
      </c>
      <c r="J597">
        <v>2</v>
      </c>
      <c r="K597">
        <v>31</v>
      </c>
      <c r="L597">
        <v>15</v>
      </c>
      <c r="M597">
        <v>13</v>
      </c>
      <c r="N597">
        <v>8</v>
      </c>
      <c r="O597" s="1" t="s">
        <v>18</v>
      </c>
      <c r="P597" s="1" t="s">
        <v>135</v>
      </c>
      <c r="Q597">
        <v>286</v>
      </c>
      <c r="R597" s="1" t="s">
        <v>63</v>
      </c>
      <c r="S597">
        <v>2</v>
      </c>
      <c r="T597">
        <v>1</v>
      </c>
      <c r="U597">
        <v>4</v>
      </c>
      <c r="V597">
        <v>31</v>
      </c>
      <c r="W597">
        <v>3</v>
      </c>
      <c r="X597">
        <v>5</v>
      </c>
      <c r="Y597" s="1" t="s">
        <v>11</v>
      </c>
      <c r="Z597">
        <v>2</v>
      </c>
      <c r="AA597">
        <v>19246</v>
      </c>
      <c r="AB597">
        <v>25761</v>
      </c>
      <c r="AC597" s="1" t="s">
        <v>18</v>
      </c>
      <c r="AD597">
        <v>12</v>
      </c>
      <c r="AE597">
        <v>3</v>
      </c>
      <c r="AF597">
        <v>4</v>
      </c>
      <c r="AG597">
        <v>80</v>
      </c>
      <c r="AH597">
        <v>0</v>
      </c>
      <c r="AI597">
        <v>3</v>
      </c>
      <c r="AJ597">
        <v>1</v>
      </c>
      <c r="AK597" s="1" t="s">
        <v>140</v>
      </c>
    </row>
    <row r="598" spans="1:37" x14ac:dyDescent="0.25">
      <c r="A598">
        <v>826</v>
      </c>
      <c r="B598">
        <v>35</v>
      </c>
      <c r="C598" s="1" t="s">
        <v>24</v>
      </c>
      <c r="D598" s="1" t="s">
        <v>71</v>
      </c>
      <c r="E598">
        <v>4</v>
      </c>
      <c r="F598" s="1" t="s">
        <v>134</v>
      </c>
      <c r="G598">
        <v>3</v>
      </c>
      <c r="H598" s="1" t="s">
        <v>18</v>
      </c>
      <c r="I598">
        <v>7</v>
      </c>
      <c r="J598">
        <v>0</v>
      </c>
      <c r="K598">
        <v>2</v>
      </c>
      <c r="L598">
        <v>2</v>
      </c>
      <c r="M598">
        <v>2</v>
      </c>
      <c r="N598">
        <v>2</v>
      </c>
      <c r="O598" s="1" t="s">
        <v>19</v>
      </c>
      <c r="P598" s="1" t="s">
        <v>135</v>
      </c>
      <c r="Q598">
        <v>1258</v>
      </c>
      <c r="R598" s="1" t="s">
        <v>63</v>
      </c>
      <c r="S598">
        <v>1</v>
      </c>
      <c r="T598">
        <v>1</v>
      </c>
      <c r="U598">
        <v>4</v>
      </c>
      <c r="V598">
        <v>40</v>
      </c>
      <c r="W598">
        <v>4</v>
      </c>
      <c r="X598">
        <v>1</v>
      </c>
      <c r="Y598" s="1" t="s">
        <v>5</v>
      </c>
      <c r="Z598">
        <v>3</v>
      </c>
      <c r="AA598">
        <v>2506</v>
      </c>
      <c r="AB598">
        <v>13301</v>
      </c>
      <c r="AC598" s="1" t="s">
        <v>19</v>
      </c>
      <c r="AD598">
        <v>13</v>
      </c>
      <c r="AE598">
        <v>3</v>
      </c>
      <c r="AF598">
        <v>3</v>
      </c>
      <c r="AG598">
        <v>80</v>
      </c>
      <c r="AH598">
        <v>0</v>
      </c>
      <c r="AI598">
        <v>3</v>
      </c>
      <c r="AJ598">
        <v>0</v>
      </c>
      <c r="AK598" s="1" t="s">
        <v>136</v>
      </c>
    </row>
    <row r="599" spans="1:37" x14ac:dyDescent="0.25">
      <c r="A599">
        <v>827</v>
      </c>
      <c r="B599">
        <v>42</v>
      </c>
      <c r="C599" s="1" t="s">
        <v>24</v>
      </c>
      <c r="D599" s="1" t="s">
        <v>70</v>
      </c>
      <c r="E599">
        <v>2</v>
      </c>
      <c r="F599" s="1" t="s">
        <v>134</v>
      </c>
      <c r="G599">
        <v>9</v>
      </c>
      <c r="H599" s="1" t="s">
        <v>18</v>
      </c>
      <c r="I599">
        <v>8</v>
      </c>
      <c r="J599">
        <v>4</v>
      </c>
      <c r="K599">
        <v>4</v>
      </c>
      <c r="L599">
        <v>3</v>
      </c>
      <c r="M599">
        <v>0</v>
      </c>
      <c r="N599">
        <v>2</v>
      </c>
      <c r="O599" s="1" t="s">
        <v>19</v>
      </c>
      <c r="P599" s="1" t="s">
        <v>135</v>
      </c>
      <c r="Q599">
        <v>932</v>
      </c>
      <c r="R599" s="1" t="s">
        <v>63</v>
      </c>
      <c r="S599">
        <v>1</v>
      </c>
      <c r="T599">
        <v>1</v>
      </c>
      <c r="U599">
        <v>4</v>
      </c>
      <c r="V599">
        <v>43</v>
      </c>
      <c r="W599">
        <v>2</v>
      </c>
      <c r="X599">
        <v>2</v>
      </c>
      <c r="Y599" s="1" t="s">
        <v>7</v>
      </c>
      <c r="Z599">
        <v>4</v>
      </c>
      <c r="AA599">
        <v>6062</v>
      </c>
      <c r="AB599">
        <v>4051</v>
      </c>
      <c r="AC599" s="1" t="s">
        <v>18</v>
      </c>
      <c r="AD599">
        <v>13</v>
      </c>
      <c r="AE599">
        <v>3</v>
      </c>
      <c r="AF599">
        <v>4</v>
      </c>
      <c r="AG599">
        <v>80</v>
      </c>
      <c r="AH599">
        <v>1</v>
      </c>
      <c r="AI599">
        <v>3</v>
      </c>
      <c r="AJ599">
        <v>0</v>
      </c>
      <c r="AK599" s="1" t="s">
        <v>136</v>
      </c>
    </row>
    <row r="600" spans="1:37" x14ac:dyDescent="0.25">
      <c r="A600">
        <v>828</v>
      </c>
      <c r="B600">
        <v>28</v>
      </c>
      <c r="C600" s="1" t="s">
        <v>25</v>
      </c>
      <c r="D600" s="1" t="s">
        <v>71</v>
      </c>
      <c r="E600">
        <v>4</v>
      </c>
      <c r="F600" s="1" t="s">
        <v>139</v>
      </c>
      <c r="G600">
        <v>6</v>
      </c>
      <c r="H600" s="1" t="s">
        <v>18</v>
      </c>
      <c r="I600">
        <v>5</v>
      </c>
      <c r="J600">
        <v>3</v>
      </c>
      <c r="K600">
        <v>2</v>
      </c>
      <c r="L600">
        <v>2</v>
      </c>
      <c r="M600">
        <v>2</v>
      </c>
      <c r="N600">
        <v>1</v>
      </c>
      <c r="O600" s="1" t="s">
        <v>18</v>
      </c>
      <c r="P600" s="1" t="s">
        <v>135</v>
      </c>
      <c r="Q600">
        <v>890</v>
      </c>
      <c r="R600" s="1" t="s">
        <v>63</v>
      </c>
      <c r="S600">
        <v>2</v>
      </c>
      <c r="T600">
        <v>1</v>
      </c>
      <c r="U600">
        <v>3</v>
      </c>
      <c r="V600">
        <v>46</v>
      </c>
      <c r="W600">
        <v>3</v>
      </c>
      <c r="X600">
        <v>1</v>
      </c>
      <c r="Y600" s="1" t="s">
        <v>5</v>
      </c>
      <c r="Z600">
        <v>3</v>
      </c>
      <c r="AA600">
        <v>4382</v>
      </c>
      <c r="AB600">
        <v>16374</v>
      </c>
      <c r="AC600" s="1" t="s">
        <v>19</v>
      </c>
      <c r="AD600">
        <v>17</v>
      </c>
      <c r="AE600">
        <v>3</v>
      </c>
      <c r="AF600">
        <v>4</v>
      </c>
      <c r="AG600">
        <v>80</v>
      </c>
      <c r="AH600">
        <v>0</v>
      </c>
      <c r="AI600">
        <v>2</v>
      </c>
      <c r="AJ600">
        <v>1</v>
      </c>
      <c r="AK600" s="1" t="s">
        <v>136</v>
      </c>
    </row>
    <row r="601" spans="1:37" x14ac:dyDescent="0.25">
      <c r="A601">
        <v>829</v>
      </c>
      <c r="B601">
        <v>36</v>
      </c>
      <c r="C601" s="1" t="s">
        <v>25</v>
      </c>
      <c r="D601" s="1" t="s">
        <v>70</v>
      </c>
      <c r="E601">
        <v>3</v>
      </c>
      <c r="F601" s="1" t="s">
        <v>12</v>
      </c>
      <c r="G601">
        <v>4</v>
      </c>
      <c r="H601" s="1" t="s">
        <v>18</v>
      </c>
      <c r="I601">
        <v>8</v>
      </c>
      <c r="J601">
        <v>2</v>
      </c>
      <c r="K601">
        <v>5</v>
      </c>
      <c r="L601">
        <v>2</v>
      </c>
      <c r="M601">
        <v>0</v>
      </c>
      <c r="N601">
        <v>4</v>
      </c>
      <c r="O601" s="1" t="s">
        <v>19</v>
      </c>
      <c r="P601" s="1" t="s">
        <v>135</v>
      </c>
      <c r="Q601">
        <v>1041</v>
      </c>
      <c r="R601" s="1" t="s">
        <v>12</v>
      </c>
      <c r="S601">
        <v>13</v>
      </c>
      <c r="T601">
        <v>1</v>
      </c>
      <c r="U601">
        <v>3</v>
      </c>
      <c r="V601">
        <v>36</v>
      </c>
      <c r="W601">
        <v>3</v>
      </c>
      <c r="X601">
        <v>1</v>
      </c>
      <c r="Y601" s="1" t="s">
        <v>12</v>
      </c>
      <c r="Z601">
        <v>2</v>
      </c>
      <c r="AA601">
        <v>2143</v>
      </c>
      <c r="AB601">
        <v>25527</v>
      </c>
      <c r="AC601" s="1" t="s">
        <v>19</v>
      </c>
      <c r="AD601">
        <v>13</v>
      </c>
      <c r="AE601">
        <v>3</v>
      </c>
      <c r="AF601">
        <v>2</v>
      </c>
      <c r="AG601">
        <v>80</v>
      </c>
      <c r="AH601">
        <v>1</v>
      </c>
      <c r="AI601">
        <v>3</v>
      </c>
      <c r="AJ601">
        <v>0</v>
      </c>
      <c r="AK601" s="1" t="s">
        <v>136</v>
      </c>
    </row>
    <row r="602" spans="1:37" x14ac:dyDescent="0.25">
      <c r="A602">
        <v>830</v>
      </c>
      <c r="B602">
        <v>32</v>
      </c>
      <c r="C602" s="1" t="s">
        <v>24</v>
      </c>
      <c r="D602" s="1" t="s">
        <v>70</v>
      </c>
      <c r="E602">
        <v>3</v>
      </c>
      <c r="F602" s="1" t="s">
        <v>134</v>
      </c>
      <c r="G602">
        <v>1</v>
      </c>
      <c r="H602" s="1" t="s">
        <v>18</v>
      </c>
      <c r="I602">
        <v>14</v>
      </c>
      <c r="J602">
        <v>3</v>
      </c>
      <c r="K602">
        <v>14</v>
      </c>
      <c r="L602">
        <v>13</v>
      </c>
      <c r="M602">
        <v>6</v>
      </c>
      <c r="N602">
        <v>8</v>
      </c>
      <c r="O602" s="1" t="s">
        <v>19</v>
      </c>
      <c r="P602" s="1" t="s">
        <v>135</v>
      </c>
      <c r="Q602">
        <v>859</v>
      </c>
      <c r="R602" s="1" t="s">
        <v>63</v>
      </c>
      <c r="S602">
        <v>4</v>
      </c>
      <c r="T602">
        <v>1</v>
      </c>
      <c r="U602">
        <v>3</v>
      </c>
      <c r="V602">
        <v>98</v>
      </c>
      <c r="W602">
        <v>2</v>
      </c>
      <c r="X602">
        <v>2</v>
      </c>
      <c r="Y602" s="1" t="s">
        <v>7</v>
      </c>
      <c r="Z602">
        <v>3</v>
      </c>
      <c r="AA602">
        <v>6162</v>
      </c>
      <c r="AB602">
        <v>19124</v>
      </c>
      <c r="AC602" s="1" t="s">
        <v>19</v>
      </c>
      <c r="AD602">
        <v>12</v>
      </c>
      <c r="AE602">
        <v>3</v>
      </c>
      <c r="AF602">
        <v>3</v>
      </c>
      <c r="AG602">
        <v>80</v>
      </c>
      <c r="AH602">
        <v>1</v>
      </c>
      <c r="AI602">
        <v>3</v>
      </c>
      <c r="AJ602">
        <v>0</v>
      </c>
      <c r="AK602" s="1" t="s">
        <v>136</v>
      </c>
    </row>
    <row r="603" spans="1:37" x14ac:dyDescent="0.25">
      <c r="A603">
        <v>832</v>
      </c>
      <c r="B603">
        <v>40</v>
      </c>
      <c r="C603" s="1" t="s">
        <v>25</v>
      </c>
      <c r="D603" s="1" t="s">
        <v>71</v>
      </c>
      <c r="E603">
        <v>4</v>
      </c>
      <c r="F603" s="1" t="s">
        <v>139</v>
      </c>
      <c r="G603">
        <v>6</v>
      </c>
      <c r="H603" s="1" t="s">
        <v>18</v>
      </c>
      <c r="I603">
        <v>10</v>
      </c>
      <c r="J603">
        <v>6</v>
      </c>
      <c r="K603">
        <v>1</v>
      </c>
      <c r="L603">
        <v>0</v>
      </c>
      <c r="M603">
        <v>0</v>
      </c>
      <c r="N603">
        <v>0</v>
      </c>
      <c r="O603" s="1" t="s">
        <v>19</v>
      </c>
      <c r="P603" s="1" t="s">
        <v>137</v>
      </c>
      <c r="Q603">
        <v>720</v>
      </c>
      <c r="R603" s="1" t="s">
        <v>63</v>
      </c>
      <c r="S603">
        <v>16</v>
      </c>
      <c r="T603">
        <v>1</v>
      </c>
      <c r="U603">
        <v>1</v>
      </c>
      <c r="V603">
        <v>51</v>
      </c>
      <c r="W603">
        <v>2</v>
      </c>
      <c r="X603">
        <v>2</v>
      </c>
      <c r="Y603" s="1" t="s">
        <v>6</v>
      </c>
      <c r="Z603">
        <v>3</v>
      </c>
      <c r="AA603">
        <v>5094</v>
      </c>
      <c r="AB603">
        <v>11983</v>
      </c>
      <c r="AC603" s="1" t="s">
        <v>19</v>
      </c>
      <c r="AD603">
        <v>14</v>
      </c>
      <c r="AE603">
        <v>3</v>
      </c>
      <c r="AF603">
        <v>4</v>
      </c>
      <c r="AG603">
        <v>80</v>
      </c>
      <c r="AH603">
        <v>0</v>
      </c>
      <c r="AI603">
        <v>3</v>
      </c>
      <c r="AJ603">
        <v>0</v>
      </c>
      <c r="AK603" s="1" t="s">
        <v>136</v>
      </c>
    </row>
    <row r="604" spans="1:37" x14ac:dyDescent="0.25">
      <c r="A604">
        <v>833</v>
      </c>
      <c r="B604">
        <v>30</v>
      </c>
      <c r="C604" s="1" t="s">
        <v>24</v>
      </c>
      <c r="D604" s="1" t="s">
        <v>71</v>
      </c>
      <c r="E604">
        <v>3</v>
      </c>
      <c r="F604" s="1" t="s">
        <v>139</v>
      </c>
      <c r="G604">
        <v>5</v>
      </c>
      <c r="H604" s="1" t="s">
        <v>18</v>
      </c>
      <c r="I604">
        <v>12</v>
      </c>
      <c r="J604">
        <v>4</v>
      </c>
      <c r="K604">
        <v>0</v>
      </c>
      <c r="L604">
        <v>0</v>
      </c>
      <c r="M604">
        <v>0</v>
      </c>
      <c r="N604">
        <v>0</v>
      </c>
      <c r="O604" s="1" t="s">
        <v>19</v>
      </c>
      <c r="P604" s="1" t="s">
        <v>135</v>
      </c>
      <c r="Q604">
        <v>946</v>
      </c>
      <c r="R604" s="1" t="s">
        <v>63</v>
      </c>
      <c r="S604">
        <v>2</v>
      </c>
      <c r="T604">
        <v>1</v>
      </c>
      <c r="U604">
        <v>3</v>
      </c>
      <c r="V604">
        <v>52</v>
      </c>
      <c r="W604">
        <v>2</v>
      </c>
      <c r="X604">
        <v>2</v>
      </c>
      <c r="Y604" s="1" t="s">
        <v>7</v>
      </c>
      <c r="Z604">
        <v>4</v>
      </c>
      <c r="AA604">
        <v>6877</v>
      </c>
      <c r="AB604">
        <v>20234</v>
      </c>
      <c r="AC604" s="1" t="s">
        <v>18</v>
      </c>
      <c r="AD604">
        <v>24</v>
      </c>
      <c r="AE604">
        <v>4</v>
      </c>
      <c r="AF604">
        <v>2</v>
      </c>
      <c r="AG604">
        <v>80</v>
      </c>
      <c r="AH604">
        <v>0</v>
      </c>
      <c r="AI604">
        <v>2</v>
      </c>
      <c r="AJ604">
        <v>0</v>
      </c>
      <c r="AK604" s="1" t="s">
        <v>136</v>
      </c>
    </row>
    <row r="605" spans="1:37" x14ac:dyDescent="0.25">
      <c r="A605">
        <v>834</v>
      </c>
      <c r="B605">
        <v>45</v>
      </c>
      <c r="C605" s="1" t="s">
        <v>24</v>
      </c>
      <c r="D605" s="1" t="s">
        <v>71</v>
      </c>
      <c r="E605">
        <v>3</v>
      </c>
      <c r="F605" s="1" t="s">
        <v>134</v>
      </c>
      <c r="G605">
        <v>1</v>
      </c>
      <c r="H605" s="1" t="s">
        <v>18</v>
      </c>
      <c r="I605">
        <v>1</v>
      </c>
      <c r="J605">
        <v>3</v>
      </c>
      <c r="K605">
        <v>1</v>
      </c>
      <c r="L605">
        <v>0</v>
      </c>
      <c r="M605">
        <v>0</v>
      </c>
      <c r="N605">
        <v>0</v>
      </c>
      <c r="O605" s="1" t="s">
        <v>19</v>
      </c>
      <c r="P605" s="1" t="s">
        <v>135</v>
      </c>
      <c r="Q605">
        <v>252</v>
      </c>
      <c r="R605" s="1" t="s">
        <v>63</v>
      </c>
      <c r="S605">
        <v>2</v>
      </c>
      <c r="T605">
        <v>1</v>
      </c>
      <c r="U605">
        <v>2</v>
      </c>
      <c r="V605">
        <v>95</v>
      </c>
      <c r="W605">
        <v>2</v>
      </c>
      <c r="X605">
        <v>1</v>
      </c>
      <c r="Y605" s="1" t="s">
        <v>5</v>
      </c>
      <c r="Z605">
        <v>3</v>
      </c>
      <c r="AA605">
        <v>2274</v>
      </c>
      <c r="AB605">
        <v>6153</v>
      </c>
      <c r="AC605" s="1" t="s">
        <v>19</v>
      </c>
      <c r="AD605">
        <v>14</v>
      </c>
      <c r="AE605">
        <v>3</v>
      </c>
      <c r="AF605">
        <v>4</v>
      </c>
      <c r="AG605">
        <v>80</v>
      </c>
      <c r="AH605">
        <v>0</v>
      </c>
      <c r="AI605">
        <v>3</v>
      </c>
      <c r="AJ605">
        <v>0</v>
      </c>
      <c r="AK605" s="1" t="s">
        <v>136</v>
      </c>
    </row>
    <row r="606" spans="1:37" x14ac:dyDescent="0.25">
      <c r="A606">
        <v>836</v>
      </c>
      <c r="B606">
        <v>42</v>
      </c>
      <c r="C606" s="1" t="s">
        <v>25</v>
      </c>
      <c r="D606" s="1" t="s">
        <v>70</v>
      </c>
      <c r="E606">
        <v>3</v>
      </c>
      <c r="F606" s="1" t="s">
        <v>134</v>
      </c>
      <c r="G606">
        <v>1</v>
      </c>
      <c r="H606" s="1" t="s">
        <v>18</v>
      </c>
      <c r="I606">
        <v>10</v>
      </c>
      <c r="J606">
        <v>3</v>
      </c>
      <c r="K606">
        <v>9</v>
      </c>
      <c r="L606">
        <v>8</v>
      </c>
      <c r="M606">
        <v>7</v>
      </c>
      <c r="N606">
        <v>8</v>
      </c>
      <c r="O606" s="1" t="s">
        <v>19</v>
      </c>
      <c r="P606" s="1" t="s">
        <v>135</v>
      </c>
      <c r="Q606">
        <v>933</v>
      </c>
      <c r="R606" s="1" t="s">
        <v>63</v>
      </c>
      <c r="S606">
        <v>29</v>
      </c>
      <c r="T606">
        <v>1</v>
      </c>
      <c r="U606">
        <v>2</v>
      </c>
      <c r="V606">
        <v>98</v>
      </c>
      <c r="W606">
        <v>3</v>
      </c>
      <c r="X606">
        <v>2</v>
      </c>
      <c r="Y606" s="1" t="s">
        <v>7</v>
      </c>
      <c r="Z606">
        <v>2</v>
      </c>
      <c r="AA606">
        <v>4434</v>
      </c>
      <c r="AB606">
        <v>11806</v>
      </c>
      <c r="AC606" s="1" t="s">
        <v>19</v>
      </c>
      <c r="AD606">
        <v>13</v>
      </c>
      <c r="AE606">
        <v>3</v>
      </c>
      <c r="AF606">
        <v>4</v>
      </c>
      <c r="AG606">
        <v>80</v>
      </c>
      <c r="AH606">
        <v>1</v>
      </c>
      <c r="AI606">
        <v>2</v>
      </c>
      <c r="AJ606">
        <v>0</v>
      </c>
      <c r="AK606" s="1" t="s">
        <v>136</v>
      </c>
    </row>
    <row r="607" spans="1:37" x14ac:dyDescent="0.25">
      <c r="A607">
        <v>837</v>
      </c>
      <c r="B607">
        <v>38</v>
      </c>
      <c r="C607" s="1" t="s">
        <v>25</v>
      </c>
      <c r="D607" s="1" t="s">
        <v>69</v>
      </c>
      <c r="E607">
        <v>3</v>
      </c>
      <c r="F607" s="1" t="s">
        <v>134</v>
      </c>
      <c r="G607">
        <v>2</v>
      </c>
      <c r="H607" s="1" t="s">
        <v>18</v>
      </c>
      <c r="I607">
        <v>13</v>
      </c>
      <c r="J607">
        <v>3</v>
      </c>
      <c r="K607">
        <v>4</v>
      </c>
      <c r="L607">
        <v>3</v>
      </c>
      <c r="M607">
        <v>1</v>
      </c>
      <c r="N607">
        <v>2</v>
      </c>
      <c r="O607" s="1" t="s">
        <v>19</v>
      </c>
      <c r="P607" s="1" t="s">
        <v>137</v>
      </c>
      <c r="Q607">
        <v>471</v>
      </c>
      <c r="R607" s="1" t="s">
        <v>63</v>
      </c>
      <c r="S607">
        <v>12</v>
      </c>
      <c r="T607">
        <v>1</v>
      </c>
      <c r="U607">
        <v>1</v>
      </c>
      <c r="V607">
        <v>45</v>
      </c>
      <c r="W607">
        <v>2</v>
      </c>
      <c r="X607">
        <v>2</v>
      </c>
      <c r="Y607" s="1" t="s">
        <v>8</v>
      </c>
      <c r="Z607">
        <v>1</v>
      </c>
      <c r="AA607">
        <v>6288</v>
      </c>
      <c r="AB607">
        <v>4284</v>
      </c>
      <c r="AC607" s="1" t="s">
        <v>19</v>
      </c>
      <c r="AD607">
        <v>15</v>
      </c>
      <c r="AE607">
        <v>3</v>
      </c>
      <c r="AF607">
        <v>3</v>
      </c>
      <c r="AG607">
        <v>80</v>
      </c>
      <c r="AH607">
        <v>1</v>
      </c>
      <c r="AI607">
        <v>2</v>
      </c>
      <c r="AJ607">
        <v>0</v>
      </c>
      <c r="AK607" s="1" t="s">
        <v>136</v>
      </c>
    </row>
    <row r="608" spans="1:37" x14ac:dyDescent="0.25">
      <c r="A608">
        <v>838</v>
      </c>
      <c r="B608">
        <v>34</v>
      </c>
      <c r="C608" s="1" t="s">
        <v>24</v>
      </c>
      <c r="D608" s="1" t="s">
        <v>71</v>
      </c>
      <c r="E608">
        <v>4</v>
      </c>
      <c r="F608" s="1" t="s">
        <v>134</v>
      </c>
      <c r="G608">
        <v>1</v>
      </c>
      <c r="H608" s="1" t="s">
        <v>18</v>
      </c>
      <c r="I608">
        <v>6</v>
      </c>
      <c r="J608">
        <v>3</v>
      </c>
      <c r="K608">
        <v>5</v>
      </c>
      <c r="L608">
        <v>2</v>
      </c>
      <c r="M608">
        <v>1</v>
      </c>
      <c r="N608">
        <v>3</v>
      </c>
      <c r="O608" s="1" t="s">
        <v>19</v>
      </c>
      <c r="P608" s="1" t="s">
        <v>137</v>
      </c>
      <c r="Q608">
        <v>702</v>
      </c>
      <c r="R608" s="1" t="s">
        <v>63</v>
      </c>
      <c r="S608">
        <v>16</v>
      </c>
      <c r="T608">
        <v>1</v>
      </c>
      <c r="U608">
        <v>3</v>
      </c>
      <c r="V608">
        <v>100</v>
      </c>
      <c r="W608">
        <v>2</v>
      </c>
      <c r="X608">
        <v>1</v>
      </c>
      <c r="Y608" s="1" t="s">
        <v>5</v>
      </c>
      <c r="Z608">
        <v>4</v>
      </c>
      <c r="AA608">
        <v>2553</v>
      </c>
      <c r="AB608">
        <v>8306</v>
      </c>
      <c r="AC608" s="1" t="s">
        <v>19</v>
      </c>
      <c r="AD608">
        <v>16</v>
      </c>
      <c r="AE608">
        <v>3</v>
      </c>
      <c r="AF608">
        <v>3</v>
      </c>
      <c r="AG608">
        <v>80</v>
      </c>
      <c r="AH608">
        <v>0</v>
      </c>
      <c r="AI608">
        <v>3</v>
      </c>
      <c r="AJ608">
        <v>0</v>
      </c>
      <c r="AK608" s="1" t="s">
        <v>136</v>
      </c>
    </row>
    <row r="609" spans="1:37" x14ac:dyDescent="0.25">
      <c r="A609">
        <v>840</v>
      </c>
      <c r="B609">
        <v>49</v>
      </c>
      <c r="C609" s="1" t="s">
        <v>24</v>
      </c>
      <c r="D609" s="1" t="s">
        <v>70</v>
      </c>
      <c r="E609">
        <v>3</v>
      </c>
      <c r="F609" s="1" t="s">
        <v>142</v>
      </c>
      <c r="G609">
        <v>1</v>
      </c>
      <c r="H609" s="1" t="s">
        <v>18</v>
      </c>
      <c r="I609">
        <v>9</v>
      </c>
      <c r="J609">
        <v>3</v>
      </c>
      <c r="K609">
        <v>9</v>
      </c>
      <c r="L609">
        <v>8</v>
      </c>
      <c r="M609">
        <v>7</v>
      </c>
      <c r="N609">
        <v>7</v>
      </c>
      <c r="O609" s="1" t="s">
        <v>18</v>
      </c>
      <c r="P609" s="1" t="s">
        <v>135</v>
      </c>
      <c r="Q609">
        <v>1184</v>
      </c>
      <c r="R609" s="1" t="s">
        <v>64</v>
      </c>
      <c r="S609">
        <v>11</v>
      </c>
      <c r="T609">
        <v>1</v>
      </c>
      <c r="U609">
        <v>3</v>
      </c>
      <c r="V609">
        <v>43</v>
      </c>
      <c r="W609">
        <v>3</v>
      </c>
      <c r="X609">
        <v>3</v>
      </c>
      <c r="Y609" s="1" t="s">
        <v>4</v>
      </c>
      <c r="Z609">
        <v>4</v>
      </c>
      <c r="AA609">
        <v>7654</v>
      </c>
      <c r="AB609">
        <v>5860</v>
      </c>
      <c r="AC609" s="1" t="s">
        <v>19</v>
      </c>
      <c r="AD609">
        <v>18</v>
      </c>
      <c r="AE609">
        <v>3</v>
      </c>
      <c r="AF609">
        <v>1</v>
      </c>
      <c r="AG609">
        <v>80</v>
      </c>
      <c r="AH609">
        <v>2</v>
      </c>
      <c r="AI609">
        <v>4</v>
      </c>
      <c r="AJ609">
        <v>1</v>
      </c>
      <c r="AK609" s="1" t="s">
        <v>136</v>
      </c>
    </row>
    <row r="610" spans="1:37" x14ac:dyDescent="0.25">
      <c r="A610">
        <v>842</v>
      </c>
      <c r="B610">
        <v>55</v>
      </c>
      <c r="C610" s="1" t="s">
        <v>25</v>
      </c>
      <c r="D610" s="1" t="s">
        <v>71</v>
      </c>
      <c r="E610">
        <v>1</v>
      </c>
      <c r="F610" s="1" t="s">
        <v>139</v>
      </c>
      <c r="G610">
        <v>4</v>
      </c>
      <c r="H610" s="1" t="s">
        <v>18</v>
      </c>
      <c r="I610">
        <v>12</v>
      </c>
      <c r="J610">
        <v>3</v>
      </c>
      <c r="K610">
        <v>9</v>
      </c>
      <c r="L610">
        <v>7</v>
      </c>
      <c r="M610">
        <v>7</v>
      </c>
      <c r="N610">
        <v>3</v>
      </c>
      <c r="O610" s="1" t="s">
        <v>18</v>
      </c>
      <c r="P610" s="1" t="s">
        <v>135</v>
      </c>
      <c r="Q610">
        <v>436</v>
      </c>
      <c r="R610" s="1" t="s">
        <v>64</v>
      </c>
      <c r="S610">
        <v>2</v>
      </c>
      <c r="T610">
        <v>1</v>
      </c>
      <c r="U610">
        <v>3</v>
      </c>
      <c r="V610">
        <v>37</v>
      </c>
      <c r="W610">
        <v>3</v>
      </c>
      <c r="X610">
        <v>2</v>
      </c>
      <c r="Y610" s="1" t="s">
        <v>4</v>
      </c>
      <c r="Z610">
        <v>4</v>
      </c>
      <c r="AA610">
        <v>5160</v>
      </c>
      <c r="AB610">
        <v>21519</v>
      </c>
      <c r="AC610" s="1" t="s">
        <v>19</v>
      </c>
      <c r="AD610">
        <v>16</v>
      </c>
      <c r="AE610">
        <v>3</v>
      </c>
      <c r="AF610">
        <v>3</v>
      </c>
      <c r="AG610">
        <v>80</v>
      </c>
      <c r="AH610">
        <v>0</v>
      </c>
      <c r="AI610">
        <v>2</v>
      </c>
      <c r="AJ610">
        <v>1</v>
      </c>
      <c r="AK610" s="1" t="s">
        <v>140</v>
      </c>
    </row>
    <row r="611" spans="1:37" x14ac:dyDescent="0.25">
      <c r="A611">
        <v>843</v>
      </c>
      <c r="B611">
        <v>43</v>
      </c>
      <c r="C611" s="1" t="s">
        <v>25</v>
      </c>
      <c r="D611" s="1" t="s">
        <v>70</v>
      </c>
      <c r="E611">
        <v>2</v>
      </c>
      <c r="F611" s="1" t="s">
        <v>134</v>
      </c>
      <c r="G611">
        <v>6</v>
      </c>
      <c r="H611" s="1" t="s">
        <v>18</v>
      </c>
      <c r="I611">
        <v>22</v>
      </c>
      <c r="J611">
        <v>3</v>
      </c>
      <c r="K611">
        <v>4</v>
      </c>
      <c r="L611">
        <v>1</v>
      </c>
      <c r="M611">
        <v>1</v>
      </c>
      <c r="N611">
        <v>0</v>
      </c>
      <c r="O611" s="1" t="s">
        <v>19</v>
      </c>
      <c r="P611" s="1" t="s">
        <v>135</v>
      </c>
      <c r="Q611">
        <v>589</v>
      </c>
      <c r="R611" s="1" t="s">
        <v>63</v>
      </c>
      <c r="S611">
        <v>14</v>
      </c>
      <c r="T611">
        <v>1</v>
      </c>
      <c r="U611">
        <v>2</v>
      </c>
      <c r="V611">
        <v>94</v>
      </c>
      <c r="W611">
        <v>3</v>
      </c>
      <c r="X611">
        <v>4</v>
      </c>
      <c r="Y611" s="1" t="s">
        <v>11</v>
      </c>
      <c r="Z611">
        <v>1</v>
      </c>
      <c r="AA611">
        <v>17159</v>
      </c>
      <c r="AB611">
        <v>5200</v>
      </c>
      <c r="AC611" s="1" t="s">
        <v>19</v>
      </c>
      <c r="AD611">
        <v>24</v>
      </c>
      <c r="AE611">
        <v>4</v>
      </c>
      <c r="AF611">
        <v>3</v>
      </c>
      <c r="AG611">
        <v>80</v>
      </c>
      <c r="AH611">
        <v>1</v>
      </c>
      <c r="AI611">
        <v>3</v>
      </c>
      <c r="AJ611">
        <v>0</v>
      </c>
      <c r="AK611" s="1" t="s">
        <v>136</v>
      </c>
    </row>
    <row r="612" spans="1:37" x14ac:dyDescent="0.25">
      <c r="A612">
        <v>844</v>
      </c>
      <c r="B612">
        <v>27</v>
      </c>
      <c r="C612" s="1" t="s">
        <v>25</v>
      </c>
      <c r="D612" s="1" t="s">
        <v>69</v>
      </c>
      <c r="E612">
        <v>1</v>
      </c>
      <c r="F612" s="1" t="s">
        <v>143</v>
      </c>
      <c r="G612">
        <v>1</v>
      </c>
      <c r="H612" s="1" t="s">
        <v>18</v>
      </c>
      <c r="I612">
        <v>9</v>
      </c>
      <c r="J612">
        <v>3</v>
      </c>
      <c r="K612">
        <v>9</v>
      </c>
      <c r="L612">
        <v>8</v>
      </c>
      <c r="M612">
        <v>0</v>
      </c>
      <c r="N612">
        <v>8</v>
      </c>
      <c r="O612" s="1" t="s">
        <v>19</v>
      </c>
      <c r="P612" s="1" t="s">
        <v>135</v>
      </c>
      <c r="Q612">
        <v>269</v>
      </c>
      <c r="R612" s="1" t="s">
        <v>63</v>
      </c>
      <c r="S612">
        <v>5</v>
      </c>
      <c r="T612">
        <v>1</v>
      </c>
      <c r="U612">
        <v>3</v>
      </c>
      <c r="V612">
        <v>42</v>
      </c>
      <c r="W612">
        <v>2</v>
      </c>
      <c r="X612">
        <v>3</v>
      </c>
      <c r="Y612" s="1" t="s">
        <v>11</v>
      </c>
      <c r="Z612">
        <v>4</v>
      </c>
      <c r="AA612">
        <v>12808</v>
      </c>
      <c r="AB612">
        <v>8842</v>
      </c>
      <c r="AC612" s="1" t="s">
        <v>18</v>
      </c>
      <c r="AD612">
        <v>16</v>
      </c>
      <c r="AE612">
        <v>3</v>
      </c>
      <c r="AF612">
        <v>2</v>
      </c>
      <c r="AG612">
        <v>80</v>
      </c>
      <c r="AH612">
        <v>1</v>
      </c>
      <c r="AI612">
        <v>3</v>
      </c>
      <c r="AJ612">
        <v>0</v>
      </c>
      <c r="AK612" s="1" t="s">
        <v>136</v>
      </c>
    </row>
    <row r="613" spans="1:37" x14ac:dyDescent="0.25">
      <c r="A613">
        <v>845</v>
      </c>
      <c r="B613">
        <v>35</v>
      </c>
      <c r="C613" s="1" t="s">
        <v>25</v>
      </c>
      <c r="D613" s="1" t="s">
        <v>71</v>
      </c>
      <c r="E613">
        <v>3</v>
      </c>
      <c r="F613" s="1" t="s">
        <v>138</v>
      </c>
      <c r="G613">
        <v>3</v>
      </c>
      <c r="H613" s="1" t="s">
        <v>18</v>
      </c>
      <c r="I613">
        <v>17</v>
      </c>
      <c r="J613">
        <v>3</v>
      </c>
      <c r="K613">
        <v>8</v>
      </c>
      <c r="L613">
        <v>5</v>
      </c>
      <c r="M613">
        <v>1</v>
      </c>
      <c r="N613">
        <v>6</v>
      </c>
      <c r="O613" s="1" t="s">
        <v>19</v>
      </c>
      <c r="P613" s="1" t="s">
        <v>135</v>
      </c>
      <c r="Q613">
        <v>950</v>
      </c>
      <c r="R613" s="1" t="s">
        <v>63</v>
      </c>
      <c r="S613">
        <v>7</v>
      </c>
      <c r="T613">
        <v>1</v>
      </c>
      <c r="U613">
        <v>3</v>
      </c>
      <c r="V613">
        <v>59</v>
      </c>
      <c r="W613">
        <v>3</v>
      </c>
      <c r="X613">
        <v>3</v>
      </c>
      <c r="Y613" s="1" t="s">
        <v>7</v>
      </c>
      <c r="Z613">
        <v>3</v>
      </c>
      <c r="AA613">
        <v>10221</v>
      </c>
      <c r="AB613">
        <v>18869</v>
      </c>
      <c r="AC613" s="1" t="s">
        <v>19</v>
      </c>
      <c r="AD613">
        <v>21</v>
      </c>
      <c r="AE613">
        <v>4</v>
      </c>
      <c r="AF613">
        <v>2</v>
      </c>
      <c r="AG613">
        <v>80</v>
      </c>
      <c r="AH613">
        <v>0</v>
      </c>
      <c r="AI613">
        <v>4</v>
      </c>
      <c r="AJ613">
        <v>0</v>
      </c>
      <c r="AK613" s="1" t="s">
        <v>136</v>
      </c>
    </row>
    <row r="614" spans="1:37" x14ac:dyDescent="0.25">
      <c r="A614">
        <v>846</v>
      </c>
      <c r="B614">
        <v>28</v>
      </c>
      <c r="C614" s="1" t="s">
        <v>24</v>
      </c>
      <c r="D614" s="1" t="s">
        <v>70</v>
      </c>
      <c r="E614">
        <v>4</v>
      </c>
      <c r="F614" s="1" t="s">
        <v>142</v>
      </c>
      <c r="G614">
        <v>1</v>
      </c>
      <c r="H614" s="1" t="s">
        <v>18</v>
      </c>
      <c r="I614">
        <v>8</v>
      </c>
      <c r="J614">
        <v>2</v>
      </c>
      <c r="K614">
        <v>8</v>
      </c>
      <c r="L614">
        <v>7</v>
      </c>
      <c r="M614">
        <v>7</v>
      </c>
      <c r="N614">
        <v>5</v>
      </c>
      <c r="O614" s="1" t="s">
        <v>19</v>
      </c>
      <c r="P614" s="1" t="s">
        <v>135</v>
      </c>
      <c r="Q614">
        <v>760</v>
      </c>
      <c r="R614" s="1" t="s">
        <v>64</v>
      </c>
      <c r="S614">
        <v>2</v>
      </c>
      <c r="T614">
        <v>1</v>
      </c>
      <c r="U614">
        <v>2</v>
      </c>
      <c r="V614">
        <v>81</v>
      </c>
      <c r="W614">
        <v>3</v>
      </c>
      <c r="X614">
        <v>2</v>
      </c>
      <c r="Y614" s="1" t="s">
        <v>4</v>
      </c>
      <c r="Z614">
        <v>2</v>
      </c>
      <c r="AA614">
        <v>4779</v>
      </c>
      <c r="AB614">
        <v>3698</v>
      </c>
      <c r="AC614" s="1" t="s">
        <v>18</v>
      </c>
      <c r="AD614">
        <v>20</v>
      </c>
      <c r="AE614">
        <v>4</v>
      </c>
      <c r="AF614">
        <v>1</v>
      </c>
      <c r="AG614">
        <v>80</v>
      </c>
      <c r="AH614">
        <v>0</v>
      </c>
      <c r="AI614">
        <v>3</v>
      </c>
      <c r="AJ614">
        <v>0</v>
      </c>
      <c r="AK614" s="1" t="s">
        <v>136</v>
      </c>
    </row>
    <row r="615" spans="1:37" x14ac:dyDescent="0.25">
      <c r="A615">
        <v>847</v>
      </c>
      <c r="B615">
        <v>34</v>
      </c>
      <c r="C615" s="1" t="s">
        <v>25</v>
      </c>
      <c r="D615" s="1" t="s">
        <v>70</v>
      </c>
      <c r="E615">
        <v>2</v>
      </c>
      <c r="F615" s="1" t="s">
        <v>12</v>
      </c>
      <c r="G615">
        <v>0</v>
      </c>
      <c r="H615" s="1" t="s">
        <v>18</v>
      </c>
      <c r="I615">
        <v>4</v>
      </c>
      <c r="J615">
        <v>1</v>
      </c>
      <c r="K615">
        <v>3</v>
      </c>
      <c r="L615">
        <v>2</v>
      </c>
      <c r="M615">
        <v>0</v>
      </c>
      <c r="N615">
        <v>2</v>
      </c>
      <c r="O615" s="1" t="s">
        <v>19</v>
      </c>
      <c r="P615" s="1" t="s">
        <v>135</v>
      </c>
      <c r="Q615">
        <v>829</v>
      </c>
      <c r="R615" s="1" t="s">
        <v>12</v>
      </c>
      <c r="S615">
        <v>3</v>
      </c>
      <c r="T615">
        <v>1</v>
      </c>
      <c r="U615">
        <v>3</v>
      </c>
      <c r="V615">
        <v>88</v>
      </c>
      <c r="W615">
        <v>3</v>
      </c>
      <c r="X615">
        <v>1</v>
      </c>
      <c r="Y615" s="1" t="s">
        <v>12</v>
      </c>
      <c r="Z615">
        <v>4</v>
      </c>
      <c r="AA615">
        <v>3737</v>
      </c>
      <c r="AB615">
        <v>2243</v>
      </c>
      <c r="AC615" s="1" t="s">
        <v>19</v>
      </c>
      <c r="AD615">
        <v>19</v>
      </c>
      <c r="AE615">
        <v>3</v>
      </c>
      <c r="AF615">
        <v>3</v>
      </c>
      <c r="AG615">
        <v>80</v>
      </c>
      <c r="AH615">
        <v>1</v>
      </c>
      <c r="AI615">
        <v>1</v>
      </c>
      <c r="AJ615">
        <v>0</v>
      </c>
      <c r="AK615" s="1" t="s">
        <v>136</v>
      </c>
    </row>
    <row r="616" spans="1:37" x14ac:dyDescent="0.25">
      <c r="A616">
        <v>848</v>
      </c>
      <c r="B616">
        <v>26</v>
      </c>
      <c r="C616" s="1" t="s">
        <v>24</v>
      </c>
      <c r="D616" s="1" t="s">
        <v>70</v>
      </c>
      <c r="E616">
        <v>2</v>
      </c>
      <c r="F616" s="1" t="s">
        <v>139</v>
      </c>
      <c r="G616">
        <v>1</v>
      </c>
      <c r="H616" s="1" t="s">
        <v>18</v>
      </c>
      <c r="I616">
        <v>8</v>
      </c>
      <c r="J616">
        <v>2</v>
      </c>
      <c r="K616">
        <v>8</v>
      </c>
      <c r="L616">
        <v>7</v>
      </c>
      <c r="M616">
        <v>1</v>
      </c>
      <c r="N616">
        <v>7</v>
      </c>
      <c r="O616" s="1" t="s">
        <v>18</v>
      </c>
      <c r="P616" s="1" t="s">
        <v>137</v>
      </c>
      <c r="Q616">
        <v>887</v>
      </c>
      <c r="R616" s="1" t="s">
        <v>63</v>
      </c>
      <c r="S616">
        <v>5</v>
      </c>
      <c r="T616">
        <v>1</v>
      </c>
      <c r="U616">
        <v>3</v>
      </c>
      <c r="V616">
        <v>88</v>
      </c>
      <c r="W616">
        <v>2</v>
      </c>
      <c r="X616">
        <v>1</v>
      </c>
      <c r="Y616" s="1" t="s">
        <v>5</v>
      </c>
      <c r="Z616">
        <v>3</v>
      </c>
      <c r="AA616">
        <v>2366</v>
      </c>
      <c r="AB616">
        <v>20898</v>
      </c>
      <c r="AC616" s="1" t="s">
        <v>18</v>
      </c>
      <c r="AD616">
        <v>14</v>
      </c>
      <c r="AE616">
        <v>3</v>
      </c>
      <c r="AF616">
        <v>1</v>
      </c>
      <c r="AG616">
        <v>80</v>
      </c>
      <c r="AH616">
        <v>1</v>
      </c>
      <c r="AI616">
        <v>3</v>
      </c>
      <c r="AJ616">
        <v>1</v>
      </c>
      <c r="AK616" s="1" t="s">
        <v>136</v>
      </c>
    </row>
    <row r="617" spans="1:37" x14ac:dyDescent="0.25">
      <c r="A617">
        <v>850</v>
      </c>
      <c r="B617">
        <v>27</v>
      </c>
      <c r="C617" s="1" t="s">
        <v>25</v>
      </c>
      <c r="D617" s="1" t="s">
        <v>70</v>
      </c>
      <c r="E617">
        <v>3</v>
      </c>
      <c r="F617" s="1" t="s">
        <v>139</v>
      </c>
      <c r="G617">
        <v>1</v>
      </c>
      <c r="H617" s="1" t="s">
        <v>18</v>
      </c>
      <c r="I617">
        <v>0</v>
      </c>
      <c r="J617">
        <v>6</v>
      </c>
      <c r="K617">
        <v>0</v>
      </c>
      <c r="L617">
        <v>0</v>
      </c>
      <c r="M617">
        <v>0</v>
      </c>
      <c r="N617">
        <v>0</v>
      </c>
      <c r="O617" s="1" t="s">
        <v>19</v>
      </c>
      <c r="P617" s="1" t="s">
        <v>141</v>
      </c>
      <c r="Q617">
        <v>443</v>
      </c>
      <c r="R617" s="1" t="s">
        <v>63</v>
      </c>
      <c r="S617">
        <v>3</v>
      </c>
      <c r="T617">
        <v>1</v>
      </c>
      <c r="U617">
        <v>4</v>
      </c>
      <c r="V617">
        <v>50</v>
      </c>
      <c r="W617">
        <v>3</v>
      </c>
      <c r="X617">
        <v>1</v>
      </c>
      <c r="Y617" s="1" t="s">
        <v>5</v>
      </c>
      <c r="Z617">
        <v>4</v>
      </c>
      <c r="AA617">
        <v>1706</v>
      </c>
      <c r="AB617">
        <v>16571</v>
      </c>
      <c r="AC617" s="1" t="s">
        <v>19</v>
      </c>
      <c r="AD617">
        <v>11</v>
      </c>
      <c r="AE617">
        <v>3</v>
      </c>
      <c r="AF617">
        <v>3</v>
      </c>
      <c r="AG617">
        <v>80</v>
      </c>
      <c r="AH617">
        <v>3</v>
      </c>
      <c r="AI617">
        <v>2</v>
      </c>
      <c r="AJ617">
        <v>0</v>
      </c>
      <c r="AK617" s="1" t="s">
        <v>136</v>
      </c>
    </row>
    <row r="618" spans="1:37" x14ac:dyDescent="0.25">
      <c r="A618">
        <v>851</v>
      </c>
      <c r="B618">
        <v>51</v>
      </c>
      <c r="C618" s="1" t="s">
        <v>24</v>
      </c>
      <c r="D618" s="1" t="s">
        <v>70</v>
      </c>
      <c r="E618">
        <v>4</v>
      </c>
      <c r="F618" s="1" t="s">
        <v>142</v>
      </c>
      <c r="G618">
        <v>2</v>
      </c>
      <c r="H618" s="1" t="s">
        <v>18</v>
      </c>
      <c r="I618">
        <v>29</v>
      </c>
      <c r="J618">
        <v>2</v>
      </c>
      <c r="K618">
        <v>20</v>
      </c>
      <c r="L618">
        <v>6</v>
      </c>
      <c r="M618">
        <v>4</v>
      </c>
      <c r="N618">
        <v>17</v>
      </c>
      <c r="O618" s="1" t="s">
        <v>19</v>
      </c>
      <c r="P618" s="1" t="s">
        <v>135</v>
      </c>
      <c r="Q618">
        <v>1318</v>
      </c>
      <c r="R618" s="1" t="s">
        <v>64</v>
      </c>
      <c r="S618">
        <v>26</v>
      </c>
      <c r="T618">
        <v>1</v>
      </c>
      <c r="U618">
        <v>1</v>
      </c>
      <c r="V618">
        <v>66</v>
      </c>
      <c r="W618">
        <v>3</v>
      </c>
      <c r="X618">
        <v>4</v>
      </c>
      <c r="Y618" s="1" t="s">
        <v>9</v>
      </c>
      <c r="Z618">
        <v>3</v>
      </c>
      <c r="AA618">
        <v>16307</v>
      </c>
      <c r="AB618">
        <v>5594</v>
      </c>
      <c r="AC618" s="1" t="s">
        <v>19</v>
      </c>
      <c r="AD618">
        <v>14</v>
      </c>
      <c r="AE618">
        <v>3</v>
      </c>
      <c r="AF618">
        <v>3</v>
      </c>
      <c r="AG618">
        <v>80</v>
      </c>
      <c r="AH618">
        <v>1</v>
      </c>
      <c r="AI618">
        <v>2</v>
      </c>
      <c r="AJ618">
        <v>0</v>
      </c>
      <c r="AK618" s="1" t="s">
        <v>140</v>
      </c>
    </row>
    <row r="619" spans="1:37" x14ac:dyDescent="0.25">
      <c r="A619">
        <v>852</v>
      </c>
      <c r="B619">
        <v>44</v>
      </c>
      <c r="C619" s="1" t="s">
        <v>25</v>
      </c>
      <c r="D619" s="1" t="s">
        <v>71</v>
      </c>
      <c r="E619">
        <v>3</v>
      </c>
      <c r="F619" s="1" t="s">
        <v>139</v>
      </c>
      <c r="G619">
        <v>9</v>
      </c>
      <c r="H619" s="1" t="s">
        <v>18</v>
      </c>
      <c r="I619">
        <v>10</v>
      </c>
      <c r="J619">
        <v>2</v>
      </c>
      <c r="K619">
        <v>5</v>
      </c>
      <c r="L619">
        <v>2</v>
      </c>
      <c r="M619">
        <v>2</v>
      </c>
      <c r="N619">
        <v>3</v>
      </c>
      <c r="O619" s="1" t="s">
        <v>19</v>
      </c>
      <c r="P619" s="1" t="s">
        <v>135</v>
      </c>
      <c r="Q619">
        <v>625</v>
      </c>
      <c r="R619" s="1" t="s">
        <v>63</v>
      </c>
      <c r="S619">
        <v>4</v>
      </c>
      <c r="T619">
        <v>1</v>
      </c>
      <c r="U619">
        <v>4</v>
      </c>
      <c r="V619">
        <v>50</v>
      </c>
      <c r="W619">
        <v>3</v>
      </c>
      <c r="X619">
        <v>2</v>
      </c>
      <c r="Y619" s="1" t="s">
        <v>8</v>
      </c>
      <c r="Z619">
        <v>2</v>
      </c>
      <c r="AA619">
        <v>5933</v>
      </c>
      <c r="AB619">
        <v>5197</v>
      </c>
      <c r="AC619" s="1" t="s">
        <v>19</v>
      </c>
      <c r="AD619">
        <v>12</v>
      </c>
      <c r="AE619">
        <v>3</v>
      </c>
      <c r="AF619">
        <v>4</v>
      </c>
      <c r="AG619">
        <v>80</v>
      </c>
      <c r="AH619">
        <v>0</v>
      </c>
      <c r="AI619">
        <v>2</v>
      </c>
      <c r="AJ619">
        <v>0</v>
      </c>
      <c r="AK619" s="1" t="s">
        <v>136</v>
      </c>
    </row>
    <row r="620" spans="1:37" x14ac:dyDescent="0.25">
      <c r="A620">
        <v>854</v>
      </c>
      <c r="B620">
        <v>25</v>
      </c>
      <c r="C620" s="1" t="s">
        <v>25</v>
      </c>
      <c r="D620" s="1" t="s">
        <v>71</v>
      </c>
      <c r="E620">
        <v>1</v>
      </c>
      <c r="F620" s="1" t="s">
        <v>139</v>
      </c>
      <c r="G620">
        <v>7</v>
      </c>
      <c r="H620" s="1" t="s">
        <v>18</v>
      </c>
      <c r="I620">
        <v>6</v>
      </c>
      <c r="J620">
        <v>3</v>
      </c>
      <c r="K620">
        <v>4</v>
      </c>
      <c r="L620">
        <v>3</v>
      </c>
      <c r="M620">
        <v>0</v>
      </c>
      <c r="N620">
        <v>1</v>
      </c>
      <c r="O620" s="1" t="s">
        <v>19</v>
      </c>
      <c r="P620" s="1" t="s">
        <v>135</v>
      </c>
      <c r="Q620">
        <v>180</v>
      </c>
      <c r="R620" s="1" t="s">
        <v>63</v>
      </c>
      <c r="S620">
        <v>2</v>
      </c>
      <c r="T620">
        <v>1</v>
      </c>
      <c r="U620">
        <v>1</v>
      </c>
      <c r="V620">
        <v>65</v>
      </c>
      <c r="W620">
        <v>4</v>
      </c>
      <c r="X620">
        <v>1</v>
      </c>
      <c r="Y620" s="1" t="s">
        <v>5</v>
      </c>
      <c r="Z620">
        <v>1</v>
      </c>
      <c r="AA620">
        <v>3424</v>
      </c>
      <c r="AB620">
        <v>21632</v>
      </c>
      <c r="AC620" s="1" t="s">
        <v>19</v>
      </c>
      <c r="AD620">
        <v>13</v>
      </c>
      <c r="AE620">
        <v>3</v>
      </c>
      <c r="AF620">
        <v>3</v>
      </c>
      <c r="AG620">
        <v>80</v>
      </c>
      <c r="AH620">
        <v>0</v>
      </c>
      <c r="AI620">
        <v>2</v>
      </c>
      <c r="AJ620">
        <v>0</v>
      </c>
      <c r="AK620" s="1" t="s">
        <v>136</v>
      </c>
    </row>
    <row r="621" spans="1:37" x14ac:dyDescent="0.25">
      <c r="A621">
        <v>855</v>
      </c>
      <c r="B621">
        <v>33</v>
      </c>
      <c r="C621" s="1" t="s">
        <v>25</v>
      </c>
      <c r="D621" s="1" t="s">
        <v>69</v>
      </c>
      <c r="E621">
        <v>3</v>
      </c>
      <c r="F621" s="1" t="s">
        <v>139</v>
      </c>
      <c r="G621">
        <v>1</v>
      </c>
      <c r="H621" s="1" t="s">
        <v>18</v>
      </c>
      <c r="I621">
        <v>9</v>
      </c>
      <c r="J621">
        <v>5</v>
      </c>
      <c r="K621">
        <v>9</v>
      </c>
      <c r="L621">
        <v>8</v>
      </c>
      <c r="M621">
        <v>0</v>
      </c>
      <c r="N621">
        <v>8</v>
      </c>
      <c r="O621" s="1" t="s">
        <v>19</v>
      </c>
      <c r="P621" s="1" t="s">
        <v>135</v>
      </c>
      <c r="Q621">
        <v>586</v>
      </c>
      <c r="R621" s="1" t="s">
        <v>64</v>
      </c>
      <c r="S621">
        <v>1</v>
      </c>
      <c r="T621">
        <v>1</v>
      </c>
      <c r="U621">
        <v>1</v>
      </c>
      <c r="V621">
        <v>48</v>
      </c>
      <c r="W621">
        <v>4</v>
      </c>
      <c r="X621">
        <v>2</v>
      </c>
      <c r="Y621" s="1" t="s">
        <v>4</v>
      </c>
      <c r="Z621">
        <v>1</v>
      </c>
      <c r="AA621">
        <v>4037</v>
      </c>
      <c r="AB621">
        <v>21816</v>
      </c>
      <c r="AC621" s="1" t="s">
        <v>19</v>
      </c>
      <c r="AD621">
        <v>22</v>
      </c>
      <c r="AE621">
        <v>4</v>
      </c>
      <c r="AF621">
        <v>1</v>
      </c>
      <c r="AG621">
        <v>80</v>
      </c>
      <c r="AH621">
        <v>1</v>
      </c>
      <c r="AI621">
        <v>3</v>
      </c>
      <c r="AJ621">
        <v>0</v>
      </c>
      <c r="AK621" s="1" t="s">
        <v>136</v>
      </c>
    </row>
    <row r="622" spans="1:37" x14ac:dyDescent="0.25">
      <c r="A622">
        <v>856</v>
      </c>
      <c r="B622">
        <v>35</v>
      </c>
      <c r="C622" s="1" t="s">
        <v>24</v>
      </c>
      <c r="D622" s="1" t="s">
        <v>71</v>
      </c>
      <c r="E622">
        <v>1</v>
      </c>
      <c r="F622" s="1" t="s">
        <v>139</v>
      </c>
      <c r="G622">
        <v>1</v>
      </c>
      <c r="H622" s="1" t="s">
        <v>18</v>
      </c>
      <c r="I622">
        <v>6</v>
      </c>
      <c r="J622">
        <v>3</v>
      </c>
      <c r="K622">
        <v>6</v>
      </c>
      <c r="L622">
        <v>5</v>
      </c>
      <c r="M622">
        <v>1</v>
      </c>
      <c r="N622">
        <v>1</v>
      </c>
      <c r="O622" s="1" t="s">
        <v>19</v>
      </c>
      <c r="P622" s="1" t="s">
        <v>135</v>
      </c>
      <c r="Q622">
        <v>1343</v>
      </c>
      <c r="R622" s="1" t="s">
        <v>63</v>
      </c>
      <c r="S622">
        <v>27</v>
      </c>
      <c r="T622">
        <v>1</v>
      </c>
      <c r="U622">
        <v>3</v>
      </c>
      <c r="V622">
        <v>53</v>
      </c>
      <c r="W622">
        <v>2</v>
      </c>
      <c r="X622">
        <v>1</v>
      </c>
      <c r="Y622" s="1" t="s">
        <v>5</v>
      </c>
      <c r="Z622">
        <v>1</v>
      </c>
      <c r="AA622">
        <v>2559</v>
      </c>
      <c r="AB622">
        <v>17852</v>
      </c>
      <c r="AC622" s="1" t="s">
        <v>19</v>
      </c>
      <c r="AD622">
        <v>11</v>
      </c>
      <c r="AE622">
        <v>3</v>
      </c>
      <c r="AF622">
        <v>4</v>
      </c>
      <c r="AG622">
        <v>80</v>
      </c>
      <c r="AH622">
        <v>0</v>
      </c>
      <c r="AI622">
        <v>2</v>
      </c>
      <c r="AJ622">
        <v>0</v>
      </c>
      <c r="AK622" s="1" t="s">
        <v>136</v>
      </c>
    </row>
    <row r="623" spans="1:37" x14ac:dyDescent="0.25">
      <c r="A623">
        <v>857</v>
      </c>
      <c r="B623">
        <v>36</v>
      </c>
      <c r="C623" s="1" t="s">
        <v>25</v>
      </c>
      <c r="D623" s="1" t="s">
        <v>70</v>
      </c>
      <c r="E623">
        <v>2</v>
      </c>
      <c r="F623" s="1" t="s">
        <v>134</v>
      </c>
      <c r="G623">
        <v>1</v>
      </c>
      <c r="H623" s="1" t="s">
        <v>18</v>
      </c>
      <c r="I623">
        <v>18</v>
      </c>
      <c r="J623">
        <v>1</v>
      </c>
      <c r="K623">
        <v>18</v>
      </c>
      <c r="L623">
        <v>14</v>
      </c>
      <c r="M623">
        <v>4</v>
      </c>
      <c r="N623">
        <v>11</v>
      </c>
      <c r="O623" s="1" t="s">
        <v>19</v>
      </c>
      <c r="P623" s="1" t="s">
        <v>135</v>
      </c>
      <c r="Q623">
        <v>928</v>
      </c>
      <c r="R623" s="1" t="s">
        <v>64</v>
      </c>
      <c r="S623">
        <v>1</v>
      </c>
      <c r="T623">
        <v>1</v>
      </c>
      <c r="U623">
        <v>2</v>
      </c>
      <c r="V623">
        <v>56</v>
      </c>
      <c r="W623">
        <v>3</v>
      </c>
      <c r="X623">
        <v>2</v>
      </c>
      <c r="Y623" s="1" t="s">
        <v>4</v>
      </c>
      <c r="Z623">
        <v>4</v>
      </c>
      <c r="AA623">
        <v>6201</v>
      </c>
      <c r="AB623">
        <v>2823</v>
      </c>
      <c r="AC623" s="1" t="s">
        <v>18</v>
      </c>
      <c r="AD623">
        <v>14</v>
      </c>
      <c r="AE623">
        <v>3</v>
      </c>
      <c r="AF623">
        <v>4</v>
      </c>
      <c r="AG623">
        <v>80</v>
      </c>
      <c r="AH623">
        <v>1</v>
      </c>
      <c r="AI623">
        <v>2</v>
      </c>
      <c r="AJ623">
        <v>0</v>
      </c>
      <c r="AK623" s="1" t="s">
        <v>136</v>
      </c>
    </row>
    <row r="624" spans="1:37" x14ac:dyDescent="0.25">
      <c r="A624">
        <v>859</v>
      </c>
      <c r="B624">
        <v>32</v>
      </c>
      <c r="C624" s="1" t="s">
        <v>25</v>
      </c>
      <c r="D624" s="1" t="s">
        <v>69</v>
      </c>
      <c r="E624">
        <v>4</v>
      </c>
      <c r="F624" s="1" t="s">
        <v>134</v>
      </c>
      <c r="G624">
        <v>2</v>
      </c>
      <c r="H624" s="1" t="s">
        <v>18</v>
      </c>
      <c r="I624">
        <v>8</v>
      </c>
      <c r="J624">
        <v>3</v>
      </c>
      <c r="K624">
        <v>5</v>
      </c>
      <c r="L624">
        <v>2</v>
      </c>
      <c r="M624">
        <v>0</v>
      </c>
      <c r="N624">
        <v>3</v>
      </c>
      <c r="O624" s="1" t="s">
        <v>19</v>
      </c>
      <c r="P624" s="1" t="s">
        <v>135</v>
      </c>
      <c r="Q624">
        <v>117</v>
      </c>
      <c r="R624" s="1" t="s">
        <v>64</v>
      </c>
      <c r="S624">
        <v>13</v>
      </c>
      <c r="T624">
        <v>1</v>
      </c>
      <c r="U624">
        <v>2</v>
      </c>
      <c r="V624">
        <v>73</v>
      </c>
      <c r="W624">
        <v>3</v>
      </c>
      <c r="X624">
        <v>2</v>
      </c>
      <c r="Y624" s="1" t="s">
        <v>4</v>
      </c>
      <c r="Z624">
        <v>4</v>
      </c>
      <c r="AA624">
        <v>4403</v>
      </c>
      <c r="AB624">
        <v>9250</v>
      </c>
      <c r="AC624" s="1" t="s">
        <v>19</v>
      </c>
      <c r="AD624">
        <v>11</v>
      </c>
      <c r="AE624">
        <v>3</v>
      </c>
      <c r="AF624">
        <v>3</v>
      </c>
      <c r="AG624">
        <v>80</v>
      </c>
      <c r="AH624">
        <v>1</v>
      </c>
      <c r="AI624">
        <v>2</v>
      </c>
      <c r="AJ624">
        <v>0</v>
      </c>
      <c r="AK624" s="1" t="s">
        <v>136</v>
      </c>
    </row>
    <row r="625" spans="1:37" x14ac:dyDescent="0.25">
      <c r="A625">
        <v>861</v>
      </c>
      <c r="B625">
        <v>30</v>
      </c>
      <c r="C625" s="1" t="s">
        <v>25</v>
      </c>
      <c r="D625" s="1" t="s">
        <v>69</v>
      </c>
      <c r="E625">
        <v>4</v>
      </c>
      <c r="F625" s="1" t="s">
        <v>134</v>
      </c>
      <c r="G625">
        <v>9</v>
      </c>
      <c r="H625" s="1" t="s">
        <v>18</v>
      </c>
      <c r="I625">
        <v>10</v>
      </c>
      <c r="J625">
        <v>3</v>
      </c>
      <c r="K625">
        <v>5</v>
      </c>
      <c r="L625">
        <v>4</v>
      </c>
      <c r="M625">
        <v>0</v>
      </c>
      <c r="N625">
        <v>3</v>
      </c>
      <c r="O625" s="1" t="s">
        <v>19</v>
      </c>
      <c r="P625" s="1" t="s">
        <v>137</v>
      </c>
      <c r="Q625">
        <v>1012</v>
      </c>
      <c r="R625" s="1" t="s">
        <v>63</v>
      </c>
      <c r="S625">
        <v>5</v>
      </c>
      <c r="T625">
        <v>1</v>
      </c>
      <c r="U625">
        <v>2</v>
      </c>
      <c r="V625">
        <v>75</v>
      </c>
      <c r="W625">
        <v>2</v>
      </c>
      <c r="X625">
        <v>1</v>
      </c>
      <c r="Y625" s="1" t="s">
        <v>5</v>
      </c>
      <c r="Z625">
        <v>4</v>
      </c>
      <c r="AA625">
        <v>3761</v>
      </c>
      <c r="AB625">
        <v>2373</v>
      </c>
      <c r="AC625" s="1" t="s">
        <v>19</v>
      </c>
      <c r="AD625">
        <v>12</v>
      </c>
      <c r="AE625">
        <v>3</v>
      </c>
      <c r="AF625">
        <v>2</v>
      </c>
      <c r="AG625">
        <v>80</v>
      </c>
      <c r="AH625">
        <v>1</v>
      </c>
      <c r="AI625">
        <v>2</v>
      </c>
      <c r="AJ625">
        <v>0</v>
      </c>
      <c r="AK625" s="1" t="s">
        <v>136</v>
      </c>
    </row>
    <row r="626" spans="1:37" x14ac:dyDescent="0.25">
      <c r="A626">
        <v>862</v>
      </c>
      <c r="B626">
        <v>53</v>
      </c>
      <c r="C626" s="1" t="s">
        <v>24</v>
      </c>
      <c r="D626" s="1" t="s">
        <v>70</v>
      </c>
      <c r="E626">
        <v>2</v>
      </c>
      <c r="F626" s="1" t="s">
        <v>142</v>
      </c>
      <c r="G626">
        <v>7</v>
      </c>
      <c r="H626" s="1" t="s">
        <v>18</v>
      </c>
      <c r="I626">
        <v>35</v>
      </c>
      <c r="J626">
        <v>3</v>
      </c>
      <c r="K626">
        <v>5</v>
      </c>
      <c r="L626">
        <v>2</v>
      </c>
      <c r="M626">
        <v>0</v>
      </c>
      <c r="N626">
        <v>4</v>
      </c>
      <c r="O626" s="1" t="s">
        <v>19</v>
      </c>
      <c r="P626" s="1" t="s">
        <v>135</v>
      </c>
      <c r="Q626">
        <v>661</v>
      </c>
      <c r="R626" s="1" t="s">
        <v>64</v>
      </c>
      <c r="S626">
        <v>7</v>
      </c>
      <c r="T626">
        <v>1</v>
      </c>
      <c r="U626">
        <v>1</v>
      </c>
      <c r="V626">
        <v>78</v>
      </c>
      <c r="W626">
        <v>2</v>
      </c>
      <c r="X626">
        <v>3</v>
      </c>
      <c r="Y626" s="1" t="s">
        <v>4</v>
      </c>
      <c r="Z626">
        <v>4</v>
      </c>
      <c r="AA626">
        <v>10934</v>
      </c>
      <c r="AB626">
        <v>20715</v>
      </c>
      <c r="AC626" s="1" t="s">
        <v>18</v>
      </c>
      <c r="AD626">
        <v>18</v>
      </c>
      <c r="AE626">
        <v>3</v>
      </c>
      <c r="AF626">
        <v>4</v>
      </c>
      <c r="AG626">
        <v>80</v>
      </c>
      <c r="AH626">
        <v>1</v>
      </c>
      <c r="AI626">
        <v>3</v>
      </c>
      <c r="AJ626">
        <v>0</v>
      </c>
      <c r="AK626" s="1" t="s">
        <v>140</v>
      </c>
    </row>
    <row r="627" spans="1:37" x14ac:dyDescent="0.25">
      <c r="A627">
        <v>864</v>
      </c>
      <c r="B627">
        <v>45</v>
      </c>
      <c r="C627" s="1" t="s">
        <v>25</v>
      </c>
      <c r="D627" s="1" t="s">
        <v>69</v>
      </c>
      <c r="E627">
        <v>3</v>
      </c>
      <c r="F627" s="1" t="s">
        <v>142</v>
      </c>
      <c r="G627">
        <v>4</v>
      </c>
      <c r="H627" s="1" t="s">
        <v>18</v>
      </c>
      <c r="I627">
        <v>18</v>
      </c>
      <c r="J627">
        <v>2</v>
      </c>
      <c r="K627">
        <v>5</v>
      </c>
      <c r="L627">
        <v>4</v>
      </c>
      <c r="M627">
        <v>0</v>
      </c>
      <c r="N627">
        <v>2</v>
      </c>
      <c r="O627" s="1" t="s">
        <v>19</v>
      </c>
      <c r="P627" s="1" t="s">
        <v>135</v>
      </c>
      <c r="Q627">
        <v>930</v>
      </c>
      <c r="R627" s="1" t="s">
        <v>64</v>
      </c>
      <c r="S627">
        <v>9</v>
      </c>
      <c r="T627">
        <v>1</v>
      </c>
      <c r="U627">
        <v>4</v>
      </c>
      <c r="V627">
        <v>74</v>
      </c>
      <c r="W627">
        <v>3</v>
      </c>
      <c r="X627">
        <v>3</v>
      </c>
      <c r="Y627" s="1" t="s">
        <v>4</v>
      </c>
      <c r="Z627">
        <v>1</v>
      </c>
      <c r="AA627">
        <v>10761</v>
      </c>
      <c r="AB627">
        <v>19239</v>
      </c>
      <c r="AC627" s="1" t="s">
        <v>18</v>
      </c>
      <c r="AD627">
        <v>12</v>
      </c>
      <c r="AE627">
        <v>3</v>
      </c>
      <c r="AF627">
        <v>3</v>
      </c>
      <c r="AG627">
        <v>80</v>
      </c>
      <c r="AH627">
        <v>1</v>
      </c>
      <c r="AI627">
        <v>3</v>
      </c>
      <c r="AJ627">
        <v>0</v>
      </c>
      <c r="AK627" s="1" t="s">
        <v>136</v>
      </c>
    </row>
    <row r="628" spans="1:37" x14ac:dyDescent="0.25">
      <c r="A628">
        <v>865</v>
      </c>
      <c r="B628">
        <v>32</v>
      </c>
      <c r="C628" s="1" t="s">
        <v>24</v>
      </c>
      <c r="D628" s="1" t="s">
        <v>70</v>
      </c>
      <c r="E628">
        <v>2</v>
      </c>
      <c r="F628" s="1" t="s">
        <v>139</v>
      </c>
      <c r="G628">
        <v>5</v>
      </c>
      <c r="H628" s="1" t="s">
        <v>18</v>
      </c>
      <c r="I628">
        <v>9</v>
      </c>
      <c r="J628">
        <v>3</v>
      </c>
      <c r="K628">
        <v>5</v>
      </c>
      <c r="L628">
        <v>3</v>
      </c>
      <c r="M628">
        <v>1</v>
      </c>
      <c r="N628">
        <v>3</v>
      </c>
      <c r="O628" s="1" t="s">
        <v>19</v>
      </c>
      <c r="P628" s="1" t="s">
        <v>135</v>
      </c>
      <c r="Q628">
        <v>638</v>
      </c>
      <c r="R628" s="1" t="s">
        <v>63</v>
      </c>
      <c r="S628">
        <v>8</v>
      </c>
      <c r="T628">
        <v>1</v>
      </c>
      <c r="U628">
        <v>3</v>
      </c>
      <c r="V628">
        <v>91</v>
      </c>
      <c r="W628">
        <v>4</v>
      </c>
      <c r="X628">
        <v>2</v>
      </c>
      <c r="Y628" s="1" t="s">
        <v>5</v>
      </c>
      <c r="Z628">
        <v>3</v>
      </c>
      <c r="AA628">
        <v>5175</v>
      </c>
      <c r="AB628">
        <v>22162</v>
      </c>
      <c r="AC628" s="1" t="s">
        <v>19</v>
      </c>
      <c r="AD628">
        <v>12</v>
      </c>
      <c r="AE628">
        <v>3</v>
      </c>
      <c r="AF628">
        <v>3</v>
      </c>
      <c r="AG628">
        <v>80</v>
      </c>
      <c r="AH628">
        <v>1</v>
      </c>
      <c r="AI628">
        <v>2</v>
      </c>
      <c r="AJ628">
        <v>0</v>
      </c>
      <c r="AK628" s="1" t="s">
        <v>136</v>
      </c>
    </row>
    <row r="629" spans="1:37" x14ac:dyDescent="0.25">
      <c r="A629">
        <v>867</v>
      </c>
      <c r="B629">
        <v>52</v>
      </c>
      <c r="C629" s="1" t="s">
        <v>24</v>
      </c>
      <c r="D629" s="1" t="s">
        <v>70</v>
      </c>
      <c r="E629">
        <v>4</v>
      </c>
      <c r="F629" s="1" t="s">
        <v>139</v>
      </c>
      <c r="G629">
        <v>3</v>
      </c>
      <c r="H629" s="1" t="s">
        <v>18</v>
      </c>
      <c r="I629">
        <v>31</v>
      </c>
      <c r="J629">
        <v>3</v>
      </c>
      <c r="K629">
        <v>9</v>
      </c>
      <c r="L629">
        <v>8</v>
      </c>
      <c r="M629">
        <v>0</v>
      </c>
      <c r="N629">
        <v>0</v>
      </c>
      <c r="O629" s="1" t="s">
        <v>19</v>
      </c>
      <c r="P629" s="1" t="s">
        <v>137</v>
      </c>
      <c r="Q629">
        <v>890</v>
      </c>
      <c r="R629" s="1" t="s">
        <v>63</v>
      </c>
      <c r="S629">
        <v>25</v>
      </c>
      <c r="T629">
        <v>1</v>
      </c>
      <c r="U629">
        <v>3</v>
      </c>
      <c r="V629">
        <v>81</v>
      </c>
      <c r="W629">
        <v>2</v>
      </c>
      <c r="X629">
        <v>4</v>
      </c>
      <c r="Y629" s="1" t="s">
        <v>7</v>
      </c>
      <c r="Z629">
        <v>4</v>
      </c>
      <c r="AA629">
        <v>13826</v>
      </c>
      <c r="AB629">
        <v>19028</v>
      </c>
      <c r="AC629" s="1" t="s">
        <v>19</v>
      </c>
      <c r="AD629">
        <v>22</v>
      </c>
      <c r="AE629">
        <v>4</v>
      </c>
      <c r="AF629">
        <v>3</v>
      </c>
      <c r="AG629">
        <v>80</v>
      </c>
      <c r="AH629">
        <v>0</v>
      </c>
      <c r="AI629">
        <v>3</v>
      </c>
      <c r="AJ629">
        <v>0</v>
      </c>
      <c r="AK629" s="1" t="s">
        <v>140</v>
      </c>
    </row>
    <row r="630" spans="1:37" x14ac:dyDescent="0.25">
      <c r="A630">
        <v>868</v>
      </c>
      <c r="B630">
        <v>37</v>
      </c>
      <c r="C630" s="1" t="s">
        <v>25</v>
      </c>
      <c r="D630" s="1" t="s">
        <v>69</v>
      </c>
      <c r="E630">
        <v>4</v>
      </c>
      <c r="F630" s="1" t="s">
        <v>142</v>
      </c>
      <c r="G630">
        <v>4</v>
      </c>
      <c r="H630" s="1" t="s">
        <v>18</v>
      </c>
      <c r="I630">
        <v>9</v>
      </c>
      <c r="J630">
        <v>2</v>
      </c>
      <c r="K630">
        <v>1</v>
      </c>
      <c r="L630">
        <v>0</v>
      </c>
      <c r="M630">
        <v>0</v>
      </c>
      <c r="N630">
        <v>0</v>
      </c>
      <c r="O630" s="1" t="s">
        <v>19</v>
      </c>
      <c r="P630" s="1" t="s">
        <v>135</v>
      </c>
      <c r="Q630">
        <v>342</v>
      </c>
      <c r="R630" s="1" t="s">
        <v>64</v>
      </c>
      <c r="S630">
        <v>16</v>
      </c>
      <c r="T630">
        <v>1</v>
      </c>
      <c r="U630">
        <v>4</v>
      </c>
      <c r="V630">
        <v>66</v>
      </c>
      <c r="W630">
        <v>2</v>
      </c>
      <c r="X630">
        <v>2</v>
      </c>
      <c r="Y630" s="1" t="s">
        <v>4</v>
      </c>
      <c r="Z630">
        <v>3</v>
      </c>
      <c r="AA630">
        <v>6334</v>
      </c>
      <c r="AB630">
        <v>24558</v>
      </c>
      <c r="AC630" s="1" t="s">
        <v>19</v>
      </c>
      <c r="AD630">
        <v>19</v>
      </c>
      <c r="AE630">
        <v>3</v>
      </c>
      <c r="AF630">
        <v>4</v>
      </c>
      <c r="AG630">
        <v>80</v>
      </c>
      <c r="AH630">
        <v>2</v>
      </c>
      <c r="AI630">
        <v>3</v>
      </c>
      <c r="AJ630">
        <v>0</v>
      </c>
      <c r="AK630" s="1" t="s">
        <v>136</v>
      </c>
    </row>
    <row r="631" spans="1:37" x14ac:dyDescent="0.25">
      <c r="A631">
        <v>869</v>
      </c>
      <c r="B631">
        <v>28</v>
      </c>
      <c r="C631" s="1" t="s">
        <v>25</v>
      </c>
      <c r="D631" s="1" t="s">
        <v>69</v>
      </c>
      <c r="E631">
        <v>2</v>
      </c>
      <c r="F631" s="1" t="s">
        <v>139</v>
      </c>
      <c r="G631">
        <v>1</v>
      </c>
      <c r="H631" s="1" t="s">
        <v>18</v>
      </c>
      <c r="I631">
        <v>6</v>
      </c>
      <c r="J631">
        <v>6</v>
      </c>
      <c r="K631">
        <v>5</v>
      </c>
      <c r="L631">
        <v>1</v>
      </c>
      <c r="M631">
        <v>0</v>
      </c>
      <c r="N631">
        <v>4</v>
      </c>
      <c r="O631" s="1" t="s">
        <v>19</v>
      </c>
      <c r="P631" s="1" t="s">
        <v>135</v>
      </c>
      <c r="Q631">
        <v>1169</v>
      </c>
      <c r="R631" s="1" t="s">
        <v>12</v>
      </c>
      <c r="S631">
        <v>8</v>
      </c>
      <c r="T631">
        <v>1</v>
      </c>
      <c r="U631">
        <v>2</v>
      </c>
      <c r="V631">
        <v>63</v>
      </c>
      <c r="W631">
        <v>2</v>
      </c>
      <c r="X631">
        <v>1</v>
      </c>
      <c r="Y631" s="1" t="s">
        <v>12</v>
      </c>
      <c r="Z631">
        <v>4</v>
      </c>
      <c r="AA631">
        <v>4936</v>
      </c>
      <c r="AB631">
        <v>23965</v>
      </c>
      <c r="AC631" s="1" t="s">
        <v>19</v>
      </c>
      <c r="AD631">
        <v>13</v>
      </c>
      <c r="AE631">
        <v>3</v>
      </c>
      <c r="AF631">
        <v>4</v>
      </c>
      <c r="AG631">
        <v>80</v>
      </c>
      <c r="AH631">
        <v>1</v>
      </c>
      <c r="AI631">
        <v>3</v>
      </c>
      <c r="AJ631">
        <v>0</v>
      </c>
      <c r="AK631" s="1" t="s">
        <v>136</v>
      </c>
    </row>
    <row r="632" spans="1:37" x14ac:dyDescent="0.25">
      <c r="A632">
        <v>872</v>
      </c>
      <c r="B632">
        <v>22</v>
      </c>
      <c r="C632" s="1" t="s">
        <v>25</v>
      </c>
      <c r="D632" s="1" t="s">
        <v>70</v>
      </c>
      <c r="E632">
        <v>2</v>
      </c>
      <c r="F632" s="1" t="s">
        <v>134</v>
      </c>
      <c r="G632">
        <v>6</v>
      </c>
      <c r="H632" s="1" t="s">
        <v>18</v>
      </c>
      <c r="I632">
        <v>4</v>
      </c>
      <c r="J632">
        <v>2</v>
      </c>
      <c r="K632">
        <v>2</v>
      </c>
      <c r="L632">
        <v>2</v>
      </c>
      <c r="M632">
        <v>2</v>
      </c>
      <c r="N632">
        <v>2</v>
      </c>
      <c r="O632" s="1" t="s">
        <v>19</v>
      </c>
      <c r="P632" s="1" t="s">
        <v>135</v>
      </c>
      <c r="Q632">
        <v>1230</v>
      </c>
      <c r="R632" s="1" t="s">
        <v>63</v>
      </c>
      <c r="S632">
        <v>1</v>
      </c>
      <c r="T632">
        <v>1</v>
      </c>
      <c r="U632">
        <v>4</v>
      </c>
      <c r="V632">
        <v>33</v>
      </c>
      <c r="W632">
        <v>2</v>
      </c>
      <c r="X632">
        <v>2</v>
      </c>
      <c r="Y632" s="1" t="s">
        <v>7</v>
      </c>
      <c r="Z632">
        <v>4</v>
      </c>
      <c r="AA632">
        <v>4775</v>
      </c>
      <c r="AB632">
        <v>19146</v>
      </c>
      <c r="AC632" s="1" t="s">
        <v>19</v>
      </c>
      <c r="AD632">
        <v>22</v>
      </c>
      <c r="AE632">
        <v>4</v>
      </c>
      <c r="AF632">
        <v>1</v>
      </c>
      <c r="AG632">
        <v>80</v>
      </c>
      <c r="AH632">
        <v>2</v>
      </c>
      <c r="AI632">
        <v>1</v>
      </c>
      <c r="AJ632">
        <v>0</v>
      </c>
      <c r="AK632" s="1" t="s">
        <v>136</v>
      </c>
    </row>
    <row r="633" spans="1:37" x14ac:dyDescent="0.25">
      <c r="A633">
        <v>874</v>
      </c>
      <c r="B633">
        <v>44</v>
      </c>
      <c r="C633" s="1" t="s">
        <v>25</v>
      </c>
      <c r="D633" s="1" t="s">
        <v>70</v>
      </c>
      <c r="E633">
        <v>4</v>
      </c>
      <c r="F633" s="1" t="s">
        <v>134</v>
      </c>
      <c r="G633">
        <v>2</v>
      </c>
      <c r="H633" s="1" t="s">
        <v>18</v>
      </c>
      <c r="I633">
        <v>10</v>
      </c>
      <c r="J633">
        <v>2</v>
      </c>
      <c r="K633">
        <v>3</v>
      </c>
      <c r="L633">
        <v>2</v>
      </c>
      <c r="M633">
        <v>0</v>
      </c>
      <c r="N633">
        <v>2</v>
      </c>
      <c r="O633" s="1" t="s">
        <v>19</v>
      </c>
      <c r="P633" s="1" t="s">
        <v>135</v>
      </c>
      <c r="Q633">
        <v>986</v>
      </c>
      <c r="R633" s="1" t="s">
        <v>63</v>
      </c>
      <c r="S633">
        <v>8</v>
      </c>
      <c r="T633">
        <v>1</v>
      </c>
      <c r="U633">
        <v>1</v>
      </c>
      <c r="V633">
        <v>62</v>
      </c>
      <c r="W633">
        <v>4</v>
      </c>
      <c r="X633">
        <v>1</v>
      </c>
      <c r="Y633" s="1" t="s">
        <v>6</v>
      </c>
      <c r="Z633">
        <v>4</v>
      </c>
      <c r="AA633">
        <v>2818</v>
      </c>
      <c r="AB633">
        <v>5044</v>
      </c>
      <c r="AC633" s="1" t="s">
        <v>18</v>
      </c>
      <c r="AD633">
        <v>24</v>
      </c>
      <c r="AE633">
        <v>4</v>
      </c>
      <c r="AF633">
        <v>3</v>
      </c>
      <c r="AG633">
        <v>80</v>
      </c>
      <c r="AH633">
        <v>1</v>
      </c>
      <c r="AI633">
        <v>2</v>
      </c>
      <c r="AJ633">
        <v>0</v>
      </c>
      <c r="AK633" s="1" t="s">
        <v>136</v>
      </c>
    </row>
    <row r="634" spans="1:37" x14ac:dyDescent="0.25">
      <c r="A634">
        <v>875</v>
      </c>
      <c r="B634">
        <v>42</v>
      </c>
      <c r="C634" s="1" t="s">
        <v>25</v>
      </c>
      <c r="D634" s="1" t="s">
        <v>71</v>
      </c>
      <c r="E634">
        <v>1</v>
      </c>
      <c r="F634" s="1" t="s">
        <v>139</v>
      </c>
      <c r="G634">
        <v>5</v>
      </c>
      <c r="H634" s="1" t="s">
        <v>18</v>
      </c>
      <c r="I634">
        <v>8</v>
      </c>
      <c r="J634">
        <v>2</v>
      </c>
      <c r="K634">
        <v>2</v>
      </c>
      <c r="L634">
        <v>1</v>
      </c>
      <c r="M634">
        <v>2</v>
      </c>
      <c r="N634">
        <v>2</v>
      </c>
      <c r="O634" s="1" t="s">
        <v>19</v>
      </c>
      <c r="P634" s="1" t="s">
        <v>137</v>
      </c>
      <c r="Q634">
        <v>1271</v>
      </c>
      <c r="R634" s="1" t="s">
        <v>63</v>
      </c>
      <c r="S634">
        <v>2</v>
      </c>
      <c r="T634">
        <v>1</v>
      </c>
      <c r="U634">
        <v>2</v>
      </c>
      <c r="V634">
        <v>35</v>
      </c>
      <c r="W634">
        <v>3</v>
      </c>
      <c r="X634">
        <v>1</v>
      </c>
      <c r="Y634" s="1" t="s">
        <v>5</v>
      </c>
      <c r="Z634">
        <v>4</v>
      </c>
      <c r="AA634">
        <v>2515</v>
      </c>
      <c r="AB634">
        <v>9068</v>
      </c>
      <c r="AC634" s="1" t="s">
        <v>18</v>
      </c>
      <c r="AD634">
        <v>14</v>
      </c>
      <c r="AE634">
        <v>3</v>
      </c>
      <c r="AF634">
        <v>4</v>
      </c>
      <c r="AG634">
        <v>80</v>
      </c>
      <c r="AH634">
        <v>0</v>
      </c>
      <c r="AI634">
        <v>3</v>
      </c>
      <c r="AJ634">
        <v>0</v>
      </c>
      <c r="AK634" s="1" t="s">
        <v>136</v>
      </c>
    </row>
    <row r="635" spans="1:37" x14ac:dyDescent="0.25">
      <c r="A635">
        <v>878</v>
      </c>
      <c r="B635">
        <v>36</v>
      </c>
      <c r="C635" s="1" t="s">
        <v>25</v>
      </c>
      <c r="D635" s="1" t="s">
        <v>70</v>
      </c>
      <c r="E635">
        <v>3</v>
      </c>
      <c r="F635" s="1" t="s">
        <v>134</v>
      </c>
      <c r="G635">
        <v>0</v>
      </c>
      <c r="H635" s="1" t="s">
        <v>18</v>
      </c>
      <c r="I635">
        <v>6</v>
      </c>
      <c r="J635">
        <v>3</v>
      </c>
      <c r="K635">
        <v>5</v>
      </c>
      <c r="L635">
        <v>4</v>
      </c>
      <c r="M635">
        <v>0</v>
      </c>
      <c r="N635">
        <v>3</v>
      </c>
      <c r="O635" s="1" t="s">
        <v>19</v>
      </c>
      <c r="P635" s="1" t="s">
        <v>135</v>
      </c>
      <c r="Q635">
        <v>1278</v>
      </c>
      <c r="R635" s="1" t="s">
        <v>12</v>
      </c>
      <c r="S635">
        <v>8</v>
      </c>
      <c r="T635">
        <v>1</v>
      </c>
      <c r="U635">
        <v>1</v>
      </c>
      <c r="V635">
        <v>77</v>
      </c>
      <c r="W635">
        <v>2</v>
      </c>
      <c r="X635">
        <v>1</v>
      </c>
      <c r="Y635" s="1" t="s">
        <v>12</v>
      </c>
      <c r="Z635">
        <v>1</v>
      </c>
      <c r="AA635">
        <v>2342</v>
      </c>
      <c r="AB635">
        <v>8635</v>
      </c>
      <c r="AC635" s="1" t="s">
        <v>19</v>
      </c>
      <c r="AD635">
        <v>21</v>
      </c>
      <c r="AE635">
        <v>4</v>
      </c>
      <c r="AF635">
        <v>3</v>
      </c>
      <c r="AG635">
        <v>80</v>
      </c>
      <c r="AH635">
        <v>0</v>
      </c>
      <c r="AI635">
        <v>3</v>
      </c>
      <c r="AJ635">
        <v>0</v>
      </c>
      <c r="AK635" s="1" t="s">
        <v>136</v>
      </c>
    </row>
    <row r="636" spans="1:37" x14ac:dyDescent="0.25">
      <c r="A636">
        <v>879</v>
      </c>
      <c r="B636">
        <v>25</v>
      </c>
      <c r="C636" s="1" t="s">
        <v>25</v>
      </c>
      <c r="D636" s="1" t="s">
        <v>70</v>
      </c>
      <c r="E636">
        <v>1</v>
      </c>
      <c r="F636" s="1" t="s">
        <v>138</v>
      </c>
      <c r="G636">
        <v>1</v>
      </c>
      <c r="H636" s="1" t="s">
        <v>18</v>
      </c>
      <c r="I636">
        <v>5</v>
      </c>
      <c r="J636">
        <v>3</v>
      </c>
      <c r="K636">
        <v>5</v>
      </c>
      <c r="L636">
        <v>3</v>
      </c>
      <c r="M636">
        <v>0</v>
      </c>
      <c r="N636">
        <v>3</v>
      </c>
      <c r="O636" s="1" t="s">
        <v>19</v>
      </c>
      <c r="P636" s="1" t="s">
        <v>135</v>
      </c>
      <c r="Q636">
        <v>141</v>
      </c>
      <c r="R636" s="1" t="s">
        <v>64</v>
      </c>
      <c r="S636">
        <v>3</v>
      </c>
      <c r="T636">
        <v>1</v>
      </c>
      <c r="U636">
        <v>3</v>
      </c>
      <c r="V636">
        <v>98</v>
      </c>
      <c r="W636">
        <v>3</v>
      </c>
      <c r="X636">
        <v>2</v>
      </c>
      <c r="Y636" s="1" t="s">
        <v>4</v>
      </c>
      <c r="Z636">
        <v>1</v>
      </c>
      <c r="AA636">
        <v>4194</v>
      </c>
      <c r="AB636">
        <v>14363</v>
      </c>
      <c r="AC636" s="1" t="s">
        <v>18</v>
      </c>
      <c r="AD636">
        <v>18</v>
      </c>
      <c r="AE636">
        <v>3</v>
      </c>
      <c r="AF636">
        <v>4</v>
      </c>
      <c r="AG636">
        <v>80</v>
      </c>
      <c r="AH636">
        <v>0</v>
      </c>
      <c r="AI636">
        <v>3</v>
      </c>
      <c r="AJ636">
        <v>0</v>
      </c>
      <c r="AK636" s="1" t="s">
        <v>136</v>
      </c>
    </row>
    <row r="637" spans="1:37" x14ac:dyDescent="0.25">
      <c r="A637">
        <v>880</v>
      </c>
      <c r="B637">
        <v>35</v>
      </c>
      <c r="C637" s="1" t="s">
        <v>24</v>
      </c>
      <c r="D637" s="1" t="s">
        <v>70</v>
      </c>
      <c r="E637">
        <v>3</v>
      </c>
      <c r="F637" s="1" t="s">
        <v>134</v>
      </c>
      <c r="G637">
        <v>1</v>
      </c>
      <c r="H637" s="1" t="s">
        <v>18</v>
      </c>
      <c r="I637">
        <v>17</v>
      </c>
      <c r="J637">
        <v>2</v>
      </c>
      <c r="K637">
        <v>17</v>
      </c>
      <c r="L637">
        <v>14</v>
      </c>
      <c r="M637">
        <v>5</v>
      </c>
      <c r="N637">
        <v>15</v>
      </c>
      <c r="O637" s="1" t="s">
        <v>19</v>
      </c>
      <c r="P637" s="1" t="s">
        <v>135</v>
      </c>
      <c r="Q637">
        <v>607</v>
      </c>
      <c r="R637" s="1" t="s">
        <v>63</v>
      </c>
      <c r="S637">
        <v>9</v>
      </c>
      <c r="T637">
        <v>1</v>
      </c>
      <c r="U637">
        <v>4</v>
      </c>
      <c r="V637">
        <v>66</v>
      </c>
      <c r="W637">
        <v>2</v>
      </c>
      <c r="X637">
        <v>3</v>
      </c>
      <c r="Y637" s="1" t="s">
        <v>7</v>
      </c>
      <c r="Z637">
        <v>3</v>
      </c>
      <c r="AA637">
        <v>10685</v>
      </c>
      <c r="AB637">
        <v>23457</v>
      </c>
      <c r="AC637" s="1" t="s">
        <v>18</v>
      </c>
      <c r="AD637">
        <v>20</v>
      </c>
      <c r="AE637">
        <v>4</v>
      </c>
      <c r="AF637">
        <v>2</v>
      </c>
      <c r="AG637">
        <v>80</v>
      </c>
      <c r="AH637">
        <v>1</v>
      </c>
      <c r="AI637">
        <v>3</v>
      </c>
      <c r="AJ637">
        <v>0</v>
      </c>
      <c r="AK637" s="1" t="s">
        <v>136</v>
      </c>
    </row>
    <row r="638" spans="1:37" x14ac:dyDescent="0.25">
      <c r="A638">
        <v>881</v>
      </c>
      <c r="B638">
        <v>35</v>
      </c>
      <c r="C638" s="1" t="s">
        <v>24</v>
      </c>
      <c r="D638" s="1" t="s">
        <v>69</v>
      </c>
      <c r="E638">
        <v>4</v>
      </c>
      <c r="F638" s="1" t="s">
        <v>134</v>
      </c>
      <c r="G638">
        <v>1</v>
      </c>
      <c r="H638" s="1" t="s">
        <v>18</v>
      </c>
      <c r="I638">
        <v>10</v>
      </c>
      <c r="J638">
        <v>3</v>
      </c>
      <c r="K638">
        <v>10</v>
      </c>
      <c r="L638">
        <v>2</v>
      </c>
      <c r="M638">
        <v>7</v>
      </c>
      <c r="N638">
        <v>8</v>
      </c>
      <c r="O638" s="1" t="s">
        <v>18</v>
      </c>
      <c r="P638" s="1" t="s">
        <v>137</v>
      </c>
      <c r="Q638">
        <v>130</v>
      </c>
      <c r="R638" s="1" t="s">
        <v>63</v>
      </c>
      <c r="S638">
        <v>25</v>
      </c>
      <c r="T638">
        <v>1</v>
      </c>
      <c r="U638">
        <v>4</v>
      </c>
      <c r="V638">
        <v>96</v>
      </c>
      <c r="W638">
        <v>3</v>
      </c>
      <c r="X638">
        <v>1</v>
      </c>
      <c r="Y638" s="1" t="s">
        <v>5</v>
      </c>
      <c r="Z638">
        <v>2</v>
      </c>
      <c r="AA638">
        <v>2022</v>
      </c>
      <c r="AB638">
        <v>16612</v>
      </c>
      <c r="AC638" s="1" t="s">
        <v>18</v>
      </c>
      <c r="AD638">
        <v>19</v>
      </c>
      <c r="AE638">
        <v>3</v>
      </c>
      <c r="AF638">
        <v>1</v>
      </c>
      <c r="AG638">
        <v>80</v>
      </c>
      <c r="AH638">
        <v>1</v>
      </c>
      <c r="AI638">
        <v>2</v>
      </c>
      <c r="AJ638">
        <v>1</v>
      </c>
      <c r="AK638" s="1" t="s">
        <v>136</v>
      </c>
    </row>
    <row r="639" spans="1:37" x14ac:dyDescent="0.25">
      <c r="A639">
        <v>882</v>
      </c>
      <c r="B639">
        <v>32</v>
      </c>
      <c r="C639" s="1" t="s">
        <v>25</v>
      </c>
      <c r="D639" s="1" t="s">
        <v>69</v>
      </c>
      <c r="E639">
        <v>3</v>
      </c>
      <c r="F639" s="1" t="s">
        <v>134</v>
      </c>
      <c r="G639">
        <v>0</v>
      </c>
      <c r="H639" s="1" t="s">
        <v>18</v>
      </c>
      <c r="I639">
        <v>4</v>
      </c>
      <c r="J639">
        <v>2</v>
      </c>
      <c r="K639">
        <v>3</v>
      </c>
      <c r="L639">
        <v>0</v>
      </c>
      <c r="M639">
        <v>0</v>
      </c>
      <c r="N639">
        <v>2</v>
      </c>
      <c r="O639" s="1" t="s">
        <v>19</v>
      </c>
      <c r="P639" s="1" t="s">
        <v>141</v>
      </c>
      <c r="Q639">
        <v>300</v>
      </c>
      <c r="R639" s="1" t="s">
        <v>63</v>
      </c>
      <c r="S639">
        <v>1</v>
      </c>
      <c r="T639">
        <v>1</v>
      </c>
      <c r="U639">
        <v>4</v>
      </c>
      <c r="V639">
        <v>61</v>
      </c>
      <c r="W639">
        <v>3</v>
      </c>
      <c r="X639">
        <v>1</v>
      </c>
      <c r="Y639" s="1" t="s">
        <v>6</v>
      </c>
      <c r="Z639">
        <v>4</v>
      </c>
      <c r="AA639">
        <v>2314</v>
      </c>
      <c r="AB639">
        <v>9148</v>
      </c>
      <c r="AC639" s="1" t="s">
        <v>19</v>
      </c>
      <c r="AD639">
        <v>12</v>
      </c>
      <c r="AE639">
        <v>3</v>
      </c>
      <c r="AF639">
        <v>2</v>
      </c>
      <c r="AG639">
        <v>80</v>
      </c>
      <c r="AH639">
        <v>1</v>
      </c>
      <c r="AI639">
        <v>3</v>
      </c>
      <c r="AJ639">
        <v>0</v>
      </c>
      <c r="AK639" s="1" t="s">
        <v>136</v>
      </c>
    </row>
    <row r="640" spans="1:37" x14ac:dyDescent="0.25">
      <c r="A640">
        <v>885</v>
      </c>
      <c r="B640">
        <v>25</v>
      </c>
      <c r="C640" s="1" t="s">
        <v>25</v>
      </c>
      <c r="D640" s="1" t="s">
        <v>70</v>
      </c>
      <c r="E640">
        <v>1</v>
      </c>
      <c r="F640" s="1" t="s">
        <v>142</v>
      </c>
      <c r="G640">
        <v>1</v>
      </c>
      <c r="H640" s="1" t="s">
        <v>18</v>
      </c>
      <c r="I640">
        <v>5</v>
      </c>
      <c r="J640">
        <v>1</v>
      </c>
      <c r="K640">
        <v>5</v>
      </c>
      <c r="L640">
        <v>2</v>
      </c>
      <c r="M640">
        <v>0</v>
      </c>
      <c r="N640">
        <v>3</v>
      </c>
      <c r="O640" s="1" t="s">
        <v>19</v>
      </c>
      <c r="P640" s="1" t="s">
        <v>135</v>
      </c>
      <c r="Q640">
        <v>583</v>
      </c>
      <c r="R640" s="1" t="s">
        <v>64</v>
      </c>
      <c r="S640">
        <v>4</v>
      </c>
      <c r="T640">
        <v>1</v>
      </c>
      <c r="U640">
        <v>3</v>
      </c>
      <c r="V640">
        <v>87</v>
      </c>
      <c r="W640">
        <v>2</v>
      </c>
      <c r="X640">
        <v>2</v>
      </c>
      <c r="Y640" s="1" t="s">
        <v>4</v>
      </c>
      <c r="Z640">
        <v>1</v>
      </c>
      <c r="AA640">
        <v>4256</v>
      </c>
      <c r="AB640">
        <v>18154</v>
      </c>
      <c r="AC640" s="1" t="s">
        <v>19</v>
      </c>
      <c r="AD640">
        <v>12</v>
      </c>
      <c r="AE640">
        <v>3</v>
      </c>
      <c r="AF640">
        <v>1</v>
      </c>
      <c r="AG640">
        <v>80</v>
      </c>
      <c r="AH640">
        <v>0</v>
      </c>
      <c r="AI640">
        <v>4</v>
      </c>
      <c r="AJ640">
        <v>0</v>
      </c>
      <c r="AK640" s="1" t="s">
        <v>136</v>
      </c>
    </row>
    <row r="641" spans="1:37" x14ac:dyDescent="0.25">
      <c r="A641">
        <v>887</v>
      </c>
      <c r="B641">
        <v>49</v>
      </c>
      <c r="C641" s="1" t="s">
        <v>24</v>
      </c>
      <c r="D641" s="1" t="s">
        <v>70</v>
      </c>
      <c r="E641">
        <v>3</v>
      </c>
      <c r="F641" s="1" t="s">
        <v>143</v>
      </c>
      <c r="G641">
        <v>2</v>
      </c>
      <c r="H641" s="1" t="s">
        <v>18</v>
      </c>
      <c r="I641">
        <v>7</v>
      </c>
      <c r="J641">
        <v>2</v>
      </c>
      <c r="K641">
        <v>4</v>
      </c>
      <c r="L641">
        <v>2</v>
      </c>
      <c r="M641">
        <v>0</v>
      </c>
      <c r="N641">
        <v>2</v>
      </c>
      <c r="O641" s="1" t="s">
        <v>19</v>
      </c>
      <c r="P641" s="1" t="s">
        <v>135</v>
      </c>
      <c r="Q641">
        <v>1418</v>
      </c>
      <c r="R641" s="1" t="s">
        <v>63</v>
      </c>
      <c r="S641">
        <v>1</v>
      </c>
      <c r="T641">
        <v>1</v>
      </c>
      <c r="U641">
        <v>3</v>
      </c>
      <c r="V641">
        <v>36</v>
      </c>
      <c r="W641">
        <v>3</v>
      </c>
      <c r="X641">
        <v>1</v>
      </c>
      <c r="Y641" s="1" t="s">
        <v>5</v>
      </c>
      <c r="Z641">
        <v>1</v>
      </c>
      <c r="AA641">
        <v>3580</v>
      </c>
      <c r="AB641">
        <v>10554</v>
      </c>
      <c r="AC641" s="1" t="s">
        <v>19</v>
      </c>
      <c r="AD641">
        <v>16</v>
      </c>
      <c r="AE641">
        <v>3</v>
      </c>
      <c r="AF641">
        <v>2</v>
      </c>
      <c r="AG641">
        <v>80</v>
      </c>
      <c r="AH641">
        <v>1</v>
      </c>
      <c r="AI641">
        <v>3</v>
      </c>
      <c r="AJ641">
        <v>0</v>
      </c>
      <c r="AK641" s="1" t="s">
        <v>136</v>
      </c>
    </row>
    <row r="642" spans="1:37" x14ac:dyDescent="0.25">
      <c r="A642">
        <v>888</v>
      </c>
      <c r="B642">
        <v>24</v>
      </c>
      <c r="C642" s="1" t="s">
        <v>25</v>
      </c>
      <c r="D642" s="1" t="s">
        <v>70</v>
      </c>
      <c r="E642">
        <v>1</v>
      </c>
      <c r="F642" s="1" t="s">
        <v>134</v>
      </c>
      <c r="G642">
        <v>0</v>
      </c>
      <c r="H642" s="1" t="s">
        <v>18</v>
      </c>
      <c r="I642">
        <v>6</v>
      </c>
      <c r="J642">
        <v>2</v>
      </c>
      <c r="K642">
        <v>5</v>
      </c>
      <c r="L642">
        <v>2</v>
      </c>
      <c r="M642">
        <v>3</v>
      </c>
      <c r="N642">
        <v>4</v>
      </c>
      <c r="O642" s="1" t="s">
        <v>19</v>
      </c>
      <c r="P642" s="1" t="s">
        <v>141</v>
      </c>
      <c r="Q642">
        <v>1269</v>
      </c>
      <c r="R642" s="1" t="s">
        <v>63</v>
      </c>
      <c r="S642">
        <v>4</v>
      </c>
      <c r="T642">
        <v>1</v>
      </c>
      <c r="U642">
        <v>1</v>
      </c>
      <c r="V642">
        <v>46</v>
      </c>
      <c r="W642">
        <v>2</v>
      </c>
      <c r="X642">
        <v>1</v>
      </c>
      <c r="Y642" s="1" t="s">
        <v>6</v>
      </c>
      <c r="Z642">
        <v>4</v>
      </c>
      <c r="AA642">
        <v>3162</v>
      </c>
      <c r="AB642">
        <v>10778</v>
      </c>
      <c r="AC642" s="1" t="s">
        <v>19</v>
      </c>
      <c r="AD642">
        <v>17</v>
      </c>
      <c r="AE642">
        <v>3</v>
      </c>
      <c r="AF642">
        <v>4</v>
      </c>
      <c r="AG642">
        <v>80</v>
      </c>
      <c r="AH642">
        <v>0</v>
      </c>
      <c r="AI642">
        <v>2</v>
      </c>
      <c r="AJ642">
        <v>0</v>
      </c>
      <c r="AK642" s="1" t="s">
        <v>136</v>
      </c>
    </row>
    <row r="643" spans="1:37" x14ac:dyDescent="0.25">
      <c r="A643">
        <v>889</v>
      </c>
      <c r="B643">
        <v>32</v>
      </c>
      <c r="C643" s="1" t="s">
        <v>25</v>
      </c>
      <c r="D643" s="1" t="s">
        <v>70</v>
      </c>
      <c r="E643">
        <v>2</v>
      </c>
      <c r="F643" s="1" t="s">
        <v>134</v>
      </c>
      <c r="G643">
        <v>1</v>
      </c>
      <c r="H643" s="1" t="s">
        <v>18</v>
      </c>
      <c r="I643">
        <v>10</v>
      </c>
      <c r="J643">
        <v>3</v>
      </c>
      <c r="K643">
        <v>10</v>
      </c>
      <c r="L643">
        <v>8</v>
      </c>
      <c r="M643">
        <v>5</v>
      </c>
      <c r="N643">
        <v>3</v>
      </c>
      <c r="O643" s="1" t="s">
        <v>19</v>
      </c>
      <c r="P643" s="1" t="s">
        <v>137</v>
      </c>
      <c r="Q643">
        <v>379</v>
      </c>
      <c r="R643" s="1" t="s">
        <v>64</v>
      </c>
      <c r="S643">
        <v>5</v>
      </c>
      <c r="T643">
        <v>1</v>
      </c>
      <c r="U643">
        <v>2</v>
      </c>
      <c r="V643">
        <v>48</v>
      </c>
      <c r="W643">
        <v>3</v>
      </c>
      <c r="X643">
        <v>2</v>
      </c>
      <c r="Y643" s="1" t="s">
        <v>4</v>
      </c>
      <c r="Z643">
        <v>2</v>
      </c>
      <c r="AA643">
        <v>6524</v>
      </c>
      <c r="AB643">
        <v>8891</v>
      </c>
      <c r="AC643" s="1" t="s">
        <v>19</v>
      </c>
      <c r="AD643">
        <v>14</v>
      </c>
      <c r="AE643">
        <v>3</v>
      </c>
      <c r="AF643">
        <v>4</v>
      </c>
      <c r="AG643">
        <v>80</v>
      </c>
      <c r="AH643">
        <v>1</v>
      </c>
      <c r="AI643">
        <v>3</v>
      </c>
      <c r="AJ643">
        <v>0</v>
      </c>
      <c r="AK643" s="1" t="s">
        <v>136</v>
      </c>
    </row>
    <row r="644" spans="1:37" x14ac:dyDescent="0.25">
      <c r="A644">
        <v>893</v>
      </c>
      <c r="B644">
        <v>38</v>
      </c>
      <c r="C644" s="1" t="s">
        <v>25</v>
      </c>
      <c r="D644" s="1" t="s">
        <v>70</v>
      </c>
      <c r="E644">
        <v>3</v>
      </c>
      <c r="F644" s="1" t="s">
        <v>142</v>
      </c>
      <c r="G644">
        <v>0</v>
      </c>
      <c r="H644" s="1" t="s">
        <v>18</v>
      </c>
      <c r="I644">
        <v>3</v>
      </c>
      <c r="J644">
        <v>3</v>
      </c>
      <c r="K644">
        <v>2</v>
      </c>
      <c r="L644">
        <v>2</v>
      </c>
      <c r="M644">
        <v>1</v>
      </c>
      <c r="N644">
        <v>2</v>
      </c>
      <c r="O644" s="1" t="s">
        <v>19</v>
      </c>
      <c r="P644" s="1" t="s">
        <v>135</v>
      </c>
      <c r="Q644">
        <v>395</v>
      </c>
      <c r="R644" s="1" t="s">
        <v>64</v>
      </c>
      <c r="S644">
        <v>9</v>
      </c>
      <c r="T644">
        <v>1</v>
      </c>
      <c r="U644">
        <v>2</v>
      </c>
      <c r="V644">
        <v>98</v>
      </c>
      <c r="W644">
        <v>2</v>
      </c>
      <c r="X644">
        <v>1</v>
      </c>
      <c r="Y644" s="1" t="s">
        <v>10</v>
      </c>
      <c r="Z644">
        <v>2</v>
      </c>
      <c r="AA644">
        <v>2899</v>
      </c>
      <c r="AB644">
        <v>12102</v>
      </c>
      <c r="AC644" s="1" t="s">
        <v>19</v>
      </c>
      <c r="AD644">
        <v>19</v>
      </c>
      <c r="AE644">
        <v>3</v>
      </c>
      <c r="AF644">
        <v>4</v>
      </c>
      <c r="AG644">
        <v>80</v>
      </c>
      <c r="AH644">
        <v>1</v>
      </c>
      <c r="AI644">
        <v>3</v>
      </c>
      <c r="AJ644">
        <v>0</v>
      </c>
      <c r="AK644" s="1" t="s">
        <v>136</v>
      </c>
    </row>
    <row r="645" spans="1:37" x14ac:dyDescent="0.25">
      <c r="A645">
        <v>894</v>
      </c>
      <c r="B645">
        <v>42</v>
      </c>
      <c r="C645" s="1" t="s">
        <v>24</v>
      </c>
      <c r="D645" s="1" t="s">
        <v>70</v>
      </c>
      <c r="E645">
        <v>3</v>
      </c>
      <c r="F645" s="1" t="s">
        <v>134</v>
      </c>
      <c r="G645">
        <v>2</v>
      </c>
      <c r="H645" s="1" t="s">
        <v>18</v>
      </c>
      <c r="I645">
        <v>17</v>
      </c>
      <c r="J645">
        <v>1</v>
      </c>
      <c r="K645">
        <v>5</v>
      </c>
      <c r="L645">
        <v>3</v>
      </c>
      <c r="M645">
        <v>1</v>
      </c>
      <c r="N645">
        <v>3</v>
      </c>
      <c r="O645" s="1" t="s">
        <v>19</v>
      </c>
      <c r="P645" s="1" t="s">
        <v>135</v>
      </c>
      <c r="Q645">
        <v>1265</v>
      </c>
      <c r="R645" s="1" t="s">
        <v>63</v>
      </c>
      <c r="S645">
        <v>3</v>
      </c>
      <c r="T645">
        <v>1</v>
      </c>
      <c r="U645">
        <v>3</v>
      </c>
      <c r="V645">
        <v>95</v>
      </c>
      <c r="W645">
        <v>4</v>
      </c>
      <c r="X645">
        <v>2</v>
      </c>
      <c r="Y645" s="1" t="s">
        <v>6</v>
      </c>
      <c r="Z645">
        <v>4</v>
      </c>
      <c r="AA645">
        <v>5231</v>
      </c>
      <c r="AB645">
        <v>23726</v>
      </c>
      <c r="AC645" s="1" t="s">
        <v>18</v>
      </c>
      <c r="AD645">
        <v>13</v>
      </c>
      <c r="AE645">
        <v>3</v>
      </c>
      <c r="AF645">
        <v>2</v>
      </c>
      <c r="AG645">
        <v>80</v>
      </c>
      <c r="AH645">
        <v>1</v>
      </c>
      <c r="AI645">
        <v>2</v>
      </c>
      <c r="AJ645">
        <v>0</v>
      </c>
      <c r="AK645" s="1" t="s">
        <v>136</v>
      </c>
    </row>
    <row r="646" spans="1:37" x14ac:dyDescent="0.25">
      <c r="A646">
        <v>895</v>
      </c>
      <c r="B646">
        <v>31</v>
      </c>
      <c r="C646" s="1" t="s">
        <v>25</v>
      </c>
      <c r="D646" s="1" t="s">
        <v>70</v>
      </c>
      <c r="E646">
        <v>4</v>
      </c>
      <c r="F646" s="1" t="s">
        <v>134</v>
      </c>
      <c r="G646">
        <v>3</v>
      </c>
      <c r="H646" s="1" t="s">
        <v>18</v>
      </c>
      <c r="I646">
        <v>8</v>
      </c>
      <c r="J646">
        <v>2</v>
      </c>
      <c r="K646">
        <v>6</v>
      </c>
      <c r="L646">
        <v>4</v>
      </c>
      <c r="M646">
        <v>0</v>
      </c>
      <c r="N646">
        <v>2</v>
      </c>
      <c r="O646" s="1" t="s">
        <v>19</v>
      </c>
      <c r="P646" s="1" t="s">
        <v>135</v>
      </c>
      <c r="Q646">
        <v>1222</v>
      </c>
      <c r="R646" s="1" t="s">
        <v>63</v>
      </c>
      <c r="S646">
        <v>11</v>
      </c>
      <c r="T646">
        <v>1</v>
      </c>
      <c r="U646">
        <v>4</v>
      </c>
      <c r="V646">
        <v>48</v>
      </c>
      <c r="W646">
        <v>3</v>
      </c>
      <c r="X646">
        <v>1</v>
      </c>
      <c r="Y646" s="1" t="s">
        <v>5</v>
      </c>
      <c r="Z646">
        <v>4</v>
      </c>
      <c r="AA646">
        <v>2356</v>
      </c>
      <c r="AB646">
        <v>14871</v>
      </c>
      <c r="AC646" s="1" t="s">
        <v>18</v>
      </c>
      <c r="AD646">
        <v>19</v>
      </c>
      <c r="AE646">
        <v>3</v>
      </c>
      <c r="AF646">
        <v>2</v>
      </c>
      <c r="AG646">
        <v>80</v>
      </c>
      <c r="AH646">
        <v>1</v>
      </c>
      <c r="AI646">
        <v>3</v>
      </c>
      <c r="AJ646">
        <v>0</v>
      </c>
      <c r="AK646" s="1" t="s">
        <v>136</v>
      </c>
    </row>
    <row r="647" spans="1:37" x14ac:dyDescent="0.25">
      <c r="A647">
        <v>896</v>
      </c>
      <c r="B647">
        <v>29</v>
      </c>
      <c r="C647" s="1" t="s">
        <v>24</v>
      </c>
      <c r="D647" s="1" t="s">
        <v>69</v>
      </c>
      <c r="E647">
        <v>3</v>
      </c>
      <c r="F647" s="1" t="s">
        <v>139</v>
      </c>
      <c r="G647">
        <v>6</v>
      </c>
      <c r="H647" s="1" t="s">
        <v>18</v>
      </c>
      <c r="I647">
        <v>5</v>
      </c>
      <c r="J647">
        <v>3</v>
      </c>
      <c r="K647">
        <v>3</v>
      </c>
      <c r="L647">
        <v>2</v>
      </c>
      <c r="M647">
        <v>0</v>
      </c>
      <c r="N647">
        <v>2</v>
      </c>
      <c r="O647" s="1" t="s">
        <v>18</v>
      </c>
      <c r="P647" s="1" t="s">
        <v>135</v>
      </c>
      <c r="Q647">
        <v>341</v>
      </c>
      <c r="R647" s="1" t="s">
        <v>64</v>
      </c>
      <c r="S647">
        <v>1</v>
      </c>
      <c r="T647">
        <v>1</v>
      </c>
      <c r="U647">
        <v>2</v>
      </c>
      <c r="V647">
        <v>48</v>
      </c>
      <c r="W647">
        <v>2</v>
      </c>
      <c r="X647">
        <v>1</v>
      </c>
      <c r="Y647" s="1" t="s">
        <v>10</v>
      </c>
      <c r="Z647">
        <v>3</v>
      </c>
      <c r="AA647">
        <v>2800</v>
      </c>
      <c r="AB647">
        <v>23522</v>
      </c>
      <c r="AC647" s="1" t="s">
        <v>18</v>
      </c>
      <c r="AD647">
        <v>19</v>
      </c>
      <c r="AE647">
        <v>3</v>
      </c>
      <c r="AF647">
        <v>3</v>
      </c>
      <c r="AG647">
        <v>80</v>
      </c>
      <c r="AH647">
        <v>3</v>
      </c>
      <c r="AI647">
        <v>3</v>
      </c>
      <c r="AJ647">
        <v>1</v>
      </c>
      <c r="AK647" s="1" t="s">
        <v>136</v>
      </c>
    </row>
    <row r="648" spans="1:37" x14ac:dyDescent="0.25">
      <c r="A648">
        <v>897</v>
      </c>
      <c r="B648">
        <v>53</v>
      </c>
      <c r="C648" s="1" t="s">
        <v>25</v>
      </c>
      <c r="D648" s="1" t="s">
        <v>70</v>
      </c>
      <c r="E648">
        <v>3</v>
      </c>
      <c r="F648" s="1" t="s">
        <v>142</v>
      </c>
      <c r="G648">
        <v>5</v>
      </c>
      <c r="H648" s="1" t="s">
        <v>18</v>
      </c>
      <c r="I648">
        <v>28</v>
      </c>
      <c r="J648">
        <v>3</v>
      </c>
      <c r="K648">
        <v>2</v>
      </c>
      <c r="L648">
        <v>0</v>
      </c>
      <c r="M648">
        <v>2</v>
      </c>
      <c r="N648">
        <v>2</v>
      </c>
      <c r="O648" s="1" t="s">
        <v>19</v>
      </c>
      <c r="P648" s="1" t="s">
        <v>135</v>
      </c>
      <c r="Q648">
        <v>868</v>
      </c>
      <c r="R648" s="1" t="s">
        <v>64</v>
      </c>
      <c r="S648">
        <v>8</v>
      </c>
      <c r="T648">
        <v>1</v>
      </c>
      <c r="U648">
        <v>1</v>
      </c>
      <c r="V648">
        <v>73</v>
      </c>
      <c r="W648">
        <v>3</v>
      </c>
      <c r="X648">
        <v>4</v>
      </c>
      <c r="Y648" s="1" t="s">
        <v>4</v>
      </c>
      <c r="Z648">
        <v>4</v>
      </c>
      <c r="AA648">
        <v>11836</v>
      </c>
      <c r="AB648">
        <v>22789</v>
      </c>
      <c r="AC648" s="1" t="s">
        <v>19</v>
      </c>
      <c r="AD648">
        <v>14</v>
      </c>
      <c r="AE648">
        <v>3</v>
      </c>
      <c r="AF648">
        <v>3</v>
      </c>
      <c r="AG648">
        <v>80</v>
      </c>
      <c r="AH648">
        <v>1</v>
      </c>
      <c r="AI648">
        <v>3</v>
      </c>
      <c r="AJ648">
        <v>0</v>
      </c>
      <c r="AK648" s="1" t="s">
        <v>140</v>
      </c>
    </row>
    <row r="649" spans="1:37" x14ac:dyDescent="0.25">
      <c r="A649">
        <v>899</v>
      </c>
      <c r="B649">
        <v>35</v>
      </c>
      <c r="C649" s="1" t="s">
        <v>25</v>
      </c>
      <c r="D649" s="1" t="s">
        <v>70</v>
      </c>
      <c r="E649">
        <v>3</v>
      </c>
      <c r="F649" s="1" t="s">
        <v>143</v>
      </c>
      <c r="G649">
        <v>3</v>
      </c>
      <c r="H649" s="1" t="s">
        <v>18</v>
      </c>
      <c r="I649">
        <v>16</v>
      </c>
      <c r="J649">
        <v>2</v>
      </c>
      <c r="K649">
        <v>13</v>
      </c>
      <c r="L649">
        <v>10</v>
      </c>
      <c r="M649">
        <v>4</v>
      </c>
      <c r="N649">
        <v>8</v>
      </c>
      <c r="O649" s="1" t="s">
        <v>19</v>
      </c>
      <c r="P649" s="1" t="s">
        <v>135</v>
      </c>
      <c r="Q649">
        <v>672</v>
      </c>
      <c r="R649" s="1" t="s">
        <v>63</v>
      </c>
      <c r="S649">
        <v>25</v>
      </c>
      <c r="T649">
        <v>1</v>
      </c>
      <c r="U649">
        <v>4</v>
      </c>
      <c r="V649">
        <v>78</v>
      </c>
      <c r="W649">
        <v>2</v>
      </c>
      <c r="X649">
        <v>3</v>
      </c>
      <c r="Y649" s="1" t="s">
        <v>7</v>
      </c>
      <c r="Z649">
        <v>2</v>
      </c>
      <c r="AA649">
        <v>10903</v>
      </c>
      <c r="AB649">
        <v>9129</v>
      </c>
      <c r="AC649" s="1" t="s">
        <v>19</v>
      </c>
      <c r="AD649">
        <v>16</v>
      </c>
      <c r="AE649">
        <v>3</v>
      </c>
      <c r="AF649">
        <v>1</v>
      </c>
      <c r="AG649">
        <v>80</v>
      </c>
      <c r="AH649">
        <v>0</v>
      </c>
      <c r="AI649">
        <v>3</v>
      </c>
      <c r="AJ649">
        <v>0</v>
      </c>
      <c r="AK649" s="1" t="s">
        <v>136</v>
      </c>
    </row>
    <row r="650" spans="1:37" x14ac:dyDescent="0.25">
      <c r="A650">
        <v>900</v>
      </c>
      <c r="B650">
        <v>37</v>
      </c>
      <c r="C650" s="1" t="s">
        <v>24</v>
      </c>
      <c r="D650" s="1" t="s">
        <v>70</v>
      </c>
      <c r="E650">
        <v>2</v>
      </c>
      <c r="F650" s="1" t="s">
        <v>139</v>
      </c>
      <c r="G650">
        <v>5</v>
      </c>
      <c r="H650" s="1" t="s">
        <v>18</v>
      </c>
      <c r="I650">
        <v>10</v>
      </c>
      <c r="J650">
        <v>3</v>
      </c>
      <c r="K650">
        <v>5</v>
      </c>
      <c r="L650">
        <v>4</v>
      </c>
      <c r="M650">
        <v>0</v>
      </c>
      <c r="N650">
        <v>0</v>
      </c>
      <c r="O650" s="1" t="s">
        <v>19</v>
      </c>
      <c r="P650" s="1" t="s">
        <v>137</v>
      </c>
      <c r="Q650">
        <v>1231</v>
      </c>
      <c r="R650" s="1" t="s">
        <v>64</v>
      </c>
      <c r="S650">
        <v>21</v>
      </c>
      <c r="T650">
        <v>1</v>
      </c>
      <c r="U650">
        <v>3</v>
      </c>
      <c r="V650">
        <v>54</v>
      </c>
      <c r="W650">
        <v>3</v>
      </c>
      <c r="X650">
        <v>1</v>
      </c>
      <c r="Y650" s="1" t="s">
        <v>10</v>
      </c>
      <c r="Z650">
        <v>4</v>
      </c>
      <c r="AA650">
        <v>2973</v>
      </c>
      <c r="AB650">
        <v>21222</v>
      </c>
      <c r="AC650" s="1" t="s">
        <v>19</v>
      </c>
      <c r="AD650">
        <v>15</v>
      </c>
      <c r="AE650">
        <v>3</v>
      </c>
      <c r="AF650">
        <v>2</v>
      </c>
      <c r="AG650">
        <v>80</v>
      </c>
      <c r="AH650">
        <v>1</v>
      </c>
      <c r="AI650">
        <v>3</v>
      </c>
      <c r="AJ650">
        <v>0</v>
      </c>
      <c r="AK650" s="1" t="s">
        <v>136</v>
      </c>
    </row>
    <row r="651" spans="1:37" x14ac:dyDescent="0.25">
      <c r="A651">
        <v>901</v>
      </c>
      <c r="B651">
        <v>53</v>
      </c>
      <c r="C651" s="1" t="s">
        <v>24</v>
      </c>
      <c r="D651" s="1" t="s">
        <v>71</v>
      </c>
      <c r="E651">
        <v>4</v>
      </c>
      <c r="F651" s="1" t="s">
        <v>134</v>
      </c>
      <c r="G651">
        <v>6</v>
      </c>
      <c r="H651" s="1" t="s">
        <v>18</v>
      </c>
      <c r="I651">
        <v>33</v>
      </c>
      <c r="J651">
        <v>0</v>
      </c>
      <c r="K651">
        <v>12</v>
      </c>
      <c r="L651">
        <v>9</v>
      </c>
      <c r="M651">
        <v>3</v>
      </c>
      <c r="N651">
        <v>8</v>
      </c>
      <c r="O651" s="1" t="s">
        <v>19</v>
      </c>
      <c r="P651" s="1" t="s">
        <v>135</v>
      </c>
      <c r="Q651">
        <v>102</v>
      </c>
      <c r="R651" s="1" t="s">
        <v>63</v>
      </c>
      <c r="S651">
        <v>23</v>
      </c>
      <c r="T651">
        <v>1</v>
      </c>
      <c r="U651">
        <v>4</v>
      </c>
      <c r="V651">
        <v>72</v>
      </c>
      <c r="W651">
        <v>3</v>
      </c>
      <c r="X651">
        <v>4</v>
      </c>
      <c r="Y651" s="1" t="s">
        <v>11</v>
      </c>
      <c r="Z651">
        <v>4</v>
      </c>
      <c r="AA651">
        <v>14275</v>
      </c>
      <c r="AB651">
        <v>20206</v>
      </c>
      <c r="AC651" s="1" t="s">
        <v>19</v>
      </c>
      <c r="AD651">
        <v>18</v>
      </c>
      <c r="AE651">
        <v>3</v>
      </c>
      <c r="AF651">
        <v>3</v>
      </c>
      <c r="AG651">
        <v>80</v>
      </c>
      <c r="AH651">
        <v>0</v>
      </c>
      <c r="AI651">
        <v>3</v>
      </c>
      <c r="AJ651">
        <v>0</v>
      </c>
      <c r="AK651" s="1" t="s">
        <v>140</v>
      </c>
    </row>
    <row r="652" spans="1:37" x14ac:dyDescent="0.25">
      <c r="A652">
        <v>902</v>
      </c>
      <c r="B652">
        <v>43</v>
      </c>
      <c r="C652" s="1" t="s">
        <v>24</v>
      </c>
      <c r="D652" s="1" t="s">
        <v>70</v>
      </c>
      <c r="E652">
        <v>3</v>
      </c>
      <c r="F652" s="1" t="s">
        <v>134</v>
      </c>
      <c r="G652">
        <v>4</v>
      </c>
      <c r="H652" s="1" t="s">
        <v>18</v>
      </c>
      <c r="I652">
        <v>12</v>
      </c>
      <c r="J652">
        <v>2</v>
      </c>
      <c r="K652">
        <v>5</v>
      </c>
      <c r="L652">
        <v>2</v>
      </c>
      <c r="M652">
        <v>2</v>
      </c>
      <c r="N652">
        <v>2</v>
      </c>
      <c r="O652" s="1" t="s">
        <v>19</v>
      </c>
      <c r="P652" s="1" t="s">
        <v>137</v>
      </c>
      <c r="Q652">
        <v>422</v>
      </c>
      <c r="R652" s="1" t="s">
        <v>63</v>
      </c>
      <c r="S652">
        <v>1</v>
      </c>
      <c r="T652">
        <v>1</v>
      </c>
      <c r="U652">
        <v>4</v>
      </c>
      <c r="V652">
        <v>33</v>
      </c>
      <c r="W652">
        <v>3</v>
      </c>
      <c r="X652">
        <v>2</v>
      </c>
      <c r="Y652" s="1" t="s">
        <v>8</v>
      </c>
      <c r="Z652">
        <v>4</v>
      </c>
      <c r="AA652">
        <v>5562</v>
      </c>
      <c r="AB652">
        <v>21782</v>
      </c>
      <c r="AC652" s="1" t="s">
        <v>19</v>
      </c>
      <c r="AD652">
        <v>13</v>
      </c>
      <c r="AE652">
        <v>3</v>
      </c>
      <c r="AF652">
        <v>2</v>
      </c>
      <c r="AG652">
        <v>80</v>
      </c>
      <c r="AH652">
        <v>1</v>
      </c>
      <c r="AI652">
        <v>2</v>
      </c>
      <c r="AJ652">
        <v>0</v>
      </c>
      <c r="AK652" s="1" t="s">
        <v>136</v>
      </c>
    </row>
    <row r="653" spans="1:37" x14ac:dyDescent="0.25">
      <c r="A653">
        <v>903</v>
      </c>
      <c r="B653">
        <v>47</v>
      </c>
      <c r="C653" s="1" t="s">
        <v>24</v>
      </c>
      <c r="D653" s="1" t="s">
        <v>70</v>
      </c>
      <c r="E653">
        <v>2</v>
      </c>
      <c r="F653" s="1" t="s">
        <v>142</v>
      </c>
      <c r="G653">
        <v>0</v>
      </c>
      <c r="H653" s="1" t="s">
        <v>18</v>
      </c>
      <c r="I653">
        <v>8</v>
      </c>
      <c r="J653">
        <v>2</v>
      </c>
      <c r="K653">
        <v>7</v>
      </c>
      <c r="L653">
        <v>6</v>
      </c>
      <c r="M653">
        <v>7</v>
      </c>
      <c r="N653">
        <v>7</v>
      </c>
      <c r="O653" s="1" t="s">
        <v>19</v>
      </c>
      <c r="P653" s="1" t="s">
        <v>135</v>
      </c>
      <c r="Q653">
        <v>249</v>
      </c>
      <c r="R653" s="1" t="s">
        <v>64</v>
      </c>
      <c r="S653">
        <v>2</v>
      </c>
      <c r="T653">
        <v>1</v>
      </c>
      <c r="U653">
        <v>3</v>
      </c>
      <c r="V653">
        <v>35</v>
      </c>
      <c r="W653">
        <v>3</v>
      </c>
      <c r="X653">
        <v>2</v>
      </c>
      <c r="Y653" s="1" t="s">
        <v>4</v>
      </c>
      <c r="Z653">
        <v>4</v>
      </c>
      <c r="AA653">
        <v>4537</v>
      </c>
      <c r="AB653">
        <v>17783</v>
      </c>
      <c r="AC653" s="1" t="s">
        <v>18</v>
      </c>
      <c r="AD653">
        <v>22</v>
      </c>
      <c r="AE653">
        <v>4</v>
      </c>
      <c r="AF653">
        <v>1</v>
      </c>
      <c r="AG653">
        <v>80</v>
      </c>
      <c r="AH653">
        <v>1</v>
      </c>
      <c r="AI653">
        <v>3</v>
      </c>
      <c r="AJ653">
        <v>0</v>
      </c>
      <c r="AK653" s="1" t="s">
        <v>136</v>
      </c>
    </row>
    <row r="654" spans="1:37" x14ac:dyDescent="0.25">
      <c r="A654">
        <v>904</v>
      </c>
      <c r="B654">
        <v>37</v>
      </c>
      <c r="C654" s="1" t="s">
        <v>25</v>
      </c>
      <c r="D654" s="1" t="s">
        <v>71</v>
      </c>
      <c r="E654">
        <v>2</v>
      </c>
      <c r="F654" s="1" t="s">
        <v>139</v>
      </c>
      <c r="G654">
        <v>1</v>
      </c>
      <c r="H654" s="1" t="s">
        <v>18</v>
      </c>
      <c r="I654">
        <v>10</v>
      </c>
      <c r="J654">
        <v>2</v>
      </c>
      <c r="K654">
        <v>10</v>
      </c>
      <c r="L654">
        <v>0</v>
      </c>
      <c r="M654">
        <v>0</v>
      </c>
      <c r="N654">
        <v>9</v>
      </c>
      <c r="O654" s="1" t="s">
        <v>19</v>
      </c>
      <c r="P654" s="1" t="s">
        <v>141</v>
      </c>
      <c r="Q654">
        <v>1252</v>
      </c>
      <c r="R654" s="1" t="s">
        <v>64</v>
      </c>
      <c r="S654">
        <v>19</v>
      </c>
      <c r="T654">
        <v>1</v>
      </c>
      <c r="U654">
        <v>1</v>
      </c>
      <c r="V654">
        <v>32</v>
      </c>
      <c r="W654">
        <v>3</v>
      </c>
      <c r="X654">
        <v>3</v>
      </c>
      <c r="Y654" s="1" t="s">
        <v>4</v>
      </c>
      <c r="Z654">
        <v>2</v>
      </c>
      <c r="AA654">
        <v>7642</v>
      </c>
      <c r="AB654">
        <v>4814</v>
      </c>
      <c r="AC654" s="1" t="s">
        <v>18</v>
      </c>
      <c r="AD654">
        <v>13</v>
      </c>
      <c r="AE654">
        <v>3</v>
      </c>
      <c r="AF654">
        <v>4</v>
      </c>
      <c r="AG654">
        <v>80</v>
      </c>
      <c r="AH654">
        <v>0</v>
      </c>
      <c r="AI654">
        <v>3</v>
      </c>
      <c r="AJ654">
        <v>0</v>
      </c>
      <c r="AK654" s="1" t="s">
        <v>136</v>
      </c>
    </row>
    <row r="655" spans="1:37" x14ac:dyDescent="0.25">
      <c r="A655">
        <v>905</v>
      </c>
      <c r="B655">
        <v>50</v>
      </c>
      <c r="C655" s="1" t="s">
        <v>25</v>
      </c>
      <c r="D655" s="1" t="s">
        <v>69</v>
      </c>
      <c r="E655">
        <v>4</v>
      </c>
      <c r="F655" s="1" t="s">
        <v>134</v>
      </c>
      <c r="G655">
        <v>1</v>
      </c>
      <c r="H655" s="1" t="s">
        <v>18</v>
      </c>
      <c r="I655">
        <v>31</v>
      </c>
      <c r="J655">
        <v>3</v>
      </c>
      <c r="K655">
        <v>31</v>
      </c>
      <c r="L655">
        <v>6</v>
      </c>
      <c r="M655">
        <v>14</v>
      </c>
      <c r="N655">
        <v>7</v>
      </c>
      <c r="O655" s="1" t="s">
        <v>19</v>
      </c>
      <c r="P655" s="1" t="s">
        <v>141</v>
      </c>
      <c r="Q655">
        <v>881</v>
      </c>
      <c r="R655" s="1" t="s">
        <v>63</v>
      </c>
      <c r="S655">
        <v>2</v>
      </c>
      <c r="T655">
        <v>1</v>
      </c>
      <c r="U655">
        <v>1</v>
      </c>
      <c r="V655">
        <v>98</v>
      </c>
      <c r="W655">
        <v>3</v>
      </c>
      <c r="X655">
        <v>4</v>
      </c>
      <c r="Y655" s="1" t="s">
        <v>9</v>
      </c>
      <c r="Z655">
        <v>1</v>
      </c>
      <c r="AA655">
        <v>17924</v>
      </c>
      <c r="AB655">
        <v>4544</v>
      </c>
      <c r="AC655" s="1" t="s">
        <v>19</v>
      </c>
      <c r="AD655">
        <v>11</v>
      </c>
      <c r="AE655">
        <v>3</v>
      </c>
      <c r="AF655">
        <v>4</v>
      </c>
      <c r="AG655">
        <v>80</v>
      </c>
      <c r="AH655">
        <v>1</v>
      </c>
      <c r="AI655">
        <v>3</v>
      </c>
      <c r="AJ655">
        <v>0</v>
      </c>
      <c r="AK655" s="1" t="s">
        <v>140</v>
      </c>
    </row>
    <row r="656" spans="1:37" x14ac:dyDescent="0.25">
      <c r="A656">
        <v>909</v>
      </c>
      <c r="B656">
        <v>39</v>
      </c>
      <c r="C656" s="1" t="s">
        <v>24</v>
      </c>
      <c r="D656" s="1" t="s">
        <v>70</v>
      </c>
      <c r="E656">
        <v>3</v>
      </c>
      <c r="F656" s="1" t="s">
        <v>134</v>
      </c>
      <c r="G656">
        <v>8</v>
      </c>
      <c r="H656" s="1" t="s">
        <v>18</v>
      </c>
      <c r="I656">
        <v>13</v>
      </c>
      <c r="J656">
        <v>2</v>
      </c>
      <c r="K656">
        <v>5</v>
      </c>
      <c r="L656">
        <v>4</v>
      </c>
      <c r="M656">
        <v>0</v>
      </c>
      <c r="N656">
        <v>4</v>
      </c>
      <c r="O656" s="1" t="s">
        <v>19</v>
      </c>
      <c r="P656" s="1" t="s">
        <v>135</v>
      </c>
      <c r="Q656">
        <v>1383</v>
      </c>
      <c r="R656" s="1" t="s">
        <v>12</v>
      </c>
      <c r="S656">
        <v>2</v>
      </c>
      <c r="T656">
        <v>1</v>
      </c>
      <c r="U656">
        <v>4</v>
      </c>
      <c r="V656">
        <v>42</v>
      </c>
      <c r="W656">
        <v>2</v>
      </c>
      <c r="X656">
        <v>2</v>
      </c>
      <c r="Y656" s="1" t="s">
        <v>12</v>
      </c>
      <c r="Z656">
        <v>4</v>
      </c>
      <c r="AA656">
        <v>5204</v>
      </c>
      <c r="AB656">
        <v>7790</v>
      </c>
      <c r="AC656" s="1" t="s">
        <v>19</v>
      </c>
      <c r="AD656">
        <v>11</v>
      </c>
      <c r="AE656">
        <v>3</v>
      </c>
      <c r="AF656">
        <v>3</v>
      </c>
      <c r="AG656">
        <v>80</v>
      </c>
      <c r="AH656">
        <v>2</v>
      </c>
      <c r="AI656">
        <v>3</v>
      </c>
      <c r="AJ656">
        <v>0</v>
      </c>
      <c r="AK656" s="1" t="s">
        <v>136</v>
      </c>
    </row>
    <row r="657" spans="1:37" x14ac:dyDescent="0.25">
      <c r="A657">
        <v>910</v>
      </c>
      <c r="B657">
        <v>33</v>
      </c>
      <c r="C657" s="1" t="s">
        <v>25</v>
      </c>
      <c r="D657" s="1" t="s">
        <v>69</v>
      </c>
      <c r="E657">
        <v>2</v>
      </c>
      <c r="F657" s="1" t="s">
        <v>12</v>
      </c>
      <c r="G657">
        <v>3</v>
      </c>
      <c r="H657" s="1" t="s">
        <v>18</v>
      </c>
      <c r="I657">
        <v>7</v>
      </c>
      <c r="J657">
        <v>4</v>
      </c>
      <c r="K657">
        <v>4</v>
      </c>
      <c r="L657">
        <v>3</v>
      </c>
      <c r="M657">
        <v>0</v>
      </c>
      <c r="N657">
        <v>3</v>
      </c>
      <c r="O657" s="1" t="s">
        <v>19</v>
      </c>
      <c r="P657" s="1" t="s">
        <v>135</v>
      </c>
      <c r="Q657">
        <v>1075</v>
      </c>
      <c r="R657" s="1" t="s">
        <v>12</v>
      </c>
      <c r="S657">
        <v>3</v>
      </c>
      <c r="T657">
        <v>1</v>
      </c>
      <c r="U657">
        <v>4</v>
      </c>
      <c r="V657">
        <v>57</v>
      </c>
      <c r="W657">
        <v>3</v>
      </c>
      <c r="X657">
        <v>1</v>
      </c>
      <c r="Y657" s="1" t="s">
        <v>12</v>
      </c>
      <c r="Z657">
        <v>2</v>
      </c>
      <c r="AA657">
        <v>2277</v>
      </c>
      <c r="AB657">
        <v>22650</v>
      </c>
      <c r="AC657" s="1" t="s">
        <v>18</v>
      </c>
      <c r="AD657">
        <v>11</v>
      </c>
      <c r="AE657">
        <v>3</v>
      </c>
      <c r="AF657">
        <v>3</v>
      </c>
      <c r="AG657">
        <v>80</v>
      </c>
      <c r="AH657">
        <v>1</v>
      </c>
      <c r="AI657">
        <v>4</v>
      </c>
      <c r="AJ657">
        <v>0</v>
      </c>
      <c r="AK657" s="1" t="s">
        <v>136</v>
      </c>
    </row>
    <row r="658" spans="1:37" x14ac:dyDescent="0.25">
      <c r="A658">
        <v>911</v>
      </c>
      <c r="B658">
        <v>32</v>
      </c>
      <c r="C658" s="1" t="s">
        <v>25</v>
      </c>
      <c r="D658" s="1" t="s">
        <v>71</v>
      </c>
      <c r="E658">
        <v>4</v>
      </c>
      <c r="F658" s="1" t="s">
        <v>134</v>
      </c>
      <c r="G658">
        <v>1</v>
      </c>
      <c r="H658" s="1" t="s">
        <v>18</v>
      </c>
      <c r="I658">
        <v>1</v>
      </c>
      <c r="J658">
        <v>2</v>
      </c>
      <c r="K658">
        <v>1</v>
      </c>
      <c r="L658">
        <v>0</v>
      </c>
      <c r="M658">
        <v>0</v>
      </c>
      <c r="N658">
        <v>1</v>
      </c>
      <c r="O658" s="1" t="s">
        <v>18</v>
      </c>
      <c r="P658" s="1" t="s">
        <v>135</v>
      </c>
      <c r="Q658">
        <v>374</v>
      </c>
      <c r="R658" s="1" t="s">
        <v>63</v>
      </c>
      <c r="S658">
        <v>25</v>
      </c>
      <c r="T658">
        <v>1</v>
      </c>
      <c r="U658">
        <v>1</v>
      </c>
      <c r="V658">
        <v>87</v>
      </c>
      <c r="W658">
        <v>3</v>
      </c>
      <c r="X658">
        <v>1</v>
      </c>
      <c r="Y658" s="1" t="s">
        <v>6</v>
      </c>
      <c r="Z658">
        <v>4</v>
      </c>
      <c r="AA658">
        <v>2795</v>
      </c>
      <c r="AB658">
        <v>18016</v>
      </c>
      <c r="AC658" s="1" t="s">
        <v>18</v>
      </c>
      <c r="AD658">
        <v>24</v>
      </c>
      <c r="AE658">
        <v>4</v>
      </c>
      <c r="AF658">
        <v>3</v>
      </c>
      <c r="AG658">
        <v>80</v>
      </c>
      <c r="AH658">
        <v>0</v>
      </c>
      <c r="AI658">
        <v>1</v>
      </c>
      <c r="AJ658">
        <v>1</v>
      </c>
      <c r="AK658" s="1" t="s">
        <v>136</v>
      </c>
    </row>
    <row r="659" spans="1:37" x14ac:dyDescent="0.25">
      <c r="A659">
        <v>912</v>
      </c>
      <c r="B659">
        <v>29</v>
      </c>
      <c r="C659" s="1" t="s">
        <v>24</v>
      </c>
      <c r="D659" s="1" t="s">
        <v>69</v>
      </c>
      <c r="E659">
        <v>1</v>
      </c>
      <c r="F659" s="1" t="s">
        <v>139</v>
      </c>
      <c r="G659">
        <v>6</v>
      </c>
      <c r="H659" s="1" t="s">
        <v>18</v>
      </c>
      <c r="I659">
        <v>8</v>
      </c>
      <c r="J659">
        <v>5</v>
      </c>
      <c r="K659">
        <v>4</v>
      </c>
      <c r="L659">
        <v>3</v>
      </c>
      <c r="M659">
        <v>0</v>
      </c>
      <c r="N659">
        <v>3</v>
      </c>
      <c r="O659" s="1" t="s">
        <v>19</v>
      </c>
      <c r="P659" s="1" t="s">
        <v>135</v>
      </c>
      <c r="Q659">
        <v>1086</v>
      </c>
      <c r="R659" s="1" t="s">
        <v>63</v>
      </c>
      <c r="S659">
        <v>7</v>
      </c>
      <c r="T659">
        <v>1</v>
      </c>
      <c r="U659">
        <v>1</v>
      </c>
      <c r="V659">
        <v>62</v>
      </c>
      <c r="W659">
        <v>2</v>
      </c>
      <c r="X659">
        <v>1</v>
      </c>
      <c r="Y659" s="1" t="s">
        <v>6</v>
      </c>
      <c r="Z659">
        <v>4</v>
      </c>
      <c r="AA659">
        <v>2532</v>
      </c>
      <c r="AB659">
        <v>6054</v>
      </c>
      <c r="AC659" s="1" t="s">
        <v>19</v>
      </c>
      <c r="AD659">
        <v>14</v>
      </c>
      <c r="AE659">
        <v>3</v>
      </c>
      <c r="AF659">
        <v>3</v>
      </c>
      <c r="AG659">
        <v>80</v>
      </c>
      <c r="AH659">
        <v>3</v>
      </c>
      <c r="AI659">
        <v>3</v>
      </c>
      <c r="AJ659">
        <v>0</v>
      </c>
      <c r="AK659" s="1" t="s">
        <v>136</v>
      </c>
    </row>
    <row r="660" spans="1:37" x14ac:dyDescent="0.25">
      <c r="A660">
        <v>913</v>
      </c>
      <c r="B660">
        <v>44</v>
      </c>
      <c r="C660" s="1" t="s">
        <v>25</v>
      </c>
      <c r="D660" s="1" t="s">
        <v>70</v>
      </c>
      <c r="E660">
        <v>2</v>
      </c>
      <c r="F660" s="1" t="s">
        <v>134</v>
      </c>
      <c r="G660">
        <v>1</v>
      </c>
      <c r="H660" s="1" t="s">
        <v>18</v>
      </c>
      <c r="I660">
        <v>8</v>
      </c>
      <c r="J660">
        <v>0</v>
      </c>
      <c r="K660">
        <v>8</v>
      </c>
      <c r="L660">
        <v>7</v>
      </c>
      <c r="M660">
        <v>7</v>
      </c>
      <c r="N660">
        <v>1</v>
      </c>
      <c r="O660" s="1" t="s">
        <v>19</v>
      </c>
      <c r="P660" s="1" t="s">
        <v>135</v>
      </c>
      <c r="Q660">
        <v>661</v>
      </c>
      <c r="R660" s="1" t="s">
        <v>63</v>
      </c>
      <c r="S660">
        <v>9</v>
      </c>
      <c r="T660">
        <v>1</v>
      </c>
      <c r="U660">
        <v>2</v>
      </c>
      <c r="V660">
        <v>61</v>
      </c>
      <c r="W660">
        <v>3</v>
      </c>
      <c r="X660">
        <v>1</v>
      </c>
      <c r="Y660" s="1" t="s">
        <v>5</v>
      </c>
      <c r="Z660">
        <v>1</v>
      </c>
      <c r="AA660">
        <v>2559</v>
      </c>
      <c r="AB660">
        <v>7508</v>
      </c>
      <c r="AC660" s="1" t="s">
        <v>18</v>
      </c>
      <c r="AD660">
        <v>13</v>
      </c>
      <c r="AE660">
        <v>3</v>
      </c>
      <c r="AF660">
        <v>4</v>
      </c>
      <c r="AG660">
        <v>80</v>
      </c>
      <c r="AH660">
        <v>0</v>
      </c>
      <c r="AI660">
        <v>3</v>
      </c>
      <c r="AJ660">
        <v>0</v>
      </c>
      <c r="AK660" s="1" t="s">
        <v>136</v>
      </c>
    </row>
    <row r="661" spans="1:37" x14ac:dyDescent="0.25">
      <c r="A661">
        <v>916</v>
      </c>
      <c r="B661">
        <v>28</v>
      </c>
      <c r="C661" s="1" t="s">
        <v>25</v>
      </c>
      <c r="D661" s="1" t="s">
        <v>71</v>
      </c>
      <c r="E661">
        <v>4</v>
      </c>
      <c r="F661" s="1" t="s">
        <v>139</v>
      </c>
      <c r="G661">
        <v>1</v>
      </c>
      <c r="H661" s="1" t="s">
        <v>18</v>
      </c>
      <c r="I661">
        <v>4</v>
      </c>
      <c r="J661">
        <v>3</v>
      </c>
      <c r="K661">
        <v>4</v>
      </c>
      <c r="L661">
        <v>2</v>
      </c>
      <c r="M661">
        <v>0</v>
      </c>
      <c r="N661">
        <v>2</v>
      </c>
      <c r="O661" s="1" t="s">
        <v>19</v>
      </c>
      <c r="P661" s="1" t="s">
        <v>135</v>
      </c>
      <c r="Q661">
        <v>821</v>
      </c>
      <c r="R661" s="1" t="s">
        <v>64</v>
      </c>
      <c r="S661">
        <v>5</v>
      </c>
      <c r="T661">
        <v>1</v>
      </c>
      <c r="U661">
        <v>1</v>
      </c>
      <c r="V661">
        <v>98</v>
      </c>
      <c r="W661">
        <v>3</v>
      </c>
      <c r="X661">
        <v>2</v>
      </c>
      <c r="Y661" s="1" t="s">
        <v>4</v>
      </c>
      <c r="Z661">
        <v>4</v>
      </c>
      <c r="AA661">
        <v>4908</v>
      </c>
      <c r="AB661">
        <v>24252</v>
      </c>
      <c r="AC661" s="1" t="s">
        <v>19</v>
      </c>
      <c r="AD661">
        <v>14</v>
      </c>
      <c r="AE661">
        <v>3</v>
      </c>
      <c r="AF661">
        <v>2</v>
      </c>
      <c r="AG661">
        <v>80</v>
      </c>
      <c r="AH661">
        <v>0</v>
      </c>
      <c r="AI661">
        <v>3</v>
      </c>
      <c r="AJ661">
        <v>0</v>
      </c>
      <c r="AK661" s="1" t="s">
        <v>136</v>
      </c>
    </row>
    <row r="662" spans="1:37" x14ac:dyDescent="0.25">
      <c r="A662">
        <v>918</v>
      </c>
      <c r="B662">
        <v>58</v>
      </c>
      <c r="C662" s="1" t="s">
        <v>25</v>
      </c>
      <c r="D662" s="1" t="s">
        <v>69</v>
      </c>
      <c r="E662">
        <v>1</v>
      </c>
      <c r="F662" s="1" t="s">
        <v>134</v>
      </c>
      <c r="G662">
        <v>9</v>
      </c>
      <c r="H662" s="1" t="s">
        <v>18</v>
      </c>
      <c r="I662">
        <v>3</v>
      </c>
      <c r="J662">
        <v>3</v>
      </c>
      <c r="K662">
        <v>1</v>
      </c>
      <c r="L662">
        <v>0</v>
      </c>
      <c r="M662">
        <v>0</v>
      </c>
      <c r="N662">
        <v>0</v>
      </c>
      <c r="O662" s="1" t="s">
        <v>18</v>
      </c>
      <c r="P662" s="1" t="s">
        <v>137</v>
      </c>
      <c r="Q662">
        <v>781</v>
      </c>
      <c r="R662" s="1" t="s">
        <v>63</v>
      </c>
      <c r="S662">
        <v>2</v>
      </c>
      <c r="T662">
        <v>1</v>
      </c>
      <c r="U662">
        <v>4</v>
      </c>
      <c r="V662">
        <v>57</v>
      </c>
      <c r="W662">
        <v>2</v>
      </c>
      <c r="X662">
        <v>1</v>
      </c>
      <c r="Y662" s="1" t="s">
        <v>6</v>
      </c>
      <c r="Z662">
        <v>4</v>
      </c>
      <c r="AA662">
        <v>2380</v>
      </c>
      <c r="AB662">
        <v>13384</v>
      </c>
      <c r="AC662" s="1" t="s">
        <v>18</v>
      </c>
      <c r="AD662">
        <v>14</v>
      </c>
      <c r="AE662">
        <v>3</v>
      </c>
      <c r="AF662">
        <v>4</v>
      </c>
      <c r="AG662">
        <v>80</v>
      </c>
      <c r="AH662">
        <v>1</v>
      </c>
      <c r="AI662">
        <v>2</v>
      </c>
      <c r="AJ662">
        <v>1</v>
      </c>
      <c r="AK662" s="1" t="s">
        <v>140</v>
      </c>
    </row>
    <row r="663" spans="1:37" x14ac:dyDescent="0.25">
      <c r="A663">
        <v>920</v>
      </c>
      <c r="B663">
        <v>43</v>
      </c>
      <c r="C663" s="1" t="s">
        <v>24</v>
      </c>
      <c r="D663" s="1" t="s">
        <v>69</v>
      </c>
      <c r="E663">
        <v>3</v>
      </c>
      <c r="F663" s="1" t="s">
        <v>134</v>
      </c>
      <c r="G663">
        <v>4</v>
      </c>
      <c r="H663" s="1" t="s">
        <v>18</v>
      </c>
      <c r="I663">
        <v>4</v>
      </c>
      <c r="J663">
        <v>2</v>
      </c>
      <c r="K663">
        <v>1</v>
      </c>
      <c r="L663">
        <v>0</v>
      </c>
      <c r="M663">
        <v>0</v>
      </c>
      <c r="N663">
        <v>0</v>
      </c>
      <c r="O663" s="1" t="s">
        <v>19</v>
      </c>
      <c r="P663" s="1" t="s">
        <v>135</v>
      </c>
      <c r="Q663">
        <v>177</v>
      </c>
      <c r="R663" s="1" t="s">
        <v>63</v>
      </c>
      <c r="S663">
        <v>8</v>
      </c>
      <c r="T663">
        <v>1</v>
      </c>
      <c r="U663">
        <v>1</v>
      </c>
      <c r="V663">
        <v>55</v>
      </c>
      <c r="W663">
        <v>3</v>
      </c>
      <c r="X663">
        <v>2</v>
      </c>
      <c r="Y663" s="1" t="s">
        <v>7</v>
      </c>
      <c r="Z663">
        <v>2</v>
      </c>
      <c r="AA663">
        <v>4765</v>
      </c>
      <c r="AB663">
        <v>23814</v>
      </c>
      <c r="AC663" s="1" t="s">
        <v>19</v>
      </c>
      <c r="AD663">
        <v>21</v>
      </c>
      <c r="AE663">
        <v>4</v>
      </c>
      <c r="AF663">
        <v>3</v>
      </c>
      <c r="AG663">
        <v>80</v>
      </c>
      <c r="AH663">
        <v>1</v>
      </c>
      <c r="AI663">
        <v>4</v>
      </c>
      <c r="AJ663">
        <v>0</v>
      </c>
      <c r="AK663" s="1" t="s">
        <v>136</v>
      </c>
    </row>
    <row r="664" spans="1:37" x14ac:dyDescent="0.25">
      <c r="A664">
        <v>922</v>
      </c>
      <c r="B664">
        <v>20</v>
      </c>
      <c r="C664" s="1" t="s">
        <v>24</v>
      </c>
      <c r="D664" s="1" t="s">
        <v>71</v>
      </c>
      <c r="E664">
        <v>3</v>
      </c>
      <c r="F664" s="1" t="s">
        <v>139</v>
      </c>
      <c r="G664">
        <v>1</v>
      </c>
      <c r="H664" s="1" t="s">
        <v>18</v>
      </c>
      <c r="I664">
        <v>2</v>
      </c>
      <c r="J664">
        <v>3</v>
      </c>
      <c r="K664">
        <v>2</v>
      </c>
      <c r="L664">
        <v>2</v>
      </c>
      <c r="M664">
        <v>0</v>
      </c>
      <c r="N664">
        <v>2</v>
      </c>
      <c r="O664" s="1" t="s">
        <v>18</v>
      </c>
      <c r="P664" s="1" t="s">
        <v>135</v>
      </c>
      <c r="Q664">
        <v>500</v>
      </c>
      <c r="R664" s="1" t="s">
        <v>64</v>
      </c>
      <c r="S664">
        <v>2</v>
      </c>
      <c r="T664">
        <v>1</v>
      </c>
      <c r="U664">
        <v>3</v>
      </c>
      <c r="V664">
        <v>49</v>
      </c>
      <c r="W664">
        <v>2</v>
      </c>
      <c r="X664">
        <v>1</v>
      </c>
      <c r="Y664" s="1" t="s">
        <v>10</v>
      </c>
      <c r="Z664">
        <v>3</v>
      </c>
      <c r="AA664">
        <v>2044</v>
      </c>
      <c r="AB664">
        <v>22052</v>
      </c>
      <c r="AC664" s="1" t="s">
        <v>19</v>
      </c>
      <c r="AD664">
        <v>13</v>
      </c>
      <c r="AE664">
        <v>3</v>
      </c>
      <c r="AF664">
        <v>4</v>
      </c>
      <c r="AG664">
        <v>80</v>
      </c>
      <c r="AH664">
        <v>0</v>
      </c>
      <c r="AI664">
        <v>2</v>
      </c>
      <c r="AJ664">
        <v>1</v>
      </c>
      <c r="AK664" s="1" t="s">
        <v>136</v>
      </c>
    </row>
    <row r="665" spans="1:37" x14ac:dyDescent="0.25">
      <c r="A665">
        <v>923</v>
      </c>
      <c r="B665">
        <v>21</v>
      </c>
      <c r="C665" s="1" t="s">
        <v>24</v>
      </c>
      <c r="D665" s="1" t="s">
        <v>71</v>
      </c>
      <c r="E665">
        <v>1</v>
      </c>
      <c r="F665" s="1" t="s">
        <v>138</v>
      </c>
      <c r="G665">
        <v>1</v>
      </c>
      <c r="H665" s="1" t="s">
        <v>18</v>
      </c>
      <c r="I665">
        <v>1</v>
      </c>
      <c r="J665">
        <v>3</v>
      </c>
      <c r="K665">
        <v>1</v>
      </c>
      <c r="L665">
        <v>0</v>
      </c>
      <c r="M665">
        <v>0</v>
      </c>
      <c r="N665">
        <v>0</v>
      </c>
      <c r="O665" s="1" t="s">
        <v>18</v>
      </c>
      <c r="P665" s="1" t="s">
        <v>135</v>
      </c>
      <c r="Q665">
        <v>1427</v>
      </c>
      <c r="R665" s="1" t="s">
        <v>63</v>
      </c>
      <c r="S665">
        <v>18</v>
      </c>
      <c r="T665">
        <v>1</v>
      </c>
      <c r="U665">
        <v>4</v>
      </c>
      <c r="V665">
        <v>65</v>
      </c>
      <c r="W665">
        <v>3</v>
      </c>
      <c r="X665">
        <v>1</v>
      </c>
      <c r="Y665" s="1" t="s">
        <v>5</v>
      </c>
      <c r="Z665">
        <v>4</v>
      </c>
      <c r="AA665">
        <v>2693</v>
      </c>
      <c r="AB665">
        <v>8870</v>
      </c>
      <c r="AC665" s="1" t="s">
        <v>19</v>
      </c>
      <c r="AD665">
        <v>19</v>
      </c>
      <c r="AE665">
        <v>3</v>
      </c>
      <c r="AF665">
        <v>1</v>
      </c>
      <c r="AG665">
        <v>80</v>
      </c>
      <c r="AH665">
        <v>0</v>
      </c>
      <c r="AI665">
        <v>2</v>
      </c>
      <c r="AJ665">
        <v>1</v>
      </c>
      <c r="AK665" s="1" t="s">
        <v>136</v>
      </c>
    </row>
    <row r="666" spans="1:37" x14ac:dyDescent="0.25">
      <c r="A666">
        <v>924</v>
      </c>
      <c r="B666">
        <v>36</v>
      </c>
      <c r="C666" s="1" t="s">
        <v>25</v>
      </c>
      <c r="D666" s="1" t="s">
        <v>70</v>
      </c>
      <c r="E666">
        <v>1</v>
      </c>
      <c r="F666" s="1" t="s">
        <v>134</v>
      </c>
      <c r="G666">
        <v>0</v>
      </c>
      <c r="H666" s="1" t="s">
        <v>18</v>
      </c>
      <c r="I666">
        <v>17</v>
      </c>
      <c r="J666">
        <v>2</v>
      </c>
      <c r="K666">
        <v>16</v>
      </c>
      <c r="L666">
        <v>8</v>
      </c>
      <c r="M666">
        <v>4</v>
      </c>
      <c r="N666">
        <v>11</v>
      </c>
      <c r="O666" s="1" t="s">
        <v>19</v>
      </c>
      <c r="P666" s="1" t="s">
        <v>135</v>
      </c>
      <c r="Q666">
        <v>1425</v>
      </c>
      <c r="R666" s="1" t="s">
        <v>63</v>
      </c>
      <c r="S666">
        <v>14</v>
      </c>
      <c r="T666">
        <v>1</v>
      </c>
      <c r="U666">
        <v>3</v>
      </c>
      <c r="V666">
        <v>68</v>
      </c>
      <c r="W666">
        <v>3</v>
      </c>
      <c r="X666">
        <v>2</v>
      </c>
      <c r="Y666" s="1" t="s">
        <v>8</v>
      </c>
      <c r="Z666">
        <v>4</v>
      </c>
      <c r="AA666">
        <v>6586</v>
      </c>
      <c r="AB666">
        <v>4821</v>
      </c>
      <c r="AC666" s="1" t="s">
        <v>18</v>
      </c>
      <c r="AD666">
        <v>17</v>
      </c>
      <c r="AE666">
        <v>3</v>
      </c>
      <c r="AF666">
        <v>1</v>
      </c>
      <c r="AG666">
        <v>80</v>
      </c>
      <c r="AH666">
        <v>1</v>
      </c>
      <c r="AI666">
        <v>2</v>
      </c>
      <c r="AJ666">
        <v>0</v>
      </c>
      <c r="AK666" s="1" t="s">
        <v>136</v>
      </c>
    </row>
    <row r="667" spans="1:37" x14ac:dyDescent="0.25">
      <c r="A667">
        <v>925</v>
      </c>
      <c r="B667">
        <v>47</v>
      </c>
      <c r="C667" s="1" t="s">
        <v>24</v>
      </c>
      <c r="D667" s="1" t="s">
        <v>71</v>
      </c>
      <c r="E667">
        <v>4</v>
      </c>
      <c r="F667" s="1" t="s">
        <v>134</v>
      </c>
      <c r="G667">
        <v>1</v>
      </c>
      <c r="H667" s="1" t="s">
        <v>18</v>
      </c>
      <c r="I667">
        <v>3</v>
      </c>
      <c r="J667">
        <v>3</v>
      </c>
      <c r="K667">
        <v>3</v>
      </c>
      <c r="L667">
        <v>2</v>
      </c>
      <c r="M667">
        <v>1</v>
      </c>
      <c r="N667">
        <v>2</v>
      </c>
      <c r="O667" s="1" t="s">
        <v>19</v>
      </c>
      <c r="P667" s="1" t="s">
        <v>135</v>
      </c>
      <c r="Q667">
        <v>1454</v>
      </c>
      <c r="R667" s="1" t="s">
        <v>64</v>
      </c>
      <c r="S667">
        <v>2</v>
      </c>
      <c r="T667">
        <v>1</v>
      </c>
      <c r="U667">
        <v>4</v>
      </c>
      <c r="V667">
        <v>65</v>
      </c>
      <c r="W667">
        <v>2</v>
      </c>
      <c r="X667">
        <v>1</v>
      </c>
      <c r="Y667" s="1" t="s">
        <v>10</v>
      </c>
      <c r="Z667">
        <v>4</v>
      </c>
      <c r="AA667">
        <v>3294</v>
      </c>
      <c r="AB667">
        <v>13137</v>
      </c>
      <c r="AC667" s="1" t="s">
        <v>18</v>
      </c>
      <c r="AD667">
        <v>18</v>
      </c>
      <c r="AE667">
        <v>3</v>
      </c>
      <c r="AF667">
        <v>1</v>
      </c>
      <c r="AG667">
        <v>80</v>
      </c>
      <c r="AH667">
        <v>0</v>
      </c>
      <c r="AI667">
        <v>2</v>
      </c>
      <c r="AJ667">
        <v>0</v>
      </c>
      <c r="AK667" s="1" t="s">
        <v>136</v>
      </c>
    </row>
    <row r="668" spans="1:37" x14ac:dyDescent="0.25">
      <c r="A668">
        <v>926</v>
      </c>
      <c r="B668">
        <v>22</v>
      </c>
      <c r="C668" s="1" t="s">
        <v>24</v>
      </c>
      <c r="D668" s="1" t="s">
        <v>70</v>
      </c>
      <c r="E668">
        <v>1</v>
      </c>
      <c r="F668" s="1" t="s">
        <v>134</v>
      </c>
      <c r="G668">
        <v>0</v>
      </c>
      <c r="H668" s="1" t="s">
        <v>18</v>
      </c>
      <c r="I668">
        <v>4</v>
      </c>
      <c r="J668">
        <v>3</v>
      </c>
      <c r="K668">
        <v>3</v>
      </c>
      <c r="L668">
        <v>2</v>
      </c>
      <c r="M668">
        <v>0</v>
      </c>
      <c r="N668">
        <v>2</v>
      </c>
      <c r="O668" s="1" t="s">
        <v>18</v>
      </c>
      <c r="P668" s="1" t="s">
        <v>135</v>
      </c>
      <c r="Q668">
        <v>617</v>
      </c>
      <c r="R668" s="1" t="s">
        <v>63</v>
      </c>
      <c r="S668">
        <v>3</v>
      </c>
      <c r="T668">
        <v>1</v>
      </c>
      <c r="U668">
        <v>2</v>
      </c>
      <c r="V668">
        <v>34</v>
      </c>
      <c r="W668">
        <v>3</v>
      </c>
      <c r="X668">
        <v>2</v>
      </c>
      <c r="Y668" s="1" t="s">
        <v>7</v>
      </c>
      <c r="Z668">
        <v>3</v>
      </c>
      <c r="AA668">
        <v>4171</v>
      </c>
      <c r="AB668">
        <v>10022</v>
      </c>
      <c r="AC668" s="1" t="s">
        <v>18</v>
      </c>
      <c r="AD668">
        <v>19</v>
      </c>
      <c r="AE668">
        <v>3</v>
      </c>
      <c r="AF668">
        <v>1</v>
      </c>
      <c r="AG668">
        <v>80</v>
      </c>
      <c r="AH668">
        <v>1</v>
      </c>
      <c r="AI668">
        <v>4</v>
      </c>
      <c r="AJ668">
        <v>1</v>
      </c>
      <c r="AK668" s="1" t="s">
        <v>136</v>
      </c>
    </row>
    <row r="669" spans="1:37" x14ac:dyDescent="0.25">
      <c r="A669">
        <v>927</v>
      </c>
      <c r="B669">
        <v>41</v>
      </c>
      <c r="C669" s="1" t="s">
        <v>24</v>
      </c>
      <c r="D669" s="1" t="s">
        <v>69</v>
      </c>
      <c r="E669">
        <v>4</v>
      </c>
      <c r="F669" s="1" t="s">
        <v>134</v>
      </c>
      <c r="G669">
        <v>4</v>
      </c>
      <c r="H669" s="1" t="s">
        <v>18</v>
      </c>
      <c r="I669">
        <v>10</v>
      </c>
      <c r="J669">
        <v>1</v>
      </c>
      <c r="K669">
        <v>7</v>
      </c>
      <c r="L669">
        <v>7</v>
      </c>
      <c r="M669">
        <v>1</v>
      </c>
      <c r="N669">
        <v>0</v>
      </c>
      <c r="O669" s="1" t="s">
        <v>18</v>
      </c>
      <c r="P669" s="1" t="s">
        <v>135</v>
      </c>
      <c r="Q669">
        <v>1085</v>
      </c>
      <c r="R669" s="1" t="s">
        <v>63</v>
      </c>
      <c r="S669">
        <v>2</v>
      </c>
      <c r="T669">
        <v>1</v>
      </c>
      <c r="U669">
        <v>2</v>
      </c>
      <c r="V669">
        <v>57</v>
      </c>
      <c r="W669">
        <v>1</v>
      </c>
      <c r="X669">
        <v>1</v>
      </c>
      <c r="Y669" s="1" t="s">
        <v>6</v>
      </c>
      <c r="Z669">
        <v>4</v>
      </c>
      <c r="AA669">
        <v>2778</v>
      </c>
      <c r="AB669">
        <v>17725</v>
      </c>
      <c r="AC669" s="1" t="s">
        <v>18</v>
      </c>
      <c r="AD669">
        <v>13</v>
      </c>
      <c r="AE669">
        <v>3</v>
      </c>
      <c r="AF669">
        <v>3</v>
      </c>
      <c r="AG669">
        <v>80</v>
      </c>
      <c r="AH669">
        <v>1</v>
      </c>
      <c r="AI669">
        <v>2</v>
      </c>
      <c r="AJ669">
        <v>1</v>
      </c>
      <c r="AK669" s="1" t="s">
        <v>136</v>
      </c>
    </row>
    <row r="670" spans="1:37" x14ac:dyDescent="0.25">
      <c r="A670">
        <v>930</v>
      </c>
      <c r="B670">
        <v>28</v>
      </c>
      <c r="C670" s="1" t="s">
        <v>24</v>
      </c>
      <c r="D670" s="1" t="s">
        <v>69</v>
      </c>
      <c r="E670">
        <v>3</v>
      </c>
      <c r="F670" s="1" t="s">
        <v>139</v>
      </c>
      <c r="G670">
        <v>5</v>
      </c>
      <c r="H670" s="1" t="s">
        <v>18</v>
      </c>
      <c r="I670">
        <v>6</v>
      </c>
      <c r="J670">
        <v>2</v>
      </c>
      <c r="K670">
        <v>2</v>
      </c>
      <c r="L670">
        <v>2</v>
      </c>
      <c r="M670">
        <v>2</v>
      </c>
      <c r="N670">
        <v>2</v>
      </c>
      <c r="O670" s="1" t="s">
        <v>19</v>
      </c>
      <c r="P670" s="1" t="s">
        <v>135</v>
      </c>
      <c r="Q670">
        <v>995</v>
      </c>
      <c r="R670" s="1" t="s">
        <v>63</v>
      </c>
      <c r="S670">
        <v>9</v>
      </c>
      <c r="T670">
        <v>1</v>
      </c>
      <c r="U670">
        <v>3</v>
      </c>
      <c r="V670">
        <v>77</v>
      </c>
      <c r="W670">
        <v>3</v>
      </c>
      <c r="X670">
        <v>1</v>
      </c>
      <c r="Y670" s="1" t="s">
        <v>5</v>
      </c>
      <c r="Z670">
        <v>3</v>
      </c>
      <c r="AA670">
        <v>2377</v>
      </c>
      <c r="AB670">
        <v>9834</v>
      </c>
      <c r="AC670" s="1" t="s">
        <v>19</v>
      </c>
      <c r="AD670">
        <v>18</v>
      </c>
      <c r="AE670">
        <v>3</v>
      </c>
      <c r="AF670">
        <v>2</v>
      </c>
      <c r="AG670">
        <v>80</v>
      </c>
      <c r="AH670">
        <v>1</v>
      </c>
      <c r="AI670">
        <v>3</v>
      </c>
      <c r="AJ670">
        <v>0</v>
      </c>
      <c r="AK670" s="1" t="s">
        <v>136</v>
      </c>
    </row>
    <row r="671" spans="1:37" x14ac:dyDescent="0.25">
      <c r="A671">
        <v>932</v>
      </c>
      <c r="B671">
        <v>39</v>
      </c>
      <c r="C671" s="1" t="s">
        <v>25</v>
      </c>
      <c r="D671" s="1" t="s">
        <v>70</v>
      </c>
      <c r="E671">
        <v>3</v>
      </c>
      <c r="F671" s="1" t="s">
        <v>139</v>
      </c>
      <c r="G671">
        <v>7</v>
      </c>
      <c r="H671" s="1" t="s">
        <v>18</v>
      </c>
      <c r="I671">
        <v>8</v>
      </c>
      <c r="J671">
        <v>2</v>
      </c>
      <c r="K671">
        <v>2</v>
      </c>
      <c r="L671">
        <v>2</v>
      </c>
      <c r="M671">
        <v>2</v>
      </c>
      <c r="N671">
        <v>2</v>
      </c>
      <c r="O671" s="1" t="s">
        <v>18</v>
      </c>
      <c r="P671" s="1" t="s">
        <v>135</v>
      </c>
      <c r="Q671">
        <v>1122</v>
      </c>
      <c r="R671" s="1" t="s">
        <v>63</v>
      </c>
      <c r="S671">
        <v>6</v>
      </c>
      <c r="T671">
        <v>1</v>
      </c>
      <c r="U671">
        <v>4</v>
      </c>
      <c r="V671">
        <v>70</v>
      </c>
      <c r="W671">
        <v>3</v>
      </c>
      <c r="X671">
        <v>1</v>
      </c>
      <c r="Y671" s="1" t="s">
        <v>6</v>
      </c>
      <c r="Z671">
        <v>1</v>
      </c>
      <c r="AA671">
        <v>2404</v>
      </c>
      <c r="AB671">
        <v>4303</v>
      </c>
      <c r="AC671" s="1" t="s">
        <v>18</v>
      </c>
      <c r="AD671">
        <v>21</v>
      </c>
      <c r="AE671">
        <v>4</v>
      </c>
      <c r="AF671">
        <v>4</v>
      </c>
      <c r="AG671">
        <v>80</v>
      </c>
      <c r="AH671">
        <v>0</v>
      </c>
      <c r="AI671">
        <v>1</v>
      </c>
      <c r="AJ671">
        <v>1</v>
      </c>
      <c r="AK671" s="1" t="s">
        <v>136</v>
      </c>
    </row>
    <row r="672" spans="1:37" x14ac:dyDescent="0.25">
      <c r="A672">
        <v>933</v>
      </c>
      <c r="B672">
        <v>27</v>
      </c>
      <c r="C672" s="1" t="s">
        <v>24</v>
      </c>
      <c r="D672" s="1" t="s">
        <v>71</v>
      </c>
      <c r="E672">
        <v>3</v>
      </c>
      <c r="F672" s="1" t="s">
        <v>134</v>
      </c>
      <c r="G672">
        <v>1</v>
      </c>
      <c r="H672" s="1" t="s">
        <v>18</v>
      </c>
      <c r="I672">
        <v>1</v>
      </c>
      <c r="J672">
        <v>2</v>
      </c>
      <c r="K672">
        <v>1</v>
      </c>
      <c r="L672">
        <v>1</v>
      </c>
      <c r="M672">
        <v>0</v>
      </c>
      <c r="N672">
        <v>0</v>
      </c>
      <c r="O672" s="1" t="s">
        <v>19</v>
      </c>
      <c r="P672" s="1" t="s">
        <v>135</v>
      </c>
      <c r="Q672">
        <v>618</v>
      </c>
      <c r="R672" s="1" t="s">
        <v>63</v>
      </c>
      <c r="S672">
        <v>4</v>
      </c>
      <c r="T672">
        <v>1</v>
      </c>
      <c r="U672">
        <v>2</v>
      </c>
      <c r="V672">
        <v>76</v>
      </c>
      <c r="W672">
        <v>3</v>
      </c>
      <c r="X672">
        <v>1</v>
      </c>
      <c r="Y672" s="1" t="s">
        <v>5</v>
      </c>
      <c r="Z672">
        <v>3</v>
      </c>
      <c r="AA672">
        <v>2318</v>
      </c>
      <c r="AB672">
        <v>17808</v>
      </c>
      <c r="AC672" s="1" t="s">
        <v>19</v>
      </c>
      <c r="AD672">
        <v>19</v>
      </c>
      <c r="AE672">
        <v>3</v>
      </c>
      <c r="AF672">
        <v>3</v>
      </c>
      <c r="AG672">
        <v>80</v>
      </c>
      <c r="AH672">
        <v>0</v>
      </c>
      <c r="AI672">
        <v>3</v>
      </c>
      <c r="AJ672">
        <v>0</v>
      </c>
      <c r="AK672" s="1" t="s">
        <v>136</v>
      </c>
    </row>
    <row r="673" spans="1:37" x14ac:dyDescent="0.25">
      <c r="A673">
        <v>934</v>
      </c>
      <c r="B673">
        <v>34</v>
      </c>
      <c r="C673" s="1" t="s">
        <v>25</v>
      </c>
      <c r="D673" s="1" t="s">
        <v>69</v>
      </c>
      <c r="E673">
        <v>3</v>
      </c>
      <c r="F673" s="1" t="s">
        <v>134</v>
      </c>
      <c r="G673">
        <v>1</v>
      </c>
      <c r="H673" s="1" t="s">
        <v>18</v>
      </c>
      <c r="I673">
        <v>1</v>
      </c>
      <c r="J673">
        <v>3</v>
      </c>
      <c r="K673">
        <v>1</v>
      </c>
      <c r="L673">
        <v>0</v>
      </c>
      <c r="M673">
        <v>1</v>
      </c>
      <c r="N673">
        <v>0</v>
      </c>
      <c r="O673" s="1" t="s">
        <v>19</v>
      </c>
      <c r="P673" s="1" t="s">
        <v>135</v>
      </c>
      <c r="Q673">
        <v>546</v>
      </c>
      <c r="R673" s="1" t="s">
        <v>63</v>
      </c>
      <c r="S673">
        <v>10</v>
      </c>
      <c r="T673">
        <v>1</v>
      </c>
      <c r="U673">
        <v>2</v>
      </c>
      <c r="V673">
        <v>83</v>
      </c>
      <c r="W673">
        <v>3</v>
      </c>
      <c r="X673">
        <v>1</v>
      </c>
      <c r="Y673" s="1" t="s">
        <v>6</v>
      </c>
      <c r="Z673">
        <v>2</v>
      </c>
      <c r="AA673">
        <v>2008</v>
      </c>
      <c r="AB673">
        <v>6896</v>
      </c>
      <c r="AC673" s="1" t="s">
        <v>19</v>
      </c>
      <c r="AD673">
        <v>14</v>
      </c>
      <c r="AE673">
        <v>3</v>
      </c>
      <c r="AF673">
        <v>2</v>
      </c>
      <c r="AG673">
        <v>80</v>
      </c>
      <c r="AH673">
        <v>2</v>
      </c>
      <c r="AI673">
        <v>3</v>
      </c>
      <c r="AJ673">
        <v>0</v>
      </c>
      <c r="AK673" s="1" t="s">
        <v>136</v>
      </c>
    </row>
    <row r="674" spans="1:37" x14ac:dyDescent="0.25">
      <c r="A674">
        <v>936</v>
      </c>
      <c r="B674">
        <v>42</v>
      </c>
      <c r="C674" s="1" t="s">
        <v>24</v>
      </c>
      <c r="D674" s="1" t="s">
        <v>71</v>
      </c>
      <c r="E674">
        <v>2</v>
      </c>
      <c r="F674" s="1" t="s">
        <v>139</v>
      </c>
      <c r="G674">
        <v>7</v>
      </c>
      <c r="H674" s="1" t="s">
        <v>18</v>
      </c>
      <c r="I674">
        <v>10</v>
      </c>
      <c r="J674">
        <v>6</v>
      </c>
      <c r="K674">
        <v>5</v>
      </c>
      <c r="L674">
        <v>4</v>
      </c>
      <c r="M674">
        <v>0</v>
      </c>
      <c r="N674">
        <v>3</v>
      </c>
      <c r="O674" s="1" t="s">
        <v>19</v>
      </c>
      <c r="P674" s="1" t="s">
        <v>135</v>
      </c>
      <c r="Q674">
        <v>462</v>
      </c>
      <c r="R674" s="1" t="s">
        <v>64</v>
      </c>
      <c r="S674">
        <v>14</v>
      </c>
      <c r="T674">
        <v>1</v>
      </c>
      <c r="U674">
        <v>3</v>
      </c>
      <c r="V674">
        <v>68</v>
      </c>
      <c r="W674">
        <v>2</v>
      </c>
      <c r="X674">
        <v>2</v>
      </c>
      <c r="Y674" s="1" t="s">
        <v>4</v>
      </c>
      <c r="Z674">
        <v>3</v>
      </c>
      <c r="AA674">
        <v>6244</v>
      </c>
      <c r="AB674">
        <v>7824</v>
      </c>
      <c r="AC674" s="1" t="s">
        <v>19</v>
      </c>
      <c r="AD674">
        <v>17</v>
      </c>
      <c r="AE674">
        <v>3</v>
      </c>
      <c r="AF674">
        <v>1</v>
      </c>
      <c r="AG674">
        <v>80</v>
      </c>
      <c r="AH674">
        <v>0</v>
      </c>
      <c r="AI674">
        <v>3</v>
      </c>
      <c r="AJ674">
        <v>0</v>
      </c>
      <c r="AK674" s="1" t="s">
        <v>136</v>
      </c>
    </row>
    <row r="675" spans="1:37" x14ac:dyDescent="0.25">
      <c r="A675">
        <v>939</v>
      </c>
      <c r="B675">
        <v>33</v>
      </c>
      <c r="C675" s="1" t="s">
        <v>25</v>
      </c>
      <c r="D675" s="1" t="s">
        <v>71</v>
      </c>
      <c r="E675">
        <v>4</v>
      </c>
      <c r="F675" s="1" t="s">
        <v>138</v>
      </c>
      <c r="G675">
        <v>3</v>
      </c>
      <c r="H675" s="1" t="s">
        <v>18</v>
      </c>
      <c r="I675">
        <v>6</v>
      </c>
      <c r="J675">
        <v>1</v>
      </c>
      <c r="K675">
        <v>3</v>
      </c>
      <c r="L675">
        <v>2</v>
      </c>
      <c r="M675">
        <v>0</v>
      </c>
      <c r="N675">
        <v>2</v>
      </c>
      <c r="O675" s="1" t="s">
        <v>19</v>
      </c>
      <c r="P675" s="1" t="s">
        <v>135</v>
      </c>
      <c r="Q675">
        <v>1198</v>
      </c>
      <c r="R675" s="1" t="s">
        <v>63</v>
      </c>
      <c r="S675">
        <v>1</v>
      </c>
      <c r="T675">
        <v>1</v>
      </c>
      <c r="U675">
        <v>3</v>
      </c>
      <c r="V675">
        <v>100</v>
      </c>
      <c r="W675">
        <v>2</v>
      </c>
      <c r="X675">
        <v>1</v>
      </c>
      <c r="Y675" s="1" t="s">
        <v>5</v>
      </c>
      <c r="Z675">
        <v>1</v>
      </c>
      <c r="AA675">
        <v>2799</v>
      </c>
      <c r="AB675">
        <v>3339</v>
      </c>
      <c r="AC675" s="1" t="s">
        <v>18</v>
      </c>
      <c r="AD675">
        <v>11</v>
      </c>
      <c r="AE675">
        <v>3</v>
      </c>
      <c r="AF675">
        <v>2</v>
      </c>
      <c r="AG675">
        <v>80</v>
      </c>
      <c r="AH675">
        <v>0</v>
      </c>
      <c r="AI675">
        <v>3</v>
      </c>
      <c r="AJ675">
        <v>0</v>
      </c>
      <c r="AK675" s="1" t="s">
        <v>136</v>
      </c>
    </row>
    <row r="676" spans="1:37" x14ac:dyDescent="0.25">
      <c r="A676">
        <v>940</v>
      </c>
      <c r="B676">
        <v>58</v>
      </c>
      <c r="C676" s="1" t="s">
        <v>24</v>
      </c>
      <c r="D676" s="1" t="s">
        <v>69</v>
      </c>
      <c r="E676">
        <v>3</v>
      </c>
      <c r="F676" s="1" t="s">
        <v>143</v>
      </c>
      <c r="G676">
        <v>2</v>
      </c>
      <c r="H676" s="1" t="s">
        <v>18</v>
      </c>
      <c r="I676">
        <v>24</v>
      </c>
      <c r="J676">
        <v>3</v>
      </c>
      <c r="K676">
        <v>6</v>
      </c>
      <c r="L676">
        <v>0</v>
      </c>
      <c r="M676">
        <v>0</v>
      </c>
      <c r="N676">
        <v>4</v>
      </c>
      <c r="O676" s="1" t="s">
        <v>19</v>
      </c>
      <c r="P676" s="1" t="s">
        <v>135</v>
      </c>
      <c r="Q676">
        <v>1272</v>
      </c>
      <c r="R676" s="1" t="s">
        <v>63</v>
      </c>
      <c r="S676">
        <v>5</v>
      </c>
      <c r="T676">
        <v>1</v>
      </c>
      <c r="U676">
        <v>3</v>
      </c>
      <c r="V676">
        <v>37</v>
      </c>
      <c r="W676">
        <v>2</v>
      </c>
      <c r="X676">
        <v>3</v>
      </c>
      <c r="Y676" s="1" t="s">
        <v>8</v>
      </c>
      <c r="Z676">
        <v>2</v>
      </c>
      <c r="AA676">
        <v>10552</v>
      </c>
      <c r="AB676">
        <v>9255</v>
      </c>
      <c r="AC676" s="1" t="s">
        <v>18</v>
      </c>
      <c r="AD676">
        <v>13</v>
      </c>
      <c r="AE676">
        <v>3</v>
      </c>
      <c r="AF676">
        <v>4</v>
      </c>
      <c r="AG676">
        <v>80</v>
      </c>
      <c r="AH676">
        <v>1</v>
      </c>
      <c r="AI676">
        <v>3</v>
      </c>
      <c r="AJ676">
        <v>0</v>
      </c>
      <c r="AK676" s="1" t="s">
        <v>140</v>
      </c>
    </row>
    <row r="677" spans="1:37" x14ac:dyDescent="0.25">
      <c r="A677">
        <v>941</v>
      </c>
      <c r="B677">
        <v>31</v>
      </c>
      <c r="C677" s="1" t="s">
        <v>25</v>
      </c>
      <c r="D677" s="1" t="s">
        <v>70</v>
      </c>
      <c r="E677">
        <v>4</v>
      </c>
      <c r="F677" s="1" t="s">
        <v>134</v>
      </c>
      <c r="G677">
        <v>3</v>
      </c>
      <c r="H677" s="1" t="s">
        <v>18</v>
      </c>
      <c r="I677">
        <v>13</v>
      </c>
      <c r="J677">
        <v>2</v>
      </c>
      <c r="K677">
        <v>7</v>
      </c>
      <c r="L677">
        <v>7</v>
      </c>
      <c r="M677">
        <v>5</v>
      </c>
      <c r="N677">
        <v>2</v>
      </c>
      <c r="O677" s="1" t="s">
        <v>19</v>
      </c>
      <c r="P677" s="1" t="s">
        <v>135</v>
      </c>
      <c r="Q677">
        <v>154</v>
      </c>
      <c r="R677" s="1" t="s">
        <v>64</v>
      </c>
      <c r="S677">
        <v>7</v>
      </c>
      <c r="T677">
        <v>1</v>
      </c>
      <c r="U677">
        <v>2</v>
      </c>
      <c r="V677">
        <v>41</v>
      </c>
      <c r="W677">
        <v>2</v>
      </c>
      <c r="X677">
        <v>1</v>
      </c>
      <c r="Y677" s="1" t="s">
        <v>10</v>
      </c>
      <c r="Z677">
        <v>3</v>
      </c>
      <c r="AA677">
        <v>2329</v>
      </c>
      <c r="AB677">
        <v>11737</v>
      </c>
      <c r="AC677" s="1" t="s">
        <v>19</v>
      </c>
      <c r="AD677">
        <v>15</v>
      </c>
      <c r="AE677">
        <v>3</v>
      </c>
      <c r="AF677">
        <v>2</v>
      </c>
      <c r="AG677">
        <v>80</v>
      </c>
      <c r="AH677">
        <v>0</v>
      </c>
      <c r="AI677">
        <v>4</v>
      </c>
      <c r="AJ677">
        <v>0</v>
      </c>
      <c r="AK677" s="1" t="s">
        <v>136</v>
      </c>
    </row>
    <row r="678" spans="1:37" x14ac:dyDescent="0.25">
      <c r="A678">
        <v>942</v>
      </c>
      <c r="B678">
        <v>35</v>
      </c>
      <c r="C678" s="1" t="s">
        <v>24</v>
      </c>
      <c r="D678" s="1" t="s">
        <v>70</v>
      </c>
      <c r="E678">
        <v>1</v>
      </c>
      <c r="F678" s="1" t="s">
        <v>134</v>
      </c>
      <c r="G678">
        <v>1</v>
      </c>
      <c r="H678" s="1" t="s">
        <v>18</v>
      </c>
      <c r="I678">
        <v>10</v>
      </c>
      <c r="J678">
        <v>2</v>
      </c>
      <c r="K678">
        <v>10</v>
      </c>
      <c r="L678">
        <v>6</v>
      </c>
      <c r="M678">
        <v>0</v>
      </c>
      <c r="N678">
        <v>7</v>
      </c>
      <c r="O678" s="1" t="s">
        <v>19</v>
      </c>
      <c r="P678" s="1" t="s">
        <v>135</v>
      </c>
      <c r="Q678">
        <v>1137</v>
      </c>
      <c r="R678" s="1" t="s">
        <v>63</v>
      </c>
      <c r="S678">
        <v>21</v>
      </c>
      <c r="T678">
        <v>1</v>
      </c>
      <c r="U678">
        <v>4</v>
      </c>
      <c r="V678">
        <v>51</v>
      </c>
      <c r="W678">
        <v>3</v>
      </c>
      <c r="X678">
        <v>2</v>
      </c>
      <c r="Y678" s="1" t="s">
        <v>8</v>
      </c>
      <c r="Z678">
        <v>4</v>
      </c>
      <c r="AA678">
        <v>4014</v>
      </c>
      <c r="AB678">
        <v>19170</v>
      </c>
      <c r="AC678" s="1" t="s">
        <v>18</v>
      </c>
      <c r="AD678">
        <v>25</v>
      </c>
      <c r="AE678">
        <v>4</v>
      </c>
      <c r="AF678">
        <v>4</v>
      </c>
      <c r="AG678">
        <v>80</v>
      </c>
      <c r="AH678">
        <v>1</v>
      </c>
      <c r="AI678">
        <v>1</v>
      </c>
      <c r="AJ678">
        <v>0</v>
      </c>
      <c r="AK678" s="1" t="s">
        <v>136</v>
      </c>
    </row>
    <row r="679" spans="1:37" x14ac:dyDescent="0.25">
      <c r="A679">
        <v>944</v>
      </c>
      <c r="B679">
        <v>49</v>
      </c>
      <c r="C679" s="1" t="s">
        <v>24</v>
      </c>
      <c r="D679" s="1" t="s">
        <v>70</v>
      </c>
      <c r="E679">
        <v>2</v>
      </c>
      <c r="F679" s="1" t="s">
        <v>138</v>
      </c>
      <c r="G679">
        <v>4</v>
      </c>
      <c r="H679" s="1" t="s">
        <v>18</v>
      </c>
      <c r="I679">
        <v>29</v>
      </c>
      <c r="J679">
        <v>3</v>
      </c>
      <c r="K679">
        <v>26</v>
      </c>
      <c r="L679">
        <v>9</v>
      </c>
      <c r="M679">
        <v>1</v>
      </c>
      <c r="N679">
        <v>7</v>
      </c>
      <c r="O679" s="1" t="s">
        <v>19</v>
      </c>
      <c r="P679" s="1" t="s">
        <v>135</v>
      </c>
      <c r="Q679">
        <v>527</v>
      </c>
      <c r="R679" s="1" t="s">
        <v>63</v>
      </c>
      <c r="S679">
        <v>8</v>
      </c>
      <c r="T679">
        <v>1</v>
      </c>
      <c r="U679">
        <v>1</v>
      </c>
      <c r="V679">
        <v>51</v>
      </c>
      <c r="W679">
        <v>3</v>
      </c>
      <c r="X679">
        <v>3</v>
      </c>
      <c r="Y679" s="1" t="s">
        <v>6</v>
      </c>
      <c r="Z679">
        <v>2</v>
      </c>
      <c r="AA679">
        <v>7403</v>
      </c>
      <c r="AB679">
        <v>22477</v>
      </c>
      <c r="AC679" s="1" t="s">
        <v>19</v>
      </c>
      <c r="AD679">
        <v>11</v>
      </c>
      <c r="AE679">
        <v>3</v>
      </c>
      <c r="AF679">
        <v>3</v>
      </c>
      <c r="AG679">
        <v>80</v>
      </c>
      <c r="AH679">
        <v>1</v>
      </c>
      <c r="AI679">
        <v>2</v>
      </c>
      <c r="AJ679">
        <v>0</v>
      </c>
      <c r="AK679" s="1" t="s">
        <v>136</v>
      </c>
    </row>
    <row r="680" spans="1:37" x14ac:dyDescent="0.25">
      <c r="A680">
        <v>945</v>
      </c>
      <c r="B680">
        <v>48</v>
      </c>
      <c r="C680" s="1" t="s">
        <v>25</v>
      </c>
      <c r="D680" s="1" t="s">
        <v>70</v>
      </c>
      <c r="E680">
        <v>4</v>
      </c>
      <c r="F680" s="1" t="s">
        <v>139</v>
      </c>
      <c r="G680">
        <v>4</v>
      </c>
      <c r="H680" s="1" t="s">
        <v>18</v>
      </c>
      <c r="I680">
        <v>13</v>
      </c>
      <c r="J680">
        <v>2</v>
      </c>
      <c r="K680">
        <v>0</v>
      </c>
      <c r="L680">
        <v>0</v>
      </c>
      <c r="M680">
        <v>0</v>
      </c>
      <c r="N680">
        <v>0</v>
      </c>
      <c r="O680" s="1" t="s">
        <v>19</v>
      </c>
      <c r="P680" s="1" t="s">
        <v>135</v>
      </c>
      <c r="Q680">
        <v>1469</v>
      </c>
      <c r="R680" s="1" t="s">
        <v>63</v>
      </c>
      <c r="S680">
        <v>20</v>
      </c>
      <c r="T680">
        <v>1</v>
      </c>
      <c r="U680">
        <v>4</v>
      </c>
      <c r="V680">
        <v>51</v>
      </c>
      <c r="W680">
        <v>3</v>
      </c>
      <c r="X680">
        <v>1</v>
      </c>
      <c r="Y680" s="1" t="s">
        <v>5</v>
      </c>
      <c r="Z680">
        <v>3</v>
      </c>
      <c r="AA680">
        <v>2259</v>
      </c>
      <c r="AB680">
        <v>5543</v>
      </c>
      <c r="AC680" s="1" t="s">
        <v>19</v>
      </c>
      <c r="AD680">
        <v>17</v>
      </c>
      <c r="AE680">
        <v>3</v>
      </c>
      <c r="AF680">
        <v>1</v>
      </c>
      <c r="AG680">
        <v>80</v>
      </c>
      <c r="AH680">
        <v>2</v>
      </c>
      <c r="AI680">
        <v>2</v>
      </c>
      <c r="AJ680">
        <v>0</v>
      </c>
      <c r="AK680" s="1" t="s">
        <v>136</v>
      </c>
    </row>
    <row r="681" spans="1:37" x14ac:dyDescent="0.25">
      <c r="A681">
        <v>947</v>
      </c>
      <c r="B681">
        <v>31</v>
      </c>
      <c r="C681" s="1" t="s">
        <v>24</v>
      </c>
      <c r="D681" s="1" t="s">
        <v>70</v>
      </c>
      <c r="E681">
        <v>2</v>
      </c>
      <c r="F681" s="1" t="s">
        <v>142</v>
      </c>
      <c r="G681">
        <v>1</v>
      </c>
      <c r="H681" s="1" t="s">
        <v>18</v>
      </c>
      <c r="I681">
        <v>9</v>
      </c>
      <c r="J681">
        <v>2</v>
      </c>
      <c r="K681">
        <v>9</v>
      </c>
      <c r="L681">
        <v>8</v>
      </c>
      <c r="M681">
        <v>0</v>
      </c>
      <c r="N681">
        <v>0</v>
      </c>
      <c r="O681" s="1" t="s">
        <v>19</v>
      </c>
      <c r="P681" s="1" t="s">
        <v>141</v>
      </c>
      <c r="Q681">
        <v>1188</v>
      </c>
      <c r="R681" s="1" t="s">
        <v>64</v>
      </c>
      <c r="S681">
        <v>20</v>
      </c>
      <c r="T681">
        <v>1</v>
      </c>
      <c r="U681">
        <v>4</v>
      </c>
      <c r="V681">
        <v>45</v>
      </c>
      <c r="W681">
        <v>3</v>
      </c>
      <c r="X681">
        <v>2</v>
      </c>
      <c r="Y681" s="1" t="s">
        <v>4</v>
      </c>
      <c r="Z681">
        <v>3</v>
      </c>
      <c r="AA681">
        <v>6932</v>
      </c>
      <c r="AB681">
        <v>24406</v>
      </c>
      <c r="AC681" s="1" t="s">
        <v>19</v>
      </c>
      <c r="AD681">
        <v>13</v>
      </c>
      <c r="AE681">
        <v>3</v>
      </c>
      <c r="AF681">
        <v>4</v>
      </c>
      <c r="AG681">
        <v>80</v>
      </c>
      <c r="AH681">
        <v>1</v>
      </c>
      <c r="AI681">
        <v>2</v>
      </c>
      <c r="AJ681">
        <v>0</v>
      </c>
      <c r="AK681" s="1" t="s">
        <v>136</v>
      </c>
    </row>
    <row r="682" spans="1:37" x14ac:dyDescent="0.25">
      <c r="A682">
        <v>949</v>
      </c>
      <c r="B682">
        <v>36</v>
      </c>
      <c r="C682" s="1" t="s">
        <v>25</v>
      </c>
      <c r="D682" s="1" t="s">
        <v>71</v>
      </c>
      <c r="E682">
        <v>4</v>
      </c>
      <c r="F682" s="1" t="s">
        <v>138</v>
      </c>
      <c r="G682">
        <v>2</v>
      </c>
      <c r="H682" s="1" t="s">
        <v>18</v>
      </c>
      <c r="I682">
        <v>8</v>
      </c>
      <c r="J682">
        <v>6</v>
      </c>
      <c r="K682">
        <v>6</v>
      </c>
      <c r="L682">
        <v>2</v>
      </c>
      <c r="M682">
        <v>0</v>
      </c>
      <c r="N682">
        <v>1</v>
      </c>
      <c r="O682" s="1" t="s">
        <v>19</v>
      </c>
      <c r="P682" s="1" t="s">
        <v>135</v>
      </c>
      <c r="Q682">
        <v>188</v>
      </c>
      <c r="R682" s="1" t="s">
        <v>63</v>
      </c>
      <c r="S682">
        <v>7</v>
      </c>
      <c r="T682">
        <v>1</v>
      </c>
      <c r="U682">
        <v>2</v>
      </c>
      <c r="V682">
        <v>65</v>
      </c>
      <c r="W682">
        <v>3</v>
      </c>
      <c r="X682">
        <v>1</v>
      </c>
      <c r="Y682" s="1" t="s">
        <v>5</v>
      </c>
      <c r="Z682">
        <v>4</v>
      </c>
      <c r="AA682">
        <v>4678</v>
      </c>
      <c r="AB682">
        <v>23293</v>
      </c>
      <c r="AC682" s="1" t="s">
        <v>19</v>
      </c>
      <c r="AD682">
        <v>18</v>
      </c>
      <c r="AE682">
        <v>3</v>
      </c>
      <c r="AF682">
        <v>3</v>
      </c>
      <c r="AG682">
        <v>80</v>
      </c>
      <c r="AH682">
        <v>0</v>
      </c>
      <c r="AI682">
        <v>3</v>
      </c>
      <c r="AJ682">
        <v>0</v>
      </c>
      <c r="AK682" s="1" t="s">
        <v>136</v>
      </c>
    </row>
    <row r="683" spans="1:37" x14ac:dyDescent="0.25">
      <c r="A683">
        <v>950</v>
      </c>
      <c r="B683">
        <v>38</v>
      </c>
      <c r="C683" s="1" t="s">
        <v>24</v>
      </c>
      <c r="D683" s="1" t="s">
        <v>70</v>
      </c>
      <c r="E683">
        <v>3</v>
      </c>
      <c r="F683" s="1" t="s">
        <v>143</v>
      </c>
      <c r="G683">
        <v>1</v>
      </c>
      <c r="H683" s="1" t="s">
        <v>18</v>
      </c>
      <c r="I683">
        <v>15</v>
      </c>
      <c r="J683">
        <v>3</v>
      </c>
      <c r="K683">
        <v>15</v>
      </c>
      <c r="L683">
        <v>12</v>
      </c>
      <c r="M683">
        <v>5</v>
      </c>
      <c r="N683">
        <v>11</v>
      </c>
      <c r="O683" s="1" t="s">
        <v>19</v>
      </c>
      <c r="P683" s="1" t="s">
        <v>135</v>
      </c>
      <c r="Q683">
        <v>1333</v>
      </c>
      <c r="R683" s="1" t="s">
        <v>63</v>
      </c>
      <c r="S683">
        <v>1</v>
      </c>
      <c r="T683">
        <v>1</v>
      </c>
      <c r="U683">
        <v>4</v>
      </c>
      <c r="V683">
        <v>80</v>
      </c>
      <c r="W683">
        <v>3</v>
      </c>
      <c r="X683">
        <v>3</v>
      </c>
      <c r="Y683" s="1" t="s">
        <v>11</v>
      </c>
      <c r="Z683">
        <v>1</v>
      </c>
      <c r="AA683">
        <v>13582</v>
      </c>
      <c r="AB683">
        <v>16292</v>
      </c>
      <c r="AC683" s="1" t="s">
        <v>19</v>
      </c>
      <c r="AD683">
        <v>13</v>
      </c>
      <c r="AE683">
        <v>3</v>
      </c>
      <c r="AF683">
        <v>2</v>
      </c>
      <c r="AG683">
        <v>80</v>
      </c>
      <c r="AH683">
        <v>1</v>
      </c>
      <c r="AI683">
        <v>3</v>
      </c>
      <c r="AJ683">
        <v>0</v>
      </c>
      <c r="AK683" s="1" t="s">
        <v>136</v>
      </c>
    </row>
    <row r="684" spans="1:37" x14ac:dyDescent="0.25">
      <c r="A684">
        <v>951</v>
      </c>
      <c r="B684">
        <v>32</v>
      </c>
      <c r="C684" s="1" t="s">
        <v>24</v>
      </c>
      <c r="D684" s="1" t="s">
        <v>70</v>
      </c>
      <c r="E684">
        <v>3</v>
      </c>
      <c r="F684" s="1" t="s">
        <v>134</v>
      </c>
      <c r="G684">
        <v>6</v>
      </c>
      <c r="H684" s="1" t="s">
        <v>18</v>
      </c>
      <c r="I684">
        <v>5</v>
      </c>
      <c r="J684">
        <v>3</v>
      </c>
      <c r="K684">
        <v>3</v>
      </c>
      <c r="L684">
        <v>0</v>
      </c>
      <c r="M684">
        <v>0</v>
      </c>
      <c r="N684">
        <v>2</v>
      </c>
      <c r="O684" s="1" t="s">
        <v>19</v>
      </c>
      <c r="P684" s="1" t="s">
        <v>141</v>
      </c>
      <c r="Q684">
        <v>1184</v>
      </c>
      <c r="R684" s="1" t="s">
        <v>63</v>
      </c>
      <c r="S684">
        <v>1</v>
      </c>
      <c r="T684">
        <v>1</v>
      </c>
      <c r="U684">
        <v>3</v>
      </c>
      <c r="V684">
        <v>70</v>
      </c>
      <c r="W684">
        <v>2</v>
      </c>
      <c r="X684">
        <v>1</v>
      </c>
      <c r="Y684" s="1" t="s">
        <v>6</v>
      </c>
      <c r="Z684">
        <v>2</v>
      </c>
      <c r="AA684">
        <v>2332</v>
      </c>
      <c r="AB684">
        <v>3974</v>
      </c>
      <c r="AC684" s="1" t="s">
        <v>19</v>
      </c>
      <c r="AD684">
        <v>20</v>
      </c>
      <c r="AE684">
        <v>4</v>
      </c>
      <c r="AF684">
        <v>3</v>
      </c>
      <c r="AG684">
        <v>80</v>
      </c>
      <c r="AH684">
        <v>0</v>
      </c>
      <c r="AI684">
        <v>3</v>
      </c>
      <c r="AJ684">
        <v>0</v>
      </c>
      <c r="AK684" s="1" t="s">
        <v>136</v>
      </c>
    </row>
    <row r="685" spans="1:37" x14ac:dyDescent="0.25">
      <c r="A685">
        <v>952</v>
      </c>
      <c r="B685">
        <v>25</v>
      </c>
      <c r="C685" s="1" t="s">
        <v>25</v>
      </c>
      <c r="D685" s="1" t="s">
        <v>70</v>
      </c>
      <c r="E685">
        <v>2</v>
      </c>
      <c r="F685" s="1" t="s">
        <v>142</v>
      </c>
      <c r="G685">
        <v>1</v>
      </c>
      <c r="H685" s="1" t="s">
        <v>18</v>
      </c>
      <c r="I685">
        <v>1</v>
      </c>
      <c r="J685">
        <v>2</v>
      </c>
      <c r="K685">
        <v>1</v>
      </c>
      <c r="L685">
        <v>0</v>
      </c>
      <c r="M685">
        <v>0</v>
      </c>
      <c r="N685">
        <v>0</v>
      </c>
      <c r="O685" s="1" t="s">
        <v>18</v>
      </c>
      <c r="P685" s="1" t="s">
        <v>135</v>
      </c>
      <c r="Q685">
        <v>867</v>
      </c>
      <c r="R685" s="1" t="s">
        <v>64</v>
      </c>
      <c r="S685">
        <v>19</v>
      </c>
      <c r="T685">
        <v>1</v>
      </c>
      <c r="U685">
        <v>3</v>
      </c>
      <c r="V685">
        <v>36</v>
      </c>
      <c r="W685">
        <v>2</v>
      </c>
      <c r="X685">
        <v>1</v>
      </c>
      <c r="Y685" s="1" t="s">
        <v>10</v>
      </c>
      <c r="Z685">
        <v>2</v>
      </c>
      <c r="AA685">
        <v>2413</v>
      </c>
      <c r="AB685">
        <v>18798</v>
      </c>
      <c r="AC685" s="1" t="s">
        <v>18</v>
      </c>
      <c r="AD685">
        <v>18</v>
      </c>
      <c r="AE685">
        <v>3</v>
      </c>
      <c r="AF685">
        <v>3</v>
      </c>
      <c r="AG685">
        <v>80</v>
      </c>
      <c r="AH685">
        <v>3</v>
      </c>
      <c r="AI685">
        <v>3</v>
      </c>
      <c r="AJ685">
        <v>1</v>
      </c>
      <c r="AK685" s="1" t="s">
        <v>136</v>
      </c>
    </row>
    <row r="686" spans="1:37" x14ac:dyDescent="0.25">
      <c r="A686">
        <v>954</v>
      </c>
      <c r="B686">
        <v>40</v>
      </c>
      <c r="C686" s="1" t="s">
        <v>25</v>
      </c>
      <c r="D686" s="1" t="s">
        <v>69</v>
      </c>
      <c r="E686">
        <v>4</v>
      </c>
      <c r="F686" s="1" t="s">
        <v>142</v>
      </c>
      <c r="G686">
        <v>2</v>
      </c>
      <c r="H686" s="1" t="s">
        <v>18</v>
      </c>
      <c r="I686">
        <v>11</v>
      </c>
      <c r="J686">
        <v>2</v>
      </c>
      <c r="K686">
        <v>1</v>
      </c>
      <c r="L686">
        <v>0</v>
      </c>
      <c r="M686">
        <v>0</v>
      </c>
      <c r="N686">
        <v>0</v>
      </c>
      <c r="O686" s="1" t="s">
        <v>19</v>
      </c>
      <c r="P686" s="1" t="s">
        <v>135</v>
      </c>
      <c r="Q686">
        <v>658</v>
      </c>
      <c r="R686" s="1" t="s">
        <v>64</v>
      </c>
      <c r="S686">
        <v>10</v>
      </c>
      <c r="T686">
        <v>1</v>
      </c>
      <c r="U686">
        <v>1</v>
      </c>
      <c r="V686">
        <v>67</v>
      </c>
      <c r="W686">
        <v>2</v>
      </c>
      <c r="X686">
        <v>3</v>
      </c>
      <c r="Y686" s="1" t="s">
        <v>4</v>
      </c>
      <c r="Z686">
        <v>2</v>
      </c>
      <c r="AA686">
        <v>9705</v>
      </c>
      <c r="AB686">
        <v>20652</v>
      </c>
      <c r="AC686" s="1" t="s">
        <v>19</v>
      </c>
      <c r="AD686">
        <v>12</v>
      </c>
      <c r="AE686">
        <v>3</v>
      </c>
      <c r="AF686">
        <v>2</v>
      </c>
      <c r="AG686">
        <v>80</v>
      </c>
      <c r="AH686">
        <v>1</v>
      </c>
      <c r="AI686">
        <v>2</v>
      </c>
      <c r="AJ686">
        <v>0</v>
      </c>
      <c r="AK686" s="1" t="s">
        <v>136</v>
      </c>
    </row>
    <row r="687" spans="1:37" x14ac:dyDescent="0.25">
      <c r="A687">
        <v>956</v>
      </c>
      <c r="B687">
        <v>26</v>
      </c>
      <c r="C687" s="1" t="s">
        <v>25</v>
      </c>
      <c r="D687" s="1" t="s">
        <v>71</v>
      </c>
      <c r="E687">
        <v>3</v>
      </c>
      <c r="F687" s="1" t="s">
        <v>139</v>
      </c>
      <c r="G687">
        <v>1</v>
      </c>
      <c r="H687" s="1" t="s">
        <v>18</v>
      </c>
      <c r="I687">
        <v>7</v>
      </c>
      <c r="J687">
        <v>2</v>
      </c>
      <c r="K687">
        <v>7</v>
      </c>
      <c r="L687">
        <v>7</v>
      </c>
      <c r="M687">
        <v>0</v>
      </c>
      <c r="N687">
        <v>7</v>
      </c>
      <c r="O687" s="1" t="s">
        <v>19</v>
      </c>
      <c r="P687" s="1" t="s">
        <v>137</v>
      </c>
      <c r="Q687">
        <v>1283</v>
      </c>
      <c r="R687" s="1" t="s">
        <v>64</v>
      </c>
      <c r="S687">
        <v>1</v>
      </c>
      <c r="T687">
        <v>1</v>
      </c>
      <c r="U687">
        <v>3</v>
      </c>
      <c r="V687">
        <v>52</v>
      </c>
      <c r="W687">
        <v>2</v>
      </c>
      <c r="X687">
        <v>2</v>
      </c>
      <c r="Y687" s="1" t="s">
        <v>4</v>
      </c>
      <c r="Z687">
        <v>1</v>
      </c>
      <c r="AA687">
        <v>4294</v>
      </c>
      <c r="AB687">
        <v>11148</v>
      </c>
      <c r="AC687" s="1" t="s">
        <v>19</v>
      </c>
      <c r="AD687">
        <v>12</v>
      </c>
      <c r="AE687">
        <v>3</v>
      </c>
      <c r="AF687">
        <v>2</v>
      </c>
      <c r="AG687">
        <v>80</v>
      </c>
      <c r="AH687">
        <v>0</v>
      </c>
      <c r="AI687">
        <v>3</v>
      </c>
      <c r="AJ687">
        <v>0</v>
      </c>
      <c r="AK687" s="1" t="s">
        <v>136</v>
      </c>
    </row>
    <row r="688" spans="1:37" x14ac:dyDescent="0.25">
      <c r="A688">
        <v>957</v>
      </c>
      <c r="B688">
        <v>41</v>
      </c>
      <c r="C688" s="1" t="s">
        <v>25</v>
      </c>
      <c r="D688" s="1" t="s">
        <v>71</v>
      </c>
      <c r="E688">
        <v>3</v>
      </c>
      <c r="F688" s="1" t="s">
        <v>139</v>
      </c>
      <c r="G688">
        <v>2</v>
      </c>
      <c r="H688" s="1" t="s">
        <v>18</v>
      </c>
      <c r="I688">
        <v>20</v>
      </c>
      <c r="J688">
        <v>3</v>
      </c>
      <c r="K688">
        <v>18</v>
      </c>
      <c r="L688">
        <v>13</v>
      </c>
      <c r="M688">
        <v>2</v>
      </c>
      <c r="N688">
        <v>17</v>
      </c>
      <c r="O688" s="1" t="s">
        <v>19</v>
      </c>
      <c r="P688" s="1" t="s">
        <v>135</v>
      </c>
      <c r="Q688">
        <v>263</v>
      </c>
      <c r="R688" s="1" t="s">
        <v>63</v>
      </c>
      <c r="S688">
        <v>6</v>
      </c>
      <c r="T688">
        <v>1</v>
      </c>
      <c r="U688">
        <v>4</v>
      </c>
      <c r="V688">
        <v>59</v>
      </c>
      <c r="W688">
        <v>3</v>
      </c>
      <c r="X688">
        <v>1</v>
      </c>
      <c r="Y688" s="1" t="s">
        <v>6</v>
      </c>
      <c r="Z688">
        <v>1</v>
      </c>
      <c r="AA688">
        <v>4721</v>
      </c>
      <c r="AB688">
        <v>3119</v>
      </c>
      <c r="AC688" s="1" t="s">
        <v>18</v>
      </c>
      <c r="AD688">
        <v>13</v>
      </c>
      <c r="AE688">
        <v>3</v>
      </c>
      <c r="AF688">
        <v>3</v>
      </c>
      <c r="AG688">
        <v>80</v>
      </c>
      <c r="AH688">
        <v>0</v>
      </c>
      <c r="AI688">
        <v>3</v>
      </c>
      <c r="AJ688">
        <v>0</v>
      </c>
      <c r="AK688" s="1" t="s">
        <v>136</v>
      </c>
    </row>
    <row r="689" spans="1:37" x14ac:dyDescent="0.25">
      <c r="A689">
        <v>958</v>
      </c>
      <c r="B689">
        <v>36</v>
      </c>
      <c r="C689" s="1" t="s">
        <v>25</v>
      </c>
      <c r="D689" s="1" t="s">
        <v>71</v>
      </c>
      <c r="E689">
        <v>4</v>
      </c>
      <c r="F689" s="1" t="s">
        <v>139</v>
      </c>
      <c r="G689">
        <v>4</v>
      </c>
      <c r="H689" s="1" t="s">
        <v>18</v>
      </c>
      <c r="I689">
        <v>16</v>
      </c>
      <c r="J689">
        <v>6</v>
      </c>
      <c r="K689">
        <v>11</v>
      </c>
      <c r="L689">
        <v>8</v>
      </c>
      <c r="M689">
        <v>3</v>
      </c>
      <c r="N689">
        <v>9</v>
      </c>
      <c r="O689" s="1" t="s">
        <v>19</v>
      </c>
      <c r="P689" s="1" t="s">
        <v>135</v>
      </c>
      <c r="Q689">
        <v>938</v>
      </c>
      <c r="R689" s="1" t="s">
        <v>63</v>
      </c>
      <c r="S689">
        <v>2</v>
      </c>
      <c r="T689">
        <v>1</v>
      </c>
      <c r="U689">
        <v>3</v>
      </c>
      <c r="V689">
        <v>79</v>
      </c>
      <c r="W689">
        <v>3</v>
      </c>
      <c r="X689">
        <v>1</v>
      </c>
      <c r="Y689" s="1" t="s">
        <v>6</v>
      </c>
      <c r="Z689">
        <v>3</v>
      </c>
      <c r="AA689">
        <v>2519</v>
      </c>
      <c r="AB689">
        <v>12287</v>
      </c>
      <c r="AC689" s="1" t="s">
        <v>19</v>
      </c>
      <c r="AD689">
        <v>21</v>
      </c>
      <c r="AE689">
        <v>4</v>
      </c>
      <c r="AF689">
        <v>3</v>
      </c>
      <c r="AG689">
        <v>80</v>
      </c>
      <c r="AH689">
        <v>0</v>
      </c>
      <c r="AI689">
        <v>3</v>
      </c>
      <c r="AJ689">
        <v>0</v>
      </c>
      <c r="AK689" s="1" t="s">
        <v>136</v>
      </c>
    </row>
    <row r="690" spans="1:37" x14ac:dyDescent="0.25">
      <c r="A690">
        <v>959</v>
      </c>
      <c r="B690">
        <v>19</v>
      </c>
      <c r="C690" s="1" t="s">
        <v>25</v>
      </c>
      <c r="D690" s="1" t="s">
        <v>71</v>
      </c>
      <c r="E690">
        <v>3</v>
      </c>
      <c r="F690" s="1" t="s">
        <v>138</v>
      </c>
      <c r="G690">
        <v>1</v>
      </c>
      <c r="H690" s="1" t="s">
        <v>18</v>
      </c>
      <c r="I690">
        <v>1</v>
      </c>
      <c r="J690">
        <v>3</v>
      </c>
      <c r="K690">
        <v>1</v>
      </c>
      <c r="L690">
        <v>0</v>
      </c>
      <c r="M690">
        <v>0</v>
      </c>
      <c r="N690">
        <v>0</v>
      </c>
      <c r="O690" s="1" t="s">
        <v>18</v>
      </c>
      <c r="P690" s="1" t="s">
        <v>135</v>
      </c>
      <c r="Q690">
        <v>419</v>
      </c>
      <c r="R690" s="1" t="s">
        <v>64</v>
      </c>
      <c r="S690">
        <v>21</v>
      </c>
      <c r="T690">
        <v>1</v>
      </c>
      <c r="U690">
        <v>4</v>
      </c>
      <c r="V690">
        <v>37</v>
      </c>
      <c r="W690">
        <v>2</v>
      </c>
      <c r="X690">
        <v>1</v>
      </c>
      <c r="Y690" s="1" t="s">
        <v>10</v>
      </c>
      <c r="Z690">
        <v>2</v>
      </c>
      <c r="AA690">
        <v>2121</v>
      </c>
      <c r="AB690">
        <v>9947</v>
      </c>
      <c r="AC690" s="1" t="s">
        <v>18</v>
      </c>
      <c r="AD690">
        <v>13</v>
      </c>
      <c r="AE690">
        <v>3</v>
      </c>
      <c r="AF690">
        <v>2</v>
      </c>
      <c r="AG690">
        <v>80</v>
      </c>
      <c r="AH690">
        <v>0</v>
      </c>
      <c r="AI690">
        <v>4</v>
      </c>
      <c r="AJ690">
        <v>1</v>
      </c>
      <c r="AK690" s="1" t="s">
        <v>136</v>
      </c>
    </row>
    <row r="691" spans="1:37" x14ac:dyDescent="0.25">
      <c r="A691">
        <v>960</v>
      </c>
      <c r="B691">
        <v>20</v>
      </c>
      <c r="C691" s="1" t="s">
        <v>25</v>
      </c>
      <c r="D691" s="1" t="s">
        <v>71</v>
      </c>
      <c r="E691">
        <v>3</v>
      </c>
      <c r="F691" s="1" t="s">
        <v>143</v>
      </c>
      <c r="G691">
        <v>1</v>
      </c>
      <c r="H691" s="1" t="s">
        <v>18</v>
      </c>
      <c r="I691">
        <v>1</v>
      </c>
      <c r="J691">
        <v>2</v>
      </c>
      <c r="K691">
        <v>1</v>
      </c>
      <c r="L691">
        <v>0</v>
      </c>
      <c r="M691">
        <v>0</v>
      </c>
      <c r="N691">
        <v>0</v>
      </c>
      <c r="O691" s="1" t="s">
        <v>18</v>
      </c>
      <c r="P691" s="1" t="s">
        <v>135</v>
      </c>
      <c r="Q691">
        <v>129</v>
      </c>
      <c r="R691" s="1" t="s">
        <v>63</v>
      </c>
      <c r="S691">
        <v>4</v>
      </c>
      <c r="T691">
        <v>1</v>
      </c>
      <c r="U691">
        <v>1</v>
      </c>
      <c r="V691">
        <v>84</v>
      </c>
      <c r="W691">
        <v>3</v>
      </c>
      <c r="X691">
        <v>1</v>
      </c>
      <c r="Y691" s="1" t="s">
        <v>6</v>
      </c>
      <c r="Z691">
        <v>1</v>
      </c>
      <c r="AA691">
        <v>2973</v>
      </c>
      <c r="AB691">
        <v>13008</v>
      </c>
      <c r="AC691" s="1" t="s">
        <v>19</v>
      </c>
      <c r="AD691">
        <v>19</v>
      </c>
      <c r="AE691">
        <v>3</v>
      </c>
      <c r="AF691">
        <v>2</v>
      </c>
      <c r="AG691">
        <v>80</v>
      </c>
      <c r="AH691">
        <v>0</v>
      </c>
      <c r="AI691">
        <v>3</v>
      </c>
      <c r="AJ691">
        <v>1</v>
      </c>
      <c r="AK691" s="1" t="s">
        <v>136</v>
      </c>
    </row>
    <row r="692" spans="1:37" x14ac:dyDescent="0.25">
      <c r="A692">
        <v>961</v>
      </c>
      <c r="B692">
        <v>31</v>
      </c>
      <c r="C692" s="1" t="s">
        <v>24</v>
      </c>
      <c r="D692" s="1" t="s">
        <v>70</v>
      </c>
      <c r="E692">
        <v>3</v>
      </c>
      <c r="F692" s="1" t="s">
        <v>139</v>
      </c>
      <c r="G692">
        <v>0</v>
      </c>
      <c r="H692" s="1" t="s">
        <v>18</v>
      </c>
      <c r="I692">
        <v>10</v>
      </c>
      <c r="J692">
        <v>2</v>
      </c>
      <c r="K692">
        <v>9</v>
      </c>
      <c r="L692">
        <v>7</v>
      </c>
      <c r="M692">
        <v>8</v>
      </c>
      <c r="N692">
        <v>5</v>
      </c>
      <c r="O692" s="1" t="s">
        <v>19</v>
      </c>
      <c r="P692" s="1" t="s">
        <v>135</v>
      </c>
      <c r="Q692">
        <v>616</v>
      </c>
      <c r="R692" s="1" t="s">
        <v>63</v>
      </c>
      <c r="S692">
        <v>12</v>
      </c>
      <c r="T692">
        <v>1</v>
      </c>
      <c r="U692">
        <v>4</v>
      </c>
      <c r="V692">
        <v>41</v>
      </c>
      <c r="W692">
        <v>3</v>
      </c>
      <c r="X692">
        <v>2</v>
      </c>
      <c r="Y692" s="1" t="s">
        <v>8</v>
      </c>
      <c r="Z692">
        <v>4</v>
      </c>
      <c r="AA692">
        <v>5855</v>
      </c>
      <c r="AB692">
        <v>17369</v>
      </c>
      <c r="AC692" s="1" t="s">
        <v>18</v>
      </c>
      <c r="AD692">
        <v>11</v>
      </c>
      <c r="AE692">
        <v>3</v>
      </c>
      <c r="AF692">
        <v>3</v>
      </c>
      <c r="AG692">
        <v>80</v>
      </c>
      <c r="AH692">
        <v>2</v>
      </c>
      <c r="AI692">
        <v>1</v>
      </c>
      <c r="AJ692">
        <v>0</v>
      </c>
      <c r="AK692" s="1" t="s">
        <v>136</v>
      </c>
    </row>
    <row r="693" spans="1:37" x14ac:dyDescent="0.25">
      <c r="A693">
        <v>964</v>
      </c>
      <c r="B693">
        <v>40</v>
      </c>
      <c r="C693" s="1" t="s">
        <v>25</v>
      </c>
      <c r="D693" s="1" t="s">
        <v>69</v>
      </c>
      <c r="E693">
        <v>4</v>
      </c>
      <c r="F693" s="1" t="s">
        <v>139</v>
      </c>
      <c r="G693">
        <v>8</v>
      </c>
      <c r="H693" s="1" t="s">
        <v>18</v>
      </c>
      <c r="I693">
        <v>3</v>
      </c>
      <c r="J693">
        <v>2</v>
      </c>
      <c r="K693">
        <v>1</v>
      </c>
      <c r="L693">
        <v>1</v>
      </c>
      <c r="M693">
        <v>0</v>
      </c>
      <c r="N693">
        <v>0</v>
      </c>
      <c r="O693" s="1" t="s">
        <v>19</v>
      </c>
      <c r="P693" s="1" t="s">
        <v>137</v>
      </c>
      <c r="Q693">
        <v>1469</v>
      </c>
      <c r="R693" s="1" t="s">
        <v>63</v>
      </c>
      <c r="S693">
        <v>9</v>
      </c>
      <c r="T693">
        <v>1</v>
      </c>
      <c r="U693">
        <v>4</v>
      </c>
      <c r="V693">
        <v>35</v>
      </c>
      <c r="W693">
        <v>3</v>
      </c>
      <c r="X693">
        <v>1</v>
      </c>
      <c r="Y693" s="1" t="s">
        <v>5</v>
      </c>
      <c r="Z693">
        <v>2</v>
      </c>
      <c r="AA693">
        <v>3617</v>
      </c>
      <c r="AB693">
        <v>25063</v>
      </c>
      <c r="AC693" s="1" t="s">
        <v>18</v>
      </c>
      <c r="AD693">
        <v>14</v>
      </c>
      <c r="AE693">
        <v>3</v>
      </c>
      <c r="AF693">
        <v>4</v>
      </c>
      <c r="AG693">
        <v>80</v>
      </c>
      <c r="AH693">
        <v>1</v>
      </c>
      <c r="AI693">
        <v>3</v>
      </c>
      <c r="AJ693">
        <v>0</v>
      </c>
      <c r="AK693" s="1" t="s">
        <v>136</v>
      </c>
    </row>
    <row r="694" spans="1:37" x14ac:dyDescent="0.25">
      <c r="A694">
        <v>966</v>
      </c>
      <c r="B694">
        <v>32</v>
      </c>
      <c r="C694" s="1" t="s">
        <v>24</v>
      </c>
      <c r="D694" s="1" t="s">
        <v>70</v>
      </c>
      <c r="E694">
        <v>4</v>
      </c>
      <c r="F694" s="1" t="s">
        <v>139</v>
      </c>
      <c r="G694">
        <v>1</v>
      </c>
      <c r="H694" s="1" t="s">
        <v>18</v>
      </c>
      <c r="I694">
        <v>8</v>
      </c>
      <c r="J694">
        <v>2</v>
      </c>
      <c r="K694">
        <v>8</v>
      </c>
      <c r="L694">
        <v>7</v>
      </c>
      <c r="M694">
        <v>6</v>
      </c>
      <c r="N694">
        <v>3</v>
      </c>
      <c r="O694" s="1" t="s">
        <v>19</v>
      </c>
      <c r="P694" s="1" t="s">
        <v>135</v>
      </c>
      <c r="Q694">
        <v>498</v>
      </c>
      <c r="R694" s="1" t="s">
        <v>63</v>
      </c>
      <c r="S694">
        <v>3</v>
      </c>
      <c r="T694">
        <v>1</v>
      </c>
      <c r="U694">
        <v>3</v>
      </c>
      <c r="V694">
        <v>93</v>
      </c>
      <c r="W694">
        <v>3</v>
      </c>
      <c r="X694">
        <v>2</v>
      </c>
      <c r="Y694" s="1" t="s">
        <v>7</v>
      </c>
      <c r="Z694">
        <v>1</v>
      </c>
      <c r="AA694">
        <v>6725</v>
      </c>
      <c r="AB694">
        <v>13554</v>
      </c>
      <c r="AC694" s="1" t="s">
        <v>19</v>
      </c>
      <c r="AD694">
        <v>12</v>
      </c>
      <c r="AE694">
        <v>3</v>
      </c>
      <c r="AF694">
        <v>3</v>
      </c>
      <c r="AG694">
        <v>80</v>
      </c>
      <c r="AH694">
        <v>1</v>
      </c>
      <c r="AI694">
        <v>4</v>
      </c>
      <c r="AJ694">
        <v>0</v>
      </c>
      <c r="AK694" s="1" t="s">
        <v>136</v>
      </c>
    </row>
    <row r="695" spans="1:37" x14ac:dyDescent="0.25">
      <c r="A695">
        <v>967</v>
      </c>
      <c r="B695">
        <v>36</v>
      </c>
      <c r="C695" s="1" t="s">
        <v>25</v>
      </c>
      <c r="D695" s="1" t="s">
        <v>70</v>
      </c>
      <c r="E695">
        <v>1</v>
      </c>
      <c r="F695" s="1" t="s">
        <v>134</v>
      </c>
      <c r="G695">
        <v>1</v>
      </c>
      <c r="H695" s="1" t="s">
        <v>18</v>
      </c>
      <c r="I695">
        <v>16</v>
      </c>
      <c r="J695">
        <v>6</v>
      </c>
      <c r="K695">
        <v>16</v>
      </c>
      <c r="L695">
        <v>7</v>
      </c>
      <c r="M695">
        <v>3</v>
      </c>
      <c r="N695">
        <v>7</v>
      </c>
      <c r="O695" s="1" t="s">
        <v>18</v>
      </c>
      <c r="P695" s="1" t="s">
        <v>135</v>
      </c>
      <c r="Q695">
        <v>530</v>
      </c>
      <c r="R695" s="1" t="s">
        <v>64</v>
      </c>
      <c r="S695">
        <v>3</v>
      </c>
      <c r="T695">
        <v>1</v>
      </c>
      <c r="U695">
        <v>3</v>
      </c>
      <c r="V695">
        <v>51</v>
      </c>
      <c r="W695">
        <v>2</v>
      </c>
      <c r="X695">
        <v>3</v>
      </c>
      <c r="Y695" s="1" t="s">
        <v>4</v>
      </c>
      <c r="Z695">
        <v>4</v>
      </c>
      <c r="AA695">
        <v>10325</v>
      </c>
      <c r="AB695">
        <v>5518</v>
      </c>
      <c r="AC695" s="1" t="s">
        <v>18</v>
      </c>
      <c r="AD695">
        <v>11</v>
      </c>
      <c r="AE695">
        <v>3</v>
      </c>
      <c r="AF695">
        <v>1</v>
      </c>
      <c r="AG695">
        <v>80</v>
      </c>
      <c r="AH695">
        <v>1</v>
      </c>
      <c r="AI695">
        <v>3</v>
      </c>
      <c r="AJ695">
        <v>1</v>
      </c>
      <c r="AK695" s="1" t="s">
        <v>136</v>
      </c>
    </row>
    <row r="696" spans="1:37" x14ac:dyDescent="0.25">
      <c r="A696">
        <v>969</v>
      </c>
      <c r="B696">
        <v>33</v>
      </c>
      <c r="C696" s="1" t="s">
        <v>24</v>
      </c>
      <c r="D696" s="1" t="s">
        <v>71</v>
      </c>
      <c r="E696">
        <v>3</v>
      </c>
      <c r="F696" s="1" t="s">
        <v>134</v>
      </c>
      <c r="G696">
        <v>0</v>
      </c>
      <c r="H696" s="1" t="s">
        <v>18</v>
      </c>
      <c r="I696">
        <v>6</v>
      </c>
      <c r="J696">
        <v>3</v>
      </c>
      <c r="K696">
        <v>5</v>
      </c>
      <c r="L696">
        <v>0</v>
      </c>
      <c r="M696">
        <v>1</v>
      </c>
      <c r="N696">
        <v>4</v>
      </c>
      <c r="O696" s="1" t="s">
        <v>19</v>
      </c>
      <c r="P696" s="1" t="s">
        <v>135</v>
      </c>
      <c r="Q696">
        <v>1069</v>
      </c>
      <c r="R696" s="1" t="s">
        <v>63</v>
      </c>
      <c r="S696">
        <v>1</v>
      </c>
      <c r="T696">
        <v>1</v>
      </c>
      <c r="U696">
        <v>2</v>
      </c>
      <c r="V696">
        <v>42</v>
      </c>
      <c r="W696">
        <v>2</v>
      </c>
      <c r="X696">
        <v>2</v>
      </c>
      <c r="Y696" s="1" t="s">
        <v>8</v>
      </c>
      <c r="Z696">
        <v>4</v>
      </c>
      <c r="AA696">
        <v>6949</v>
      </c>
      <c r="AB696">
        <v>12291</v>
      </c>
      <c r="AC696" s="1" t="s">
        <v>19</v>
      </c>
      <c r="AD696">
        <v>14</v>
      </c>
      <c r="AE696">
        <v>3</v>
      </c>
      <c r="AF696">
        <v>1</v>
      </c>
      <c r="AG696">
        <v>80</v>
      </c>
      <c r="AH696">
        <v>0</v>
      </c>
      <c r="AI696">
        <v>3</v>
      </c>
      <c r="AJ696">
        <v>0</v>
      </c>
      <c r="AK696" s="1" t="s">
        <v>136</v>
      </c>
    </row>
    <row r="697" spans="1:37" x14ac:dyDescent="0.25">
      <c r="A697">
        <v>970</v>
      </c>
      <c r="B697">
        <v>37</v>
      </c>
      <c r="C697" s="1" t="s">
        <v>25</v>
      </c>
      <c r="D697" s="1" t="s">
        <v>70</v>
      </c>
      <c r="E697">
        <v>4</v>
      </c>
      <c r="F697" s="1" t="s">
        <v>134</v>
      </c>
      <c r="G697">
        <v>5</v>
      </c>
      <c r="H697" s="1" t="s">
        <v>18</v>
      </c>
      <c r="I697">
        <v>17</v>
      </c>
      <c r="J697">
        <v>2</v>
      </c>
      <c r="K697">
        <v>14</v>
      </c>
      <c r="L697">
        <v>1</v>
      </c>
      <c r="M697">
        <v>11</v>
      </c>
      <c r="N697">
        <v>7</v>
      </c>
      <c r="O697" s="1" t="s">
        <v>18</v>
      </c>
      <c r="P697" s="1" t="s">
        <v>135</v>
      </c>
      <c r="Q697">
        <v>625</v>
      </c>
      <c r="R697" s="1" t="s">
        <v>64</v>
      </c>
      <c r="S697">
        <v>1</v>
      </c>
      <c r="T697">
        <v>1</v>
      </c>
      <c r="U697">
        <v>1</v>
      </c>
      <c r="V697">
        <v>46</v>
      </c>
      <c r="W697">
        <v>2</v>
      </c>
      <c r="X697">
        <v>3</v>
      </c>
      <c r="Y697" s="1" t="s">
        <v>4</v>
      </c>
      <c r="Z697">
        <v>3</v>
      </c>
      <c r="AA697">
        <v>10609</v>
      </c>
      <c r="AB697">
        <v>14922</v>
      </c>
      <c r="AC697" s="1" t="s">
        <v>19</v>
      </c>
      <c r="AD697">
        <v>11</v>
      </c>
      <c r="AE697">
        <v>3</v>
      </c>
      <c r="AF697">
        <v>3</v>
      </c>
      <c r="AG697">
        <v>80</v>
      </c>
      <c r="AH697">
        <v>0</v>
      </c>
      <c r="AI697">
        <v>1</v>
      </c>
      <c r="AJ697">
        <v>1</v>
      </c>
      <c r="AK697" s="1" t="s">
        <v>136</v>
      </c>
    </row>
    <row r="698" spans="1:37" x14ac:dyDescent="0.25">
      <c r="A698">
        <v>972</v>
      </c>
      <c r="B698">
        <v>45</v>
      </c>
      <c r="C698" s="1" t="s">
        <v>25</v>
      </c>
      <c r="D698" s="1" t="s">
        <v>70</v>
      </c>
      <c r="E698">
        <v>2</v>
      </c>
      <c r="F698" s="1" t="s">
        <v>134</v>
      </c>
      <c r="G698">
        <v>1</v>
      </c>
      <c r="H698" s="1" t="s">
        <v>18</v>
      </c>
      <c r="I698">
        <v>9</v>
      </c>
      <c r="J698">
        <v>5</v>
      </c>
      <c r="K698">
        <v>9</v>
      </c>
      <c r="L698">
        <v>7</v>
      </c>
      <c r="M698">
        <v>0</v>
      </c>
      <c r="N698">
        <v>8</v>
      </c>
      <c r="O698" s="1" t="s">
        <v>19</v>
      </c>
      <c r="P698" s="1" t="s">
        <v>141</v>
      </c>
      <c r="Q698">
        <v>805</v>
      </c>
      <c r="R698" s="1" t="s">
        <v>63</v>
      </c>
      <c r="S698">
        <v>4</v>
      </c>
      <c r="T698">
        <v>1</v>
      </c>
      <c r="U698">
        <v>3</v>
      </c>
      <c r="V698">
        <v>57</v>
      </c>
      <c r="W698">
        <v>3</v>
      </c>
      <c r="X698">
        <v>2</v>
      </c>
      <c r="Y698" s="1" t="s">
        <v>6</v>
      </c>
      <c r="Z698">
        <v>2</v>
      </c>
      <c r="AA698">
        <v>4447</v>
      </c>
      <c r="AB698">
        <v>23163</v>
      </c>
      <c r="AC698" s="1" t="s">
        <v>19</v>
      </c>
      <c r="AD698">
        <v>12</v>
      </c>
      <c r="AE698">
        <v>3</v>
      </c>
      <c r="AF698">
        <v>2</v>
      </c>
      <c r="AG698">
        <v>80</v>
      </c>
      <c r="AH698">
        <v>0</v>
      </c>
      <c r="AI698">
        <v>2</v>
      </c>
      <c r="AJ698">
        <v>0</v>
      </c>
      <c r="AK698" s="1" t="s">
        <v>136</v>
      </c>
    </row>
    <row r="699" spans="1:37" x14ac:dyDescent="0.25">
      <c r="A699">
        <v>974</v>
      </c>
      <c r="B699">
        <v>29</v>
      </c>
      <c r="C699" s="1" t="s">
        <v>24</v>
      </c>
      <c r="D699" s="1" t="s">
        <v>70</v>
      </c>
      <c r="E699">
        <v>3</v>
      </c>
      <c r="F699" s="1" t="s">
        <v>143</v>
      </c>
      <c r="G699">
        <v>1</v>
      </c>
      <c r="H699" s="1" t="s">
        <v>18</v>
      </c>
      <c r="I699">
        <v>3</v>
      </c>
      <c r="J699">
        <v>5</v>
      </c>
      <c r="K699">
        <v>3</v>
      </c>
      <c r="L699">
        <v>1</v>
      </c>
      <c r="M699">
        <v>0</v>
      </c>
      <c r="N699">
        <v>2</v>
      </c>
      <c r="O699" s="1" t="s">
        <v>19</v>
      </c>
      <c r="P699" s="1" t="s">
        <v>137</v>
      </c>
      <c r="Q699">
        <v>1404</v>
      </c>
      <c r="R699" s="1" t="s">
        <v>64</v>
      </c>
      <c r="S699">
        <v>20</v>
      </c>
      <c r="T699">
        <v>1</v>
      </c>
      <c r="U699">
        <v>3</v>
      </c>
      <c r="V699">
        <v>84</v>
      </c>
      <c r="W699">
        <v>3</v>
      </c>
      <c r="X699">
        <v>1</v>
      </c>
      <c r="Y699" s="1" t="s">
        <v>10</v>
      </c>
      <c r="Z699">
        <v>4</v>
      </c>
      <c r="AA699">
        <v>2157</v>
      </c>
      <c r="AB699">
        <v>18203</v>
      </c>
      <c r="AC699" s="1" t="s">
        <v>19</v>
      </c>
      <c r="AD699">
        <v>15</v>
      </c>
      <c r="AE699">
        <v>3</v>
      </c>
      <c r="AF699">
        <v>2</v>
      </c>
      <c r="AG699">
        <v>80</v>
      </c>
      <c r="AH699">
        <v>1</v>
      </c>
      <c r="AI699">
        <v>3</v>
      </c>
      <c r="AJ699">
        <v>0</v>
      </c>
      <c r="AK699" s="1" t="s">
        <v>136</v>
      </c>
    </row>
    <row r="700" spans="1:37" x14ac:dyDescent="0.25">
      <c r="A700">
        <v>975</v>
      </c>
      <c r="B700">
        <v>35</v>
      </c>
      <c r="C700" s="1" t="s">
        <v>24</v>
      </c>
      <c r="D700" s="1" t="s">
        <v>70</v>
      </c>
      <c r="E700">
        <v>3</v>
      </c>
      <c r="F700" s="1" t="s">
        <v>139</v>
      </c>
      <c r="G700">
        <v>1</v>
      </c>
      <c r="H700" s="1" t="s">
        <v>18</v>
      </c>
      <c r="I700">
        <v>5</v>
      </c>
      <c r="J700">
        <v>3</v>
      </c>
      <c r="K700">
        <v>5</v>
      </c>
      <c r="L700">
        <v>2</v>
      </c>
      <c r="M700">
        <v>1</v>
      </c>
      <c r="N700">
        <v>0</v>
      </c>
      <c r="O700" s="1" t="s">
        <v>19</v>
      </c>
      <c r="P700" s="1" t="s">
        <v>135</v>
      </c>
      <c r="Q700">
        <v>1219</v>
      </c>
      <c r="R700" s="1" t="s">
        <v>64</v>
      </c>
      <c r="S700">
        <v>18</v>
      </c>
      <c r="T700">
        <v>1</v>
      </c>
      <c r="U700">
        <v>3</v>
      </c>
      <c r="V700">
        <v>86</v>
      </c>
      <c r="W700">
        <v>3</v>
      </c>
      <c r="X700">
        <v>2</v>
      </c>
      <c r="Y700" s="1" t="s">
        <v>4</v>
      </c>
      <c r="Z700">
        <v>3</v>
      </c>
      <c r="AA700">
        <v>4601</v>
      </c>
      <c r="AB700">
        <v>6179</v>
      </c>
      <c r="AC700" s="1" t="s">
        <v>19</v>
      </c>
      <c r="AD700">
        <v>16</v>
      </c>
      <c r="AE700">
        <v>3</v>
      </c>
      <c r="AF700">
        <v>2</v>
      </c>
      <c r="AG700">
        <v>80</v>
      </c>
      <c r="AH700">
        <v>0</v>
      </c>
      <c r="AI700">
        <v>3</v>
      </c>
      <c r="AJ700">
        <v>0</v>
      </c>
      <c r="AK700" s="1" t="s">
        <v>136</v>
      </c>
    </row>
    <row r="701" spans="1:37" x14ac:dyDescent="0.25">
      <c r="A701">
        <v>976</v>
      </c>
      <c r="B701">
        <v>52</v>
      </c>
      <c r="C701" s="1" t="s">
        <v>25</v>
      </c>
      <c r="D701" s="1" t="s">
        <v>70</v>
      </c>
      <c r="E701">
        <v>2</v>
      </c>
      <c r="F701" s="1" t="s">
        <v>134</v>
      </c>
      <c r="G701">
        <v>2</v>
      </c>
      <c r="H701" s="1" t="s">
        <v>18</v>
      </c>
      <c r="I701">
        <v>26</v>
      </c>
      <c r="J701">
        <v>2</v>
      </c>
      <c r="K701">
        <v>9</v>
      </c>
      <c r="L701">
        <v>8</v>
      </c>
      <c r="M701">
        <v>7</v>
      </c>
      <c r="N701">
        <v>8</v>
      </c>
      <c r="O701" s="1" t="s">
        <v>19</v>
      </c>
      <c r="P701" s="1" t="s">
        <v>135</v>
      </c>
      <c r="Q701">
        <v>1053</v>
      </c>
      <c r="R701" s="1" t="s">
        <v>63</v>
      </c>
      <c r="S701">
        <v>1</v>
      </c>
      <c r="T701">
        <v>1</v>
      </c>
      <c r="U701">
        <v>4</v>
      </c>
      <c r="V701">
        <v>70</v>
      </c>
      <c r="W701">
        <v>3</v>
      </c>
      <c r="X701">
        <v>4</v>
      </c>
      <c r="Y701" s="1" t="s">
        <v>9</v>
      </c>
      <c r="Z701">
        <v>4</v>
      </c>
      <c r="AA701">
        <v>17099</v>
      </c>
      <c r="AB701">
        <v>13829</v>
      </c>
      <c r="AC701" s="1" t="s">
        <v>19</v>
      </c>
      <c r="AD701">
        <v>15</v>
      </c>
      <c r="AE701">
        <v>3</v>
      </c>
      <c r="AF701">
        <v>2</v>
      </c>
      <c r="AG701">
        <v>80</v>
      </c>
      <c r="AH701">
        <v>1</v>
      </c>
      <c r="AI701">
        <v>2</v>
      </c>
      <c r="AJ701">
        <v>0</v>
      </c>
      <c r="AK701" s="1" t="s">
        <v>140</v>
      </c>
    </row>
    <row r="702" spans="1:37" x14ac:dyDescent="0.25">
      <c r="A702">
        <v>977</v>
      </c>
      <c r="B702">
        <v>58</v>
      </c>
      <c r="C702" s="1" t="s">
        <v>25</v>
      </c>
      <c r="D702" s="1" t="s">
        <v>71</v>
      </c>
      <c r="E702">
        <v>3</v>
      </c>
      <c r="F702" s="1" t="s">
        <v>143</v>
      </c>
      <c r="G702">
        <v>4</v>
      </c>
      <c r="H702" s="1" t="s">
        <v>18</v>
      </c>
      <c r="I702">
        <v>7</v>
      </c>
      <c r="J702">
        <v>4</v>
      </c>
      <c r="K702">
        <v>1</v>
      </c>
      <c r="L702">
        <v>0</v>
      </c>
      <c r="M702">
        <v>0</v>
      </c>
      <c r="N702">
        <v>0</v>
      </c>
      <c r="O702" s="1" t="s">
        <v>18</v>
      </c>
      <c r="P702" s="1" t="s">
        <v>135</v>
      </c>
      <c r="Q702">
        <v>289</v>
      </c>
      <c r="R702" s="1" t="s">
        <v>63</v>
      </c>
      <c r="S702">
        <v>2</v>
      </c>
      <c r="T702">
        <v>1</v>
      </c>
      <c r="U702">
        <v>4</v>
      </c>
      <c r="V702">
        <v>51</v>
      </c>
      <c r="W702">
        <v>3</v>
      </c>
      <c r="X702">
        <v>1</v>
      </c>
      <c r="Y702" s="1" t="s">
        <v>5</v>
      </c>
      <c r="Z702">
        <v>3</v>
      </c>
      <c r="AA702">
        <v>2479</v>
      </c>
      <c r="AB702">
        <v>26227</v>
      </c>
      <c r="AC702" s="1" t="s">
        <v>19</v>
      </c>
      <c r="AD702">
        <v>24</v>
      </c>
      <c r="AE702">
        <v>4</v>
      </c>
      <c r="AF702">
        <v>1</v>
      </c>
      <c r="AG702">
        <v>80</v>
      </c>
      <c r="AH702">
        <v>0</v>
      </c>
      <c r="AI702">
        <v>3</v>
      </c>
      <c r="AJ702">
        <v>1</v>
      </c>
      <c r="AK702" s="1" t="s">
        <v>140</v>
      </c>
    </row>
    <row r="703" spans="1:37" x14ac:dyDescent="0.25">
      <c r="A703">
        <v>981</v>
      </c>
      <c r="B703">
        <v>53</v>
      </c>
      <c r="C703" s="1" t="s">
        <v>25</v>
      </c>
      <c r="D703" s="1" t="s">
        <v>69</v>
      </c>
      <c r="E703">
        <v>2</v>
      </c>
      <c r="F703" s="1" t="s">
        <v>139</v>
      </c>
      <c r="G703">
        <v>6</v>
      </c>
      <c r="H703" s="1" t="s">
        <v>18</v>
      </c>
      <c r="I703">
        <v>22</v>
      </c>
      <c r="J703">
        <v>3</v>
      </c>
      <c r="K703">
        <v>17</v>
      </c>
      <c r="L703">
        <v>13</v>
      </c>
      <c r="M703">
        <v>15</v>
      </c>
      <c r="N703">
        <v>2</v>
      </c>
      <c r="O703" s="1" t="s">
        <v>19</v>
      </c>
      <c r="P703" s="1" t="s">
        <v>135</v>
      </c>
      <c r="Q703">
        <v>1376</v>
      </c>
      <c r="R703" s="1" t="s">
        <v>64</v>
      </c>
      <c r="S703">
        <v>2</v>
      </c>
      <c r="T703">
        <v>1</v>
      </c>
      <c r="U703">
        <v>3</v>
      </c>
      <c r="V703">
        <v>45</v>
      </c>
      <c r="W703">
        <v>3</v>
      </c>
      <c r="X703">
        <v>4</v>
      </c>
      <c r="Y703" s="1" t="s">
        <v>9</v>
      </c>
      <c r="Z703">
        <v>3</v>
      </c>
      <c r="AA703">
        <v>14852</v>
      </c>
      <c r="AB703">
        <v>13938</v>
      </c>
      <c r="AC703" s="1" t="s">
        <v>19</v>
      </c>
      <c r="AD703">
        <v>13</v>
      </c>
      <c r="AE703">
        <v>3</v>
      </c>
      <c r="AF703">
        <v>3</v>
      </c>
      <c r="AG703">
        <v>80</v>
      </c>
      <c r="AH703">
        <v>1</v>
      </c>
      <c r="AI703">
        <v>4</v>
      </c>
      <c r="AJ703">
        <v>0</v>
      </c>
      <c r="AK703" s="1" t="s">
        <v>140</v>
      </c>
    </row>
    <row r="704" spans="1:37" x14ac:dyDescent="0.25">
      <c r="A704">
        <v>982</v>
      </c>
      <c r="B704">
        <v>30</v>
      </c>
      <c r="C704" s="1" t="s">
        <v>25</v>
      </c>
      <c r="D704" s="1" t="s">
        <v>69</v>
      </c>
      <c r="E704">
        <v>2</v>
      </c>
      <c r="F704" s="1" t="s">
        <v>138</v>
      </c>
      <c r="G704">
        <v>5</v>
      </c>
      <c r="H704" s="1" t="s">
        <v>18</v>
      </c>
      <c r="I704">
        <v>10</v>
      </c>
      <c r="J704">
        <v>2</v>
      </c>
      <c r="K704">
        <v>8</v>
      </c>
      <c r="L704">
        <v>4</v>
      </c>
      <c r="M704">
        <v>7</v>
      </c>
      <c r="N704">
        <v>7</v>
      </c>
      <c r="O704" s="1" t="s">
        <v>19</v>
      </c>
      <c r="P704" s="1" t="s">
        <v>135</v>
      </c>
      <c r="Q704">
        <v>231</v>
      </c>
      <c r="R704" s="1" t="s">
        <v>64</v>
      </c>
      <c r="S704">
        <v>8</v>
      </c>
      <c r="T704">
        <v>1</v>
      </c>
      <c r="U704">
        <v>3</v>
      </c>
      <c r="V704">
        <v>62</v>
      </c>
      <c r="W704">
        <v>3</v>
      </c>
      <c r="X704">
        <v>3</v>
      </c>
      <c r="Y704" s="1" t="s">
        <v>4</v>
      </c>
      <c r="Z704">
        <v>3</v>
      </c>
      <c r="AA704">
        <v>7264</v>
      </c>
      <c r="AB704">
        <v>9977</v>
      </c>
      <c r="AC704" s="1" t="s">
        <v>19</v>
      </c>
      <c r="AD704">
        <v>11</v>
      </c>
      <c r="AE704">
        <v>3</v>
      </c>
      <c r="AF704">
        <v>1</v>
      </c>
      <c r="AG704">
        <v>80</v>
      </c>
      <c r="AH704">
        <v>1</v>
      </c>
      <c r="AI704">
        <v>4</v>
      </c>
      <c r="AJ704">
        <v>0</v>
      </c>
      <c r="AK704" s="1" t="s">
        <v>136</v>
      </c>
    </row>
    <row r="705" spans="1:37" x14ac:dyDescent="0.25">
      <c r="A705">
        <v>983</v>
      </c>
      <c r="B705">
        <v>38</v>
      </c>
      <c r="C705" s="1" t="s">
        <v>24</v>
      </c>
      <c r="D705" s="1" t="s">
        <v>71</v>
      </c>
      <c r="E705">
        <v>3</v>
      </c>
      <c r="F705" s="1" t="s">
        <v>143</v>
      </c>
      <c r="G705">
        <v>1</v>
      </c>
      <c r="H705" s="1" t="s">
        <v>18</v>
      </c>
      <c r="I705">
        <v>6</v>
      </c>
      <c r="J705">
        <v>1</v>
      </c>
      <c r="K705">
        <v>5</v>
      </c>
      <c r="L705">
        <v>3</v>
      </c>
      <c r="M705">
        <v>1</v>
      </c>
      <c r="N705">
        <v>3</v>
      </c>
      <c r="O705" s="1" t="s">
        <v>19</v>
      </c>
      <c r="P705" s="1" t="s">
        <v>141</v>
      </c>
      <c r="Q705">
        <v>152</v>
      </c>
      <c r="R705" s="1" t="s">
        <v>64</v>
      </c>
      <c r="S705">
        <v>10</v>
      </c>
      <c r="T705">
        <v>1</v>
      </c>
      <c r="U705">
        <v>3</v>
      </c>
      <c r="V705">
        <v>85</v>
      </c>
      <c r="W705">
        <v>3</v>
      </c>
      <c r="X705">
        <v>2</v>
      </c>
      <c r="Y705" s="1" t="s">
        <v>4</v>
      </c>
      <c r="Z705">
        <v>4</v>
      </c>
      <c r="AA705">
        <v>5666</v>
      </c>
      <c r="AB705">
        <v>19899</v>
      </c>
      <c r="AC705" s="1" t="s">
        <v>18</v>
      </c>
      <c r="AD705">
        <v>13</v>
      </c>
      <c r="AE705">
        <v>3</v>
      </c>
      <c r="AF705">
        <v>2</v>
      </c>
      <c r="AG705">
        <v>80</v>
      </c>
      <c r="AH705">
        <v>0</v>
      </c>
      <c r="AI705">
        <v>3</v>
      </c>
      <c r="AJ705">
        <v>0</v>
      </c>
      <c r="AK705" s="1" t="s">
        <v>136</v>
      </c>
    </row>
    <row r="706" spans="1:37" x14ac:dyDescent="0.25">
      <c r="A706">
        <v>984</v>
      </c>
      <c r="B706">
        <v>35</v>
      </c>
      <c r="C706" s="1" t="s">
        <v>25</v>
      </c>
      <c r="D706" s="1" t="s">
        <v>69</v>
      </c>
      <c r="E706">
        <v>4</v>
      </c>
      <c r="F706" s="1" t="s">
        <v>134</v>
      </c>
      <c r="G706">
        <v>6</v>
      </c>
      <c r="H706" s="1" t="s">
        <v>18</v>
      </c>
      <c r="I706">
        <v>12</v>
      </c>
      <c r="J706">
        <v>2</v>
      </c>
      <c r="K706">
        <v>10</v>
      </c>
      <c r="L706">
        <v>9</v>
      </c>
      <c r="M706">
        <v>0</v>
      </c>
      <c r="N706">
        <v>8</v>
      </c>
      <c r="O706" s="1" t="s">
        <v>19</v>
      </c>
      <c r="P706" s="1" t="s">
        <v>135</v>
      </c>
      <c r="Q706">
        <v>882</v>
      </c>
      <c r="R706" s="1" t="s">
        <v>64</v>
      </c>
      <c r="S706">
        <v>3</v>
      </c>
      <c r="T706">
        <v>1</v>
      </c>
      <c r="U706">
        <v>4</v>
      </c>
      <c r="V706">
        <v>92</v>
      </c>
      <c r="W706">
        <v>3</v>
      </c>
      <c r="X706">
        <v>3</v>
      </c>
      <c r="Y706" s="1" t="s">
        <v>4</v>
      </c>
      <c r="Z706">
        <v>4</v>
      </c>
      <c r="AA706">
        <v>7823</v>
      </c>
      <c r="AB706">
        <v>6812</v>
      </c>
      <c r="AC706" s="1" t="s">
        <v>19</v>
      </c>
      <c r="AD706">
        <v>13</v>
      </c>
      <c r="AE706">
        <v>3</v>
      </c>
      <c r="AF706">
        <v>2</v>
      </c>
      <c r="AG706">
        <v>80</v>
      </c>
      <c r="AH706">
        <v>1</v>
      </c>
      <c r="AI706">
        <v>3</v>
      </c>
      <c r="AJ706">
        <v>0</v>
      </c>
      <c r="AK706" s="1" t="s">
        <v>136</v>
      </c>
    </row>
    <row r="707" spans="1:37" x14ac:dyDescent="0.25">
      <c r="A707">
        <v>985</v>
      </c>
      <c r="B707">
        <v>39</v>
      </c>
      <c r="C707" s="1" t="s">
        <v>25</v>
      </c>
      <c r="D707" s="1" t="s">
        <v>71</v>
      </c>
      <c r="E707">
        <v>5</v>
      </c>
      <c r="F707" s="1" t="s">
        <v>134</v>
      </c>
      <c r="G707">
        <v>0</v>
      </c>
      <c r="H707" s="1" t="s">
        <v>18</v>
      </c>
      <c r="I707">
        <v>9</v>
      </c>
      <c r="J707">
        <v>3</v>
      </c>
      <c r="K707">
        <v>8</v>
      </c>
      <c r="L707">
        <v>7</v>
      </c>
      <c r="M707">
        <v>0</v>
      </c>
      <c r="N707">
        <v>7</v>
      </c>
      <c r="O707" s="1" t="s">
        <v>19</v>
      </c>
      <c r="P707" s="1" t="s">
        <v>135</v>
      </c>
      <c r="Q707">
        <v>903</v>
      </c>
      <c r="R707" s="1" t="s">
        <v>64</v>
      </c>
      <c r="S707">
        <v>2</v>
      </c>
      <c r="T707">
        <v>1</v>
      </c>
      <c r="U707">
        <v>1</v>
      </c>
      <c r="V707">
        <v>41</v>
      </c>
      <c r="W707">
        <v>4</v>
      </c>
      <c r="X707">
        <v>3</v>
      </c>
      <c r="Y707" s="1" t="s">
        <v>4</v>
      </c>
      <c r="Z707">
        <v>3</v>
      </c>
      <c r="AA707">
        <v>7880</v>
      </c>
      <c r="AB707">
        <v>2560</v>
      </c>
      <c r="AC707" s="1" t="s">
        <v>19</v>
      </c>
      <c r="AD707">
        <v>18</v>
      </c>
      <c r="AE707">
        <v>3</v>
      </c>
      <c r="AF707">
        <v>4</v>
      </c>
      <c r="AG707">
        <v>80</v>
      </c>
      <c r="AH707">
        <v>0</v>
      </c>
      <c r="AI707">
        <v>3</v>
      </c>
      <c r="AJ707">
        <v>0</v>
      </c>
      <c r="AK707" s="1" t="s">
        <v>136</v>
      </c>
    </row>
    <row r="708" spans="1:37" x14ac:dyDescent="0.25">
      <c r="A708">
        <v>986</v>
      </c>
      <c r="B708">
        <v>40</v>
      </c>
      <c r="C708" s="1" t="s">
        <v>24</v>
      </c>
      <c r="D708" s="1" t="s">
        <v>71</v>
      </c>
      <c r="E708">
        <v>3</v>
      </c>
      <c r="F708" s="1" t="s">
        <v>134</v>
      </c>
      <c r="G708">
        <v>4</v>
      </c>
      <c r="H708" s="1" t="s">
        <v>18</v>
      </c>
      <c r="I708">
        <v>22</v>
      </c>
      <c r="J708">
        <v>2</v>
      </c>
      <c r="K708">
        <v>1</v>
      </c>
      <c r="L708">
        <v>0</v>
      </c>
      <c r="M708">
        <v>0</v>
      </c>
      <c r="N708">
        <v>0</v>
      </c>
      <c r="O708" s="1" t="s">
        <v>18</v>
      </c>
      <c r="P708" s="1" t="s">
        <v>141</v>
      </c>
      <c r="Q708">
        <v>1479</v>
      </c>
      <c r="R708" s="1" t="s">
        <v>64</v>
      </c>
      <c r="S708">
        <v>24</v>
      </c>
      <c r="T708">
        <v>1</v>
      </c>
      <c r="U708">
        <v>2</v>
      </c>
      <c r="V708">
        <v>100</v>
      </c>
      <c r="W708">
        <v>4</v>
      </c>
      <c r="X708">
        <v>4</v>
      </c>
      <c r="Y708" s="1" t="s">
        <v>4</v>
      </c>
      <c r="Z708">
        <v>2</v>
      </c>
      <c r="AA708">
        <v>13194</v>
      </c>
      <c r="AB708">
        <v>17071</v>
      </c>
      <c r="AC708" s="1" t="s">
        <v>18</v>
      </c>
      <c r="AD708">
        <v>16</v>
      </c>
      <c r="AE708">
        <v>3</v>
      </c>
      <c r="AF708">
        <v>4</v>
      </c>
      <c r="AG708">
        <v>80</v>
      </c>
      <c r="AH708">
        <v>0</v>
      </c>
      <c r="AI708">
        <v>2</v>
      </c>
      <c r="AJ708">
        <v>1</v>
      </c>
      <c r="AK708" s="1" t="s">
        <v>136</v>
      </c>
    </row>
    <row r="709" spans="1:37" x14ac:dyDescent="0.25">
      <c r="A709">
        <v>987</v>
      </c>
      <c r="B709">
        <v>47</v>
      </c>
      <c r="C709" s="1" t="s">
        <v>25</v>
      </c>
      <c r="D709" s="1" t="s">
        <v>69</v>
      </c>
      <c r="E709">
        <v>4</v>
      </c>
      <c r="F709" s="1" t="s">
        <v>139</v>
      </c>
      <c r="G709">
        <v>1</v>
      </c>
      <c r="H709" s="1" t="s">
        <v>18</v>
      </c>
      <c r="I709">
        <v>20</v>
      </c>
      <c r="J709">
        <v>3</v>
      </c>
      <c r="K709">
        <v>19</v>
      </c>
      <c r="L709">
        <v>10</v>
      </c>
      <c r="M709">
        <v>2</v>
      </c>
      <c r="N709">
        <v>7</v>
      </c>
      <c r="O709" s="1" t="s">
        <v>19</v>
      </c>
      <c r="P709" s="1" t="s">
        <v>137</v>
      </c>
      <c r="Q709">
        <v>1379</v>
      </c>
      <c r="R709" s="1" t="s">
        <v>63</v>
      </c>
      <c r="S709">
        <v>16</v>
      </c>
      <c r="T709">
        <v>1</v>
      </c>
      <c r="U709">
        <v>3</v>
      </c>
      <c r="V709">
        <v>64</v>
      </c>
      <c r="W709">
        <v>4</v>
      </c>
      <c r="X709">
        <v>2</v>
      </c>
      <c r="Y709" s="1" t="s">
        <v>7</v>
      </c>
      <c r="Z709">
        <v>3</v>
      </c>
      <c r="AA709">
        <v>5067</v>
      </c>
      <c r="AB709">
        <v>6759</v>
      </c>
      <c r="AC709" s="1" t="s">
        <v>18</v>
      </c>
      <c r="AD709">
        <v>19</v>
      </c>
      <c r="AE709">
        <v>3</v>
      </c>
      <c r="AF709">
        <v>3</v>
      </c>
      <c r="AG709">
        <v>80</v>
      </c>
      <c r="AH709">
        <v>0</v>
      </c>
      <c r="AI709">
        <v>4</v>
      </c>
      <c r="AJ709">
        <v>0</v>
      </c>
      <c r="AK709" s="1" t="s">
        <v>136</v>
      </c>
    </row>
    <row r="710" spans="1:37" x14ac:dyDescent="0.25">
      <c r="A710">
        <v>990</v>
      </c>
      <c r="B710">
        <v>36</v>
      </c>
      <c r="C710" s="1" t="s">
        <v>25</v>
      </c>
      <c r="D710" s="1" t="s">
        <v>69</v>
      </c>
      <c r="E710">
        <v>4</v>
      </c>
      <c r="F710" s="1" t="s">
        <v>143</v>
      </c>
      <c r="G710">
        <v>4</v>
      </c>
      <c r="H710" s="1" t="s">
        <v>18</v>
      </c>
      <c r="I710">
        <v>12</v>
      </c>
      <c r="J710">
        <v>3</v>
      </c>
      <c r="K710">
        <v>7</v>
      </c>
      <c r="L710">
        <v>7</v>
      </c>
      <c r="M710">
        <v>0</v>
      </c>
      <c r="N710">
        <v>7</v>
      </c>
      <c r="O710" s="1" t="s">
        <v>19</v>
      </c>
      <c r="P710" s="1" t="s">
        <v>141</v>
      </c>
      <c r="Q710">
        <v>1229</v>
      </c>
      <c r="R710" s="1" t="s">
        <v>64</v>
      </c>
      <c r="S710">
        <v>8</v>
      </c>
      <c r="T710">
        <v>1</v>
      </c>
      <c r="U710">
        <v>1</v>
      </c>
      <c r="V710">
        <v>84</v>
      </c>
      <c r="W710">
        <v>3</v>
      </c>
      <c r="X710">
        <v>2</v>
      </c>
      <c r="Y710" s="1" t="s">
        <v>4</v>
      </c>
      <c r="Z710">
        <v>4</v>
      </c>
      <c r="AA710">
        <v>5079</v>
      </c>
      <c r="AB710">
        <v>25952</v>
      </c>
      <c r="AC710" s="1" t="s">
        <v>19</v>
      </c>
      <c r="AD710">
        <v>13</v>
      </c>
      <c r="AE710">
        <v>3</v>
      </c>
      <c r="AF710">
        <v>4</v>
      </c>
      <c r="AG710">
        <v>80</v>
      </c>
      <c r="AH710">
        <v>2</v>
      </c>
      <c r="AI710">
        <v>3</v>
      </c>
      <c r="AJ710">
        <v>0</v>
      </c>
      <c r="AK710" s="1" t="s">
        <v>136</v>
      </c>
    </row>
    <row r="711" spans="1:37" x14ac:dyDescent="0.25">
      <c r="A711">
        <v>991</v>
      </c>
      <c r="B711">
        <v>31</v>
      </c>
      <c r="C711" s="1" t="s">
        <v>25</v>
      </c>
      <c r="D711" s="1" t="s">
        <v>71</v>
      </c>
      <c r="E711">
        <v>2</v>
      </c>
      <c r="F711" s="1" t="s">
        <v>139</v>
      </c>
      <c r="G711">
        <v>0</v>
      </c>
      <c r="H711" s="1" t="s">
        <v>18</v>
      </c>
      <c r="I711">
        <v>4</v>
      </c>
      <c r="J711">
        <v>0</v>
      </c>
      <c r="K711">
        <v>3</v>
      </c>
      <c r="L711">
        <v>2</v>
      </c>
      <c r="M711">
        <v>1</v>
      </c>
      <c r="N711">
        <v>2</v>
      </c>
      <c r="O711" s="1" t="s">
        <v>18</v>
      </c>
      <c r="P711" s="1" t="s">
        <v>141</v>
      </c>
      <c r="Q711">
        <v>335</v>
      </c>
      <c r="R711" s="1" t="s">
        <v>63</v>
      </c>
      <c r="S711">
        <v>9</v>
      </c>
      <c r="T711">
        <v>1</v>
      </c>
      <c r="U711">
        <v>3</v>
      </c>
      <c r="V711">
        <v>46</v>
      </c>
      <c r="W711">
        <v>2</v>
      </c>
      <c r="X711">
        <v>1</v>
      </c>
      <c r="Y711" s="1" t="s">
        <v>5</v>
      </c>
      <c r="Z711">
        <v>1</v>
      </c>
      <c r="AA711">
        <v>2321</v>
      </c>
      <c r="AB711">
        <v>10322</v>
      </c>
      <c r="AC711" s="1" t="s">
        <v>18</v>
      </c>
      <c r="AD711">
        <v>22</v>
      </c>
      <c r="AE711">
        <v>4</v>
      </c>
      <c r="AF711">
        <v>1</v>
      </c>
      <c r="AG711">
        <v>80</v>
      </c>
      <c r="AH711">
        <v>0</v>
      </c>
      <c r="AI711">
        <v>3</v>
      </c>
      <c r="AJ711">
        <v>1</v>
      </c>
      <c r="AK711" s="1" t="s">
        <v>136</v>
      </c>
    </row>
    <row r="712" spans="1:37" x14ac:dyDescent="0.25">
      <c r="A712">
        <v>992</v>
      </c>
      <c r="B712">
        <v>33</v>
      </c>
      <c r="C712" s="1" t="s">
        <v>25</v>
      </c>
      <c r="D712" s="1" t="s">
        <v>71</v>
      </c>
      <c r="E712">
        <v>3</v>
      </c>
      <c r="F712" s="1" t="s">
        <v>134</v>
      </c>
      <c r="G712">
        <v>1</v>
      </c>
      <c r="H712" s="1" t="s">
        <v>18</v>
      </c>
      <c r="I712">
        <v>10</v>
      </c>
      <c r="J712">
        <v>2</v>
      </c>
      <c r="K712">
        <v>10</v>
      </c>
      <c r="L712">
        <v>8</v>
      </c>
      <c r="M712">
        <v>6</v>
      </c>
      <c r="N712">
        <v>0</v>
      </c>
      <c r="O712" s="1" t="s">
        <v>19</v>
      </c>
      <c r="P712" s="1" t="s">
        <v>141</v>
      </c>
      <c r="Q712">
        <v>722</v>
      </c>
      <c r="R712" s="1" t="s">
        <v>64</v>
      </c>
      <c r="S712">
        <v>17</v>
      </c>
      <c r="T712">
        <v>1</v>
      </c>
      <c r="U712">
        <v>4</v>
      </c>
      <c r="V712">
        <v>38</v>
      </c>
      <c r="W712">
        <v>3</v>
      </c>
      <c r="X712">
        <v>4</v>
      </c>
      <c r="Y712" s="1" t="s">
        <v>9</v>
      </c>
      <c r="Z712">
        <v>3</v>
      </c>
      <c r="AA712">
        <v>17444</v>
      </c>
      <c r="AB712">
        <v>20489</v>
      </c>
      <c r="AC712" s="1" t="s">
        <v>19</v>
      </c>
      <c r="AD712">
        <v>11</v>
      </c>
      <c r="AE712">
        <v>3</v>
      </c>
      <c r="AF712">
        <v>4</v>
      </c>
      <c r="AG712">
        <v>80</v>
      </c>
      <c r="AH712">
        <v>0</v>
      </c>
      <c r="AI712">
        <v>3</v>
      </c>
      <c r="AJ712">
        <v>0</v>
      </c>
      <c r="AK712" s="1" t="s">
        <v>136</v>
      </c>
    </row>
    <row r="713" spans="1:37" x14ac:dyDescent="0.25">
      <c r="A713">
        <v>994</v>
      </c>
      <c r="B713">
        <v>29</v>
      </c>
      <c r="C713" s="1" t="s">
        <v>24</v>
      </c>
      <c r="D713" s="1" t="s">
        <v>71</v>
      </c>
      <c r="E713">
        <v>3</v>
      </c>
      <c r="F713" s="1" t="s">
        <v>134</v>
      </c>
      <c r="G713">
        <v>6</v>
      </c>
      <c r="H713" s="1" t="s">
        <v>18</v>
      </c>
      <c r="I713">
        <v>3</v>
      </c>
      <c r="J713">
        <v>5</v>
      </c>
      <c r="K713">
        <v>0</v>
      </c>
      <c r="L713">
        <v>0</v>
      </c>
      <c r="M713">
        <v>0</v>
      </c>
      <c r="N713">
        <v>0</v>
      </c>
      <c r="O713" s="1" t="s">
        <v>18</v>
      </c>
      <c r="P713" s="1" t="s">
        <v>135</v>
      </c>
      <c r="Q713">
        <v>906</v>
      </c>
      <c r="R713" s="1" t="s">
        <v>63</v>
      </c>
      <c r="S713">
        <v>10</v>
      </c>
      <c r="T713">
        <v>1</v>
      </c>
      <c r="U713">
        <v>4</v>
      </c>
      <c r="V713">
        <v>92</v>
      </c>
      <c r="W713">
        <v>2</v>
      </c>
      <c r="X713">
        <v>1</v>
      </c>
      <c r="Y713" s="1" t="s">
        <v>5</v>
      </c>
      <c r="Z713">
        <v>1</v>
      </c>
      <c r="AA713">
        <v>2404</v>
      </c>
      <c r="AB713">
        <v>11479</v>
      </c>
      <c r="AC713" s="1" t="s">
        <v>18</v>
      </c>
      <c r="AD713">
        <v>20</v>
      </c>
      <c r="AE713">
        <v>4</v>
      </c>
      <c r="AF713">
        <v>3</v>
      </c>
      <c r="AG713">
        <v>80</v>
      </c>
      <c r="AH713">
        <v>0</v>
      </c>
      <c r="AI713">
        <v>3</v>
      </c>
      <c r="AJ713">
        <v>1</v>
      </c>
      <c r="AK713" s="1" t="s">
        <v>136</v>
      </c>
    </row>
    <row r="714" spans="1:37" x14ac:dyDescent="0.25">
      <c r="A714">
        <v>995</v>
      </c>
      <c r="B714">
        <v>33</v>
      </c>
      <c r="C714" s="1" t="s">
        <v>24</v>
      </c>
      <c r="D714" s="1" t="s">
        <v>71</v>
      </c>
      <c r="E714">
        <v>1</v>
      </c>
      <c r="F714" s="1" t="s">
        <v>134</v>
      </c>
      <c r="G714">
        <v>3</v>
      </c>
      <c r="H714" s="1" t="s">
        <v>18</v>
      </c>
      <c r="I714">
        <v>5</v>
      </c>
      <c r="J714">
        <v>4</v>
      </c>
      <c r="K714">
        <v>3</v>
      </c>
      <c r="L714">
        <v>2</v>
      </c>
      <c r="M714">
        <v>0</v>
      </c>
      <c r="N714">
        <v>2</v>
      </c>
      <c r="O714" s="1" t="s">
        <v>19</v>
      </c>
      <c r="P714" s="1" t="s">
        <v>135</v>
      </c>
      <c r="Q714">
        <v>461</v>
      </c>
      <c r="R714" s="1" t="s">
        <v>63</v>
      </c>
      <c r="S714">
        <v>13</v>
      </c>
      <c r="T714">
        <v>1</v>
      </c>
      <c r="U714">
        <v>2</v>
      </c>
      <c r="V714">
        <v>53</v>
      </c>
      <c r="W714">
        <v>3</v>
      </c>
      <c r="X714">
        <v>1</v>
      </c>
      <c r="Y714" s="1" t="s">
        <v>5</v>
      </c>
      <c r="Z714">
        <v>4</v>
      </c>
      <c r="AA714">
        <v>3452</v>
      </c>
      <c r="AB714">
        <v>17241</v>
      </c>
      <c r="AC714" s="1" t="s">
        <v>19</v>
      </c>
      <c r="AD714">
        <v>18</v>
      </c>
      <c r="AE714">
        <v>3</v>
      </c>
      <c r="AF714">
        <v>1</v>
      </c>
      <c r="AG714">
        <v>80</v>
      </c>
      <c r="AH714">
        <v>0</v>
      </c>
      <c r="AI714">
        <v>3</v>
      </c>
      <c r="AJ714">
        <v>0</v>
      </c>
      <c r="AK714" s="1" t="s">
        <v>136</v>
      </c>
    </row>
    <row r="715" spans="1:37" x14ac:dyDescent="0.25">
      <c r="A715">
        <v>996</v>
      </c>
      <c r="B715">
        <v>45</v>
      </c>
      <c r="C715" s="1" t="s">
        <v>24</v>
      </c>
      <c r="D715" s="1" t="s">
        <v>69</v>
      </c>
      <c r="E715">
        <v>4</v>
      </c>
      <c r="F715" s="1" t="s">
        <v>139</v>
      </c>
      <c r="G715">
        <v>3</v>
      </c>
      <c r="H715" s="1" t="s">
        <v>18</v>
      </c>
      <c r="I715">
        <v>8</v>
      </c>
      <c r="J715">
        <v>2</v>
      </c>
      <c r="K715">
        <v>5</v>
      </c>
      <c r="L715">
        <v>3</v>
      </c>
      <c r="M715">
        <v>0</v>
      </c>
      <c r="N715">
        <v>2</v>
      </c>
      <c r="O715" s="1" t="s">
        <v>19</v>
      </c>
      <c r="P715" s="1" t="s">
        <v>135</v>
      </c>
      <c r="Q715">
        <v>974</v>
      </c>
      <c r="R715" s="1" t="s">
        <v>63</v>
      </c>
      <c r="S715">
        <v>1</v>
      </c>
      <c r="T715">
        <v>1</v>
      </c>
      <c r="U715">
        <v>4</v>
      </c>
      <c r="V715">
        <v>91</v>
      </c>
      <c r="W715">
        <v>3</v>
      </c>
      <c r="X715">
        <v>1</v>
      </c>
      <c r="Y715" s="1" t="s">
        <v>6</v>
      </c>
      <c r="Z715">
        <v>4</v>
      </c>
      <c r="AA715">
        <v>2270</v>
      </c>
      <c r="AB715">
        <v>11005</v>
      </c>
      <c r="AC715" s="1" t="s">
        <v>19</v>
      </c>
      <c r="AD715">
        <v>14</v>
      </c>
      <c r="AE715">
        <v>3</v>
      </c>
      <c r="AF715">
        <v>4</v>
      </c>
      <c r="AG715">
        <v>80</v>
      </c>
      <c r="AH715">
        <v>2</v>
      </c>
      <c r="AI715">
        <v>3</v>
      </c>
      <c r="AJ715">
        <v>0</v>
      </c>
      <c r="AK715" s="1" t="s">
        <v>136</v>
      </c>
    </row>
    <row r="716" spans="1:37" x14ac:dyDescent="0.25">
      <c r="A716">
        <v>997</v>
      </c>
      <c r="B716">
        <v>50</v>
      </c>
      <c r="C716" s="1" t="s">
        <v>25</v>
      </c>
      <c r="D716" s="1" t="s">
        <v>69</v>
      </c>
      <c r="E716">
        <v>2</v>
      </c>
      <c r="F716" s="1" t="s">
        <v>139</v>
      </c>
      <c r="G716">
        <v>9</v>
      </c>
      <c r="H716" s="1" t="s">
        <v>18</v>
      </c>
      <c r="I716">
        <v>32</v>
      </c>
      <c r="J716">
        <v>1</v>
      </c>
      <c r="K716">
        <v>5</v>
      </c>
      <c r="L716">
        <v>4</v>
      </c>
      <c r="M716">
        <v>1</v>
      </c>
      <c r="N716">
        <v>3</v>
      </c>
      <c r="O716" s="1" t="s">
        <v>19</v>
      </c>
      <c r="P716" s="1" t="s">
        <v>135</v>
      </c>
      <c r="Q716">
        <v>1126</v>
      </c>
      <c r="R716" s="1" t="s">
        <v>63</v>
      </c>
      <c r="S716">
        <v>1</v>
      </c>
      <c r="T716">
        <v>1</v>
      </c>
      <c r="U716">
        <v>4</v>
      </c>
      <c r="V716">
        <v>66</v>
      </c>
      <c r="W716">
        <v>3</v>
      </c>
      <c r="X716">
        <v>4</v>
      </c>
      <c r="Y716" s="1" t="s">
        <v>11</v>
      </c>
      <c r="Z716">
        <v>4</v>
      </c>
      <c r="AA716">
        <v>17399</v>
      </c>
      <c r="AB716">
        <v>6615</v>
      </c>
      <c r="AC716" s="1" t="s">
        <v>19</v>
      </c>
      <c r="AD716">
        <v>22</v>
      </c>
      <c r="AE716">
        <v>4</v>
      </c>
      <c r="AF716">
        <v>3</v>
      </c>
      <c r="AG716">
        <v>80</v>
      </c>
      <c r="AH716">
        <v>1</v>
      </c>
      <c r="AI716">
        <v>2</v>
      </c>
      <c r="AJ716">
        <v>0</v>
      </c>
      <c r="AK716" s="1" t="s">
        <v>140</v>
      </c>
    </row>
    <row r="717" spans="1:37" x14ac:dyDescent="0.25">
      <c r="A717">
        <v>998</v>
      </c>
      <c r="B717">
        <v>33</v>
      </c>
      <c r="C717" s="1" t="s">
        <v>24</v>
      </c>
      <c r="D717" s="1" t="s">
        <v>70</v>
      </c>
      <c r="E717">
        <v>4</v>
      </c>
      <c r="F717" s="1" t="s">
        <v>138</v>
      </c>
      <c r="G717">
        <v>1</v>
      </c>
      <c r="H717" s="1" t="s">
        <v>18</v>
      </c>
      <c r="I717">
        <v>6</v>
      </c>
      <c r="J717">
        <v>2</v>
      </c>
      <c r="K717">
        <v>6</v>
      </c>
      <c r="L717">
        <v>5</v>
      </c>
      <c r="M717">
        <v>1</v>
      </c>
      <c r="N717">
        <v>2</v>
      </c>
      <c r="O717" s="1" t="s">
        <v>19</v>
      </c>
      <c r="P717" s="1" t="s">
        <v>137</v>
      </c>
      <c r="Q717">
        <v>827</v>
      </c>
      <c r="R717" s="1" t="s">
        <v>63</v>
      </c>
      <c r="S717">
        <v>1</v>
      </c>
      <c r="T717">
        <v>1</v>
      </c>
      <c r="U717">
        <v>3</v>
      </c>
      <c r="V717">
        <v>84</v>
      </c>
      <c r="W717">
        <v>4</v>
      </c>
      <c r="X717">
        <v>2</v>
      </c>
      <c r="Y717" s="1" t="s">
        <v>8</v>
      </c>
      <c r="Z717">
        <v>2</v>
      </c>
      <c r="AA717">
        <v>5488</v>
      </c>
      <c r="AB717">
        <v>20161</v>
      </c>
      <c r="AC717" s="1" t="s">
        <v>18</v>
      </c>
      <c r="AD717">
        <v>13</v>
      </c>
      <c r="AE717">
        <v>3</v>
      </c>
      <c r="AF717">
        <v>1</v>
      </c>
      <c r="AG717">
        <v>80</v>
      </c>
      <c r="AH717">
        <v>1</v>
      </c>
      <c r="AI717">
        <v>3</v>
      </c>
      <c r="AJ717">
        <v>0</v>
      </c>
      <c r="AK717" s="1" t="s">
        <v>136</v>
      </c>
    </row>
    <row r="718" spans="1:37" x14ac:dyDescent="0.25">
      <c r="A718">
        <v>999</v>
      </c>
      <c r="B718">
        <v>41</v>
      </c>
      <c r="C718" s="1" t="s">
        <v>25</v>
      </c>
      <c r="D718" s="1" t="s">
        <v>69</v>
      </c>
      <c r="E718">
        <v>3</v>
      </c>
      <c r="F718" s="1" t="s">
        <v>139</v>
      </c>
      <c r="G718">
        <v>2</v>
      </c>
      <c r="H718" s="1" t="s">
        <v>18</v>
      </c>
      <c r="I718">
        <v>21</v>
      </c>
      <c r="J718">
        <v>2</v>
      </c>
      <c r="K718">
        <v>18</v>
      </c>
      <c r="L718">
        <v>16</v>
      </c>
      <c r="M718">
        <v>0</v>
      </c>
      <c r="N718">
        <v>11</v>
      </c>
      <c r="O718" s="1" t="s">
        <v>19</v>
      </c>
      <c r="P718" s="1" t="s">
        <v>137</v>
      </c>
      <c r="Q718">
        <v>840</v>
      </c>
      <c r="R718" s="1" t="s">
        <v>63</v>
      </c>
      <c r="S718">
        <v>9</v>
      </c>
      <c r="T718">
        <v>1</v>
      </c>
      <c r="U718">
        <v>1</v>
      </c>
      <c r="V718">
        <v>64</v>
      </c>
      <c r="W718">
        <v>3</v>
      </c>
      <c r="X718">
        <v>5</v>
      </c>
      <c r="Y718" s="1" t="s">
        <v>11</v>
      </c>
      <c r="Z718">
        <v>3</v>
      </c>
      <c r="AA718">
        <v>19419</v>
      </c>
      <c r="AB718">
        <v>3735</v>
      </c>
      <c r="AC718" s="1" t="s">
        <v>19</v>
      </c>
      <c r="AD718">
        <v>17</v>
      </c>
      <c r="AE718">
        <v>3</v>
      </c>
      <c r="AF718">
        <v>2</v>
      </c>
      <c r="AG718">
        <v>80</v>
      </c>
      <c r="AH718">
        <v>1</v>
      </c>
      <c r="AI718">
        <v>4</v>
      </c>
      <c r="AJ718">
        <v>0</v>
      </c>
      <c r="AK718" s="1" t="s">
        <v>136</v>
      </c>
    </row>
    <row r="719" spans="1:37" x14ac:dyDescent="0.25">
      <c r="A719">
        <v>1001</v>
      </c>
      <c r="B719">
        <v>27</v>
      </c>
      <c r="C719" s="1" t="s">
        <v>24</v>
      </c>
      <c r="D719" s="1" t="s">
        <v>70</v>
      </c>
      <c r="E719">
        <v>4</v>
      </c>
      <c r="F719" s="1" t="s">
        <v>143</v>
      </c>
      <c r="G719">
        <v>9</v>
      </c>
      <c r="H719" s="1" t="s">
        <v>18</v>
      </c>
      <c r="I719">
        <v>4</v>
      </c>
      <c r="J719">
        <v>2</v>
      </c>
      <c r="K719">
        <v>2</v>
      </c>
      <c r="L719">
        <v>2</v>
      </c>
      <c r="M719">
        <v>2</v>
      </c>
      <c r="N719">
        <v>2</v>
      </c>
      <c r="O719" s="1" t="s">
        <v>19</v>
      </c>
      <c r="P719" s="1" t="s">
        <v>135</v>
      </c>
      <c r="Q719">
        <v>1134</v>
      </c>
      <c r="R719" s="1" t="s">
        <v>63</v>
      </c>
      <c r="S719">
        <v>16</v>
      </c>
      <c r="T719">
        <v>1</v>
      </c>
      <c r="U719">
        <v>3</v>
      </c>
      <c r="V719">
        <v>37</v>
      </c>
      <c r="W719">
        <v>3</v>
      </c>
      <c r="X719">
        <v>1</v>
      </c>
      <c r="Y719" s="1" t="s">
        <v>6</v>
      </c>
      <c r="Z719">
        <v>2</v>
      </c>
      <c r="AA719">
        <v>2811</v>
      </c>
      <c r="AB719">
        <v>12086</v>
      </c>
      <c r="AC719" s="1" t="s">
        <v>19</v>
      </c>
      <c r="AD719">
        <v>14</v>
      </c>
      <c r="AE719">
        <v>3</v>
      </c>
      <c r="AF719">
        <v>2</v>
      </c>
      <c r="AG719">
        <v>80</v>
      </c>
      <c r="AH719">
        <v>1</v>
      </c>
      <c r="AI719">
        <v>3</v>
      </c>
      <c r="AJ719">
        <v>0</v>
      </c>
      <c r="AK719" s="1" t="s">
        <v>136</v>
      </c>
    </row>
    <row r="720" spans="1:37" x14ac:dyDescent="0.25">
      <c r="A720">
        <v>1002</v>
      </c>
      <c r="B720">
        <v>45</v>
      </c>
      <c r="C720" s="1" t="s">
        <v>25</v>
      </c>
      <c r="D720" s="1" t="s">
        <v>70</v>
      </c>
      <c r="E720">
        <v>2</v>
      </c>
      <c r="F720" s="1" t="s">
        <v>134</v>
      </c>
      <c r="G720">
        <v>1</v>
      </c>
      <c r="H720" s="1" t="s">
        <v>18</v>
      </c>
      <c r="I720">
        <v>9</v>
      </c>
      <c r="J720">
        <v>2</v>
      </c>
      <c r="K720">
        <v>9</v>
      </c>
      <c r="L720">
        <v>8</v>
      </c>
      <c r="M720">
        <v>0</v>
      </c>
      <c r="N720">
        <v>8</v>
      </c>
      <c r="O720" s="1" t="s">
        <v>19</v>
      </c>
      <c r="P720" s="1" t="s">
        <v>141</v>
      </c>
      <c r="Q720">
        <v>248</v>
      </c>
      <c r="R720" s="1" t="s">
        <v>63</v>
      </c>
      <c r="S720">
        <v>23</v>
      </c>
      <c r="T720">
        <v>1</v>
      </c>
      <c r="U720">
        <v>4</v>
      </c>
      <c r="V720">
        <v>42</v>
      </c>
      <c r="W720">
        <v>3</v>
      </c>
      <c r="X720">
        <v>2</v>
      </c>
      <c r="Y720" s="1" t="s">
        <v>6</v>
      </c>
      <c r="Z720">
        <v>1</v>
      </c>
      <c r="AA720">
        <v>3633</v>
      </c>
      <c r="AB720">
        <v>14039</v>
      </c>
      <c r="AC720" s="1" t="s">
        <v>18</v>
      </c>
      <c r="AD720">
        <v>15</v>
      </c>
      <c r="AE720">
        <v>3</v>
      </c>
      <c r="AF720">
        <v>3</v>
      </c>
      <c r="AG720">
        <v>80</v>
      </c>
      <c r="AH720">
        <v>1</v>
      </c>
      <c r="AI720">
        <v>3</v>
      </c>
      <c r="AJ720">
        <v>0</v>
      </c>
      <c r="AK720" s="1" t="s">
        <v>136</v>
      </c>
    </row>
    <row r="721" spans="1:37" x14ac:dyDescent="0.25">
      <c r="A721">
        <v>1003</v>
      </c>
      <c r="B721">
        <v>47</v>
      </c>
      <c r="C721" s="1" t="s">
        <v>24</v>
      </c>
      <c r="D721" s="1" t="s">
        <v>71</v>
      </c>
      <c r="E721">
        <v>2</v>
      </c>
      <c r="F721" s="1" t="s">
        <v>134</v>
      </c>
      <c r="G721">
        <v>1</v>
      </c>
      <c r="H721" s="1" t="s">
        <v>18</v>
      </c>
      <c r="I721">
        <v>9</v>
      </c>
      <c r="J721">
        <v>0</v>
      </c>
      <c r="K721">
        <v>9</v>
      </c>
      <c r="L721">
        <v>0</v>
      </c>
      <c r="M721">
        <v>0</v>
      </c>
      <c r="N721">
        <v>7</v>
      </c>
      <c r="O721" s="1" t="s">
        <v>19</v>
      </c>
      <c r="P721" s="1" t="s">
        <v>135</v>
      </c>
      <c r="Q721">
        <v>955</v>
      </c>
      <c r="R721" s="1" t="s">
        <v>64</v>
      </c>
      <c r="S721">
        <v>4</v>
      </c>
      <c r="T721">
        <v>1</v>
      </c>
      <c r="U721">
        <v>4</v>
      </c>
      <c r="V721">
        <v>83</v>
      </c>
      <c r="W721">
        <v>3</v>
      </c>
      <c r="X721">
        <v>2</v>
      </c>
      <c r="Y721" s="1" t="s">
        <v>4</v>
      </c>
      <c r="Z721">
        <v>4</v>
      </c>
      <c r="AA721">
        <v>4163</v>
      </c>
      <c r="AB721">
        <v>8571</v>
      </c>
      <c r="AC721" s="1" t="s">
        <v>18</v>
      </c>
      <c r="AD721">
        <v>17</v>
      </c>
      <c r="AE721">
        <v>3</v>
      </c>
      <c r="AF721">
        <v>3</v>
      </c>
      <c r="AG721">
        <v>80</v>
      </c>
      <c r="AH721">
        <v>0</v>
      </c>
      <c r="AI721">
        <v>3</v>
      </c>
      <c r="AJ721">
        <v>0</v>
      </c>
      <c r="AK721" s="1" t="s">
        <v>136</v>
      </c>
    </row>
    <row r="722" spans="1:37" x14ac:dyDescent="0.25">
      <c r="A722">
        <v>1004</v>
      </c>
      <c r="B722">
        <v>30</v>
      </c>
      <c r="C722" s="1" t="s">
        <v>24</v>
      </c>
      <c r="D722" s="1" t="s">
        <v>70</v>
      </c>
      <c r="E722">
        <v>3</v>
      </c>
      <c r="F722" s="1" t="s">
        <v>134</v>
      </c>
      <c r="G722">
        <v>4</v>
      </c>
      <c r="H722" s="1" t="s">
        <v>18</v>
      </c>
      <c r="I722">
        <v>7</v>
      </c>
      <c r="J722">
        <v>2</v>
      </c>
      <c r="K722">
        <v>5</v>
      </c>
      <c r="L722">
        <v>2</v>
      </c>
      <c r="M722">
        <v>0</v>
      </c>
      <c r="N722">
        <v>1</v>
      </c>
      <c r="O722" s="1" t="s">
        <v>18</v>
      </c>
      <c r="P722" s="1" t="s">
        <v>135</v>
      </c>
      <c r="Q722">
        <v>138</v>
      </c>
      <c r="R722" s="1" t="s">
        <v>63</v>
      </c>
      <c r="S722">
        <v>22</v>
      </c>
      <c r="T722">
        <v>1</v>
      </c>
      <c r="U722">
        <v>1</v>
      </c>
      <c r="V722">
        <v>48</v>
      </c>
      <c r="W722">
        <v>3</v>
      </c>
      <c r="X722">
        <v>1</v>
      </c>
      <c r="Y722" s="1" t="s">
        <v>5</v>
      </c>
      <c r="Z722">
        <v>3</v>
      </c>
      <c r="AA722">
        <v>2132</v>
      </c>
      <c r="AB722">
        <v>11539</v>
      </c>
      <c r="AC722" s="1" t="s">
        <v>18</v>
      </c>
      <c r="AD722">
        <v>11</v>
      </c>
      <c r="AE722">
        <v>3</v>
      </c>
      <c r="AF722">
        <v>2</v>
      </c>
      <c r="AG722">
        <v>80</v>
      </c>
      <c r="AH722">
        <v>0</v>
      </c>
      <c r="AI722">
        <v>3</v>
      </c>
      <c r="AJ722">
        <v>1</v>
      </c>
      <c r="AK722" s="1" t="s">
        <v>136</v>
      </c>
    </row>
    <row r="723" spans="1:37" x14ac:dyDescent="0.25">
      <c r="A723">
        <v>1005</v>
      </c>
      <c r="B723">
        <v>50</v>
      </c>
      <c r="C723" s="1" t="s">
        <v>25</v>
      </c>
      <c r="D723" s="1" t="s">
        <v>70</v>
      </c>
      <c r="E723">
        <v>3</v>
      </c>
      <c r="F723" s="1" t="s">
        <v>134</v>
      </c>
      <c r="G723">
        <v>3</v>
      </c>
      <c r="H723" s="1" t="s">
        <v>18</v>
      </c>
      <c r="I723">
        <v>22</v>
      </c>
      <c r="J723">
        <v>2</v>
      </c>
      <c r="K723">
        <v>12</v>
      </c>
      <c r="L723">
        <v>11</v>
      </c>
      <c r="M723">
        <v>1</v>
      </c>
      <c r="N723">
        <v>5</v>
      </c>
      <c r="O723" s="1" t="s">
        <v>19</v>
      </c>
      <c r="P723" s="1" t="s">
        <v>135</v>
      </c>
      <c r="Q723">
        <v>939</v>
      </c>
      <c r="R723" s="1" t="s">
        <v>63</v>
      </c>
      <c r="S723">
        <v>24</v>
      </c>
      <c r="T723">
        <v>1</v>
      </c>
      <c r="U723">
        <v>4</v>
      </c>
      <c r="V723">
        <v>95</v>
      </c>
      <c r="W723">
        <v>3</v>
      </c>
      <c r="X723">
        <v>4</v>
      </c>
      <c r="Y723" s="1" t="s">
        <v>7</v>
      </c>
      <c r="Z723">
        <v>3</v>
      </c>
      <c r="AA723">
        <v>13973</v>
      </c>
      <c r="AB723">
        <v>4161</v>
      </c>
      <c r="AC723" s="1" t="s">
        <v>18</v>
      </c>
      <c r="AD723">
        <v>18</v>
      </c>
      <c r="AE723">
        <v>3</v>
      </c>
      <c r="AF723">
        <v>4</v>
      </c>
      <c r="AG723">
        <v>80</v>
      </c>
      <c r="AH723">
        <v>1</v>
      </c>
      <c r="AI723">
        <v>3</v>
      </c>
      <c r="AJ723">
        <v>0</v>
      </c>
      <c r="AK723" s="1" t="s">
        <v>140</v>
      </c>
    </row>
    <row r="724" spans="1:37" x14ac:dyDescent="0.25">
      <c r="A724">
        <v>1006</v>
      </c>
      <c r="B724">
        <v>38</v>
      </c>
      <c r="C724" s="1" t="s">
        <v>25</v>
      </c>
      <c r="D724" s="1" t="s">
        <v>70</v>
      </c>
      <c r="E724">
        <v>1</v>
      </c>
      <c r="F724" s="1" t="s">
        <v>139</v>
      </c>
      <c r="G724">
        <v>0</v>
      </c>
      <c r="H724" s="1" t="s">
        <v>18</v>
      </c>
      <c r="I724">
        <v>3</v>
      </c>
      <c r="J724">
        <v>0</v>
      </c>
      <c r="K724">
        <v>2</v>
      </c>
      <c r="L724">
        <v>1</v>
      </c>
      <c r="M724">
        <v>0</v>
      </c>
      <c r="N724">
        <v>2</v>
      </c>
      <c r="O724" s="1" t="s">
        <v>19</v>
      </c>
      <c r="P724" s="1" t="s">
        <v>137</v>
      </c>
      <c r="Q724">
        <v>1391</v>
      </c>
      <c r="R724" s="1" t="s">
        <v>63</v>
      </c>
      <c r="S724">
        <v>10</v>
      </c>
      <c r="T724">
        <v>1</v>
      </c>
      <c r="U724">
        <v>3</v>
      </c>
      <c r="V724">
        <v>66</v>
      </c>
      <c r="W724">
        <v>3</v>
      </c>
      <c r="X724">
        <v>1</v>
      </c>
      <c r="Y724" s="1" t="s">
        <v>5</v>
      </c>
      <c r="Z724">
        <v>3</v>
      </c>
      <c r="AA724">
        <v>2684</v>
      </c>
      <c r="AB724">
        <v>12127</v>
      </c>
      <c r="AC724" s="1" t="s">
        <v>19</v>
      </c>
      <c r="AD724">
        <v>17</v>
      </c>
      <c r="AE724">
        <v>3</v>
      </c>
      <c r="AF724">
        <v>2</v>
      </c>
      <c r="AG724">
        <v>80</v>
      </c>
      <c r="AH724">
        <v>1</v>
      </c>
      <c r="AI724">
        <v>2</v>
      </c>
      <c r="AJ724">
        <v>0</v>
      </c>
      <c r="AK724" s="1" t="s">
        <v>136</v>
      </c>
    </row>
    <row r="725" spans="1:37" x14ac:dyDescent="0.25">
      <c r="A725">
        <v>1007</v>
      </c>
      <c r="B725">
        <v>46</v>
      </c>
      <c r="C725" s="1" t="s">
        <v>25</v>
      </c>
      <c r="D725" s="1" t="s">
        <v>69</v>
      </c>
      <c r="E725">
        <v>2</v>
      </c>
      <c r="F725" s="1" t="s">
        <v>139</v>
      </c>
      <c r="G725">
        <v>6</v>
      </c>
      <c r="H725" s="1" t="s">
        <v>18</v>
      </c>
      <c r="I725">
        <v>13</v>
      </c>
      <c r="J725">
        <v>3</v>
      </c>
      <c r="K725">
        <v>8</v>
      </c>
      <c r="L725">
        <v>7</v>
      </c>
      <c r="M725">
        <v>0</v>
      </c>
      <c r="N725">
        <v>7</v>
      </c>
      <c r="O725" s="1" t="s">
        <v>19</v>
      </c>
      <c r="P725" s="1" t="s">
        <v>135</v>
      </c>
      <c r="Q725">
        <v>566</v>
      </c>
      <c r="R725" s="1" t="s">
        <v>63</v>
      </c>
      <c r="S725">
        <v>7</v>
      </c>
      <c r="T725">
        <v>1</v>
      </c>
      <c r="U725">
        <v>4</v>
      </c>
      <c r="V725">
        <v>75</v>
      </c>
      <c r="W725">
        <v>3</v>
      </c>
      <c r="X725">
        <v>3</v>
      </c>
      <c r="Y725" s="1" t="s">
        <v>7</v>
      </c>
      <c r="Z725">
        <v>3</v>
      </c>
      <c r="AA725">
        <v>10845</v>
      </c>
      <c r="AB725">
        <v>24208</v>
      </c>
      <c r="AC725" s="1" t="s">
        <v>19</v>
      </c>
      <c r="AD725">
        <v>13</v>
      </c>
      <c r="AE725">
        <v>3</v>
      </c>
      <c r="AF725">
        <v>2</v>
      </c>
      <c r="AG725">
        <v>80</v>
      </c>
      <c r="AH725">
        <v>1</v>
      </c>
      <c r="AI725">
        <v>3</v>
      </c>
      <c r="AJ725">
        <v>0</v>
      </c>
      <c r="AK725" s="1" t="s">
        <v>136</v>
      </c>
    </row>
    <row r="726" spans="1:37" x14ac:dyDescent="0.25">
      <c r="A726">
        <v>1009</v>
      </c>
      <c r="B726">
        <v>24</v>
      </c>
      <c r="C726" s="1" t="s">
        <v>24</v>
      </c>
      <c r="D726" s="1" t="s">
        <v>69</v>
      </c>
      <c r="E726">
        <v>1</v>
      </c>
      <c r="F726" s="1" t="s">
        <v>139</v>
      </c>
      <c r="G726">
        <v>1</v>
      </c>
      <c r="H726" s="1" t="s">
        <v>18</v>
      </c>
      <c r="I726">
        <v>5</v>
      </c>
      <c r="J726">
        <v>6</v>
      </c>
      <c r="K726">
        <v>4</v>
      </c>
      <c r="L726">
        <v>2</v>
      </c>
      <c r="M726">
        <v>3</v>
      </c>
      <c r="N726">
        <v>2</v>
      </c>
      <c r="O726" s="1" t="s">
        <v>19</v>
      </c>
      <c r="P726" s="1" t="s">
        <v>135</v>
      </c>
      <c r="Q726">
        <v>1206</v>
      </c>
      <c r="R726" s="1" t="s">
        <v>63</v>
      </c>
      <c r="S726">
        <v>17</v>
      </c>
      <c r="T726">
        <v>1</v>
      </c>
      <c r="U726">
        <v>4</v>
      </c>
      <c r="V726">
        <v>41</v>
      </c>
      <c r="W726">
        <v>2</v>
      </c>
      <c r="X726">
        <v>2</v>
      </c>
      <c r="Y726" s="1" t="s">
        <v>7</v>
      </c>
      <c r="Z726">
        <v>3</v>
      </c>
      <c r="AA726">
        <v>4377</v>
      </c>
      <c r="AB726">
        <v>24117</v>
      </c>
      <c r="AC726" s="1" t="s">
        <v>19</v>
      </c>
      <c r="AD726">
        <v>15</v>
      </c>
      <c r="AE726">
        <v>3</v>
      </c>
      <c r="AF726">
        <v>2</v>
      </c>
      <c r="AG726">
        <v>80</v>
      </c>
      <c r="AH726">
        <v>2</v>
      </c>
      <c r="AI726">
        <v>3</v>
      </c>
      <c r="AJ726">
        <v>0</v>
      </c>
      <c r="AK726" s="1" t="s">
        <v>136</v>
      </c>
    </row>
    <row r="727" spans="1:37" x14ac:dyDescent="0.25">
      <c r="A727">
        <v>1010</v>
      </c>
      <c r="B727">
        <v>35</v>
      </c>
      <c r="C727" s="1" t="s">
        <v>25</v>
      </c>
      <c r="D727" s="1" t="s">
        <v>69</v>
      </c>
      <c r="E727">
        <v>4</v>
      </c>
      <c r="F727" s="1" t="s">
        <v>138</v>
      </c>
      <c r="G727">
        <v>1</v>
      </c>
      <c r="H727" s="1" t="s">
        <v>18</v>
      </c>
      <c r="I727">
        <v>5</v>
      </c>
      <c r="J727">
        <v>2</v>
      </c>
      <c r="K727">
        <v>4</v>
      </c>
      <c r="L727">
        <v>2</v>
      </c>
      <c r="M727">
        <v>0</v>
      </c>
      <c r="N727">
        <v>2</v>
      </c>
      <c r="O727" s="1" t="s">
        <v>18</v>
      </c>
      <c r="P727" s="1" t="s">
        <v>135</v>
      </c>
      <c r="Q727">
        <v>622</v>
      </c>
      <c r="R727" s="1" t="s">
        <v>63</v>
      </c>
      <c r="S727">
        <v>14</v>
      </c>
      <c r="T727">
        <v>1</v>
      </c>
      <c r="U727">
        <v>3</v>
      </c>
      <c r="V727">
        <v>39</v>
      </c>
      <c r="W727">
        <v>2</v>
      </c>
      <c r="X727">
        <v>1</v>
      </c>
      <c r="Y727" s="1" t="s">
        <v>6</v>
      </c>
      <c r="Z727">
        <v>2</v>
      </c>
      <c r="AA727">
        <v>3743</v>
      </c>
      <c r="AB727">
        <v>10074</v>
      </c>
      <c r="AC727" s="1" t="s">
        <v>18</v>
      </c>
      <c r="AD727">
        <v>24</v>
      </c>
      <c r="AE727">
        <v>4</v>
      </c>
      <c r="AF727">
        <v>4</v>
      </c>
      <c r="AG727">
        <v>80</v>
      </c>
      <c r="AH727">
        <v>1</v>
      </c>
      <c r="AI727">
        <v>1</v>
      </c>
      <c r="AJ727">
        <v>1</v>
      </c>
      <c r="AK727" s="1" t="s">
        <v>136</v>
      </c>
    </row>
    <row r="728" spans="1:37" x14ac:dyDescent="0.25">
      <c r="A728">
        <v>1011</v>
      </c>
      <c r="B728">
        <v>31</v>
      </c>
      <c r="C728" s="1" t="s">
        <v>24</v>
      </c>
      <c r="D728" s="1" t="s">
        <v>70</v>
      </c>
      <c r="E728">
        <v>1</v>
      </c>
      <c r="F728" s="1" t="s">
        <v>134</v>
      </c>
      <c r="G728">
        <v>1</v>
      </c>
      <c r="H728" s="1" t="s">
        <v>18</v>
      </c>
      <c r="I728">
        <v>4</v>
      </c>
      <c r="J728">
        <v>1</v>
      </c>
      <c r="K728">
        <v>4</v>
      </c>
      <c r="L728">
        <v>3</v>
      </c>
      <c r="M728">
        <v>0</v>
      </c>
      <c r="N728">
        <v>3</v>
      </c>
      <c r="O728" s="1" t="s">
        <v>19</v>
      </c>
      <c r="P728" s="1" t="s">
        <v>137</v>
      </c>
      <c r="Q728">
        <v>853</v>
      </c>
      <c r="R728" s="1" t="s">
        <v>63</v>
      </c>
      <c r="S728">
        <v>1</v>
      </c>
      <c r="T728">
        <v>1</v>
      </c>
      <c r="U728">
        <v>3</v>
      </c>
      <c r="V728">
        <v>96</v>
      </c>
      <c r="W728">
        <v>3</v>
      </c>
      <c r="X728">
        <v>2</v>
      </c>
      <c r="Y728" s="1" t="s">
        <v>7</v>
      </c>
      <c r="Z728">
        <v>1</v>
      </c>
      <c r="AA728">
        <v>4148</v>
      </c>
      <c r="AB728">
        <v>11275</v>
      </c>
      <c r="AC728" s="1" t="s">
        <v>19</v>
      </c>
      <c r="AD728">
        <v>12</v>
      </c>
      <c r="AE728">
        <v>3</v>
      </c>
      <c r="AF728">
        <v>3</v>
      </c>
      <c r="AG728">
        <v>80</v>
      </c>
      <c r="AH728">
        <v>1</v>
      </c>
      <c r="AI728">
        <v>3</v>
      </c>
      <c r="AJ728">
        <v>0</v>
      </c>
      <c r="AK728" s="1" t="s">
        <v>136</v>
      </c>
    </row>
    <row r="729" spans="1:37" x14ac:dyDescent="0.25">
      <c r="A729">
        <v>1012</v>
      </c>
      <c r="B729">
        <v>18</v>
      </c>
      <c r="C729" s="1" t="s">
        <v>25</v>
      </c>
      <c r="D729" s="1" t="s">
        <v>71</v>
      </c>
      <c r="E729">
        <v>2</v>
      </c>
      <c r="F729" s="1" t="s">
        <v>134</v>
      </c>
      <c r="G729">
        <v>1</v>
      </c>
      <c r="H729" s="1" t="s">
        <v>18</v>
      </c>
      <c r="I729">
        <v>0</v>
      </c>
      <c r="J729">
        <v>2</v>
      </c>
      <c r="K729">
        <v>0</v>
      </c>
      <c r="L729">
        <v>0</v>
      </c>
      <c r="M729">
        <v>0</v>
      </c>
      <c r="N729">
        <v>0</v>
      </c>
      <c r="O729" s="1" t="s">
        <v>19</v>
      </c>
      <c r="P729" s="1" t="s">
        <v>141</v>
      </c>
      <c r="Q729">
        <v>287</v>
      </c>
      <c r="R729" s="1" t="s">
        <v>63</v>
      </c>
      <c r="S729">
        <v>5</v>
      </c>
      <c r="T729">
        <v>1</v>
      </c>
      <c r="U729">
        <v>2</v>
      </c>
      <c r="V729">
        <v>73</v>
      </c>
      <c r="W729">
        <v>3</v>
      </c>
      <c r="X729">
        <v>1</v>
      </c>
      <c r="Y729" s="1" t="s">
        <v>5</v>
      </c>
      <c r="Z729">
        <v>4</v>
      </c>
      <c r="AA729">
        <v>1051</v>
      </c>
      <c r="AB729">
        <v>13493</v>
      </c>
      <c r="AC729" s="1" t="s">
        <v>19</v>
      </c>
      <c r="AD729">
        <v>15</v>
      </c>
      <c r="AE729">
        <v>3</v>
      </c>
      <c r="AF729">
        <v>4</v>
      </c>
      <c r="AG729">
        <v>80</v>
      </c>
      <c r="AH729">
        <v>0</v>
      </c>
      <c r="AI729">
        <v>3</v>
      </c>
      <c r="AJ729">
        <v>0</v>
      </c>
      <c r="AK729" s="1" t="s">
        <v>136</v>
      </c>
    </row>
    <row r="730" spans="1:37" x14ac:dyDescent="0.25">
      <c r="A730">
        <v>1013</v>
      </c>
      <c r="B730">
        <v>54</v>
      </c>
      <c r="C730" s="1" t="s">
        <v>24</v>
      </c>
      <c r="D730" s="1" t="s">
        <v>70</v>
      </c>
      <c r="E730">
        <v>3</v>
      </c>
      <c r="F730" s="1" t="s">
        <v>143</v>
      </c>
      <c r="G730">
        <v>8</v>
      </c>
      <c r="H730" s="1" t="s">
        <v>18</v>
      </c>
      <c r="I730">
        <v>22</v>
      </c>
      <c r="J730">
        <v>2</v>
      </c>
      <c r="K730">
        <v>10</v>
      </c>
      <c r="L730">
        <v>7</v>
      </c>
      <c r="M730">
        <v>0</v>
      </c>
      <c r="N730">
        <v>8</v>
      </c>
      <c r="O730" s="1" t="s">
        <v>19</v>
      </c>
      <c r="P730" s="1" t="s">
        <v>135</v>
      </c>
      <c r="Q730">
        <v>1441</v>
      </c>
      <c r="R730" s="1" t="s">
        <v>63</v>
      </c>
      <c r="S730">
        <v>17</v>
      </c>
      <c r="T730">
        <v>1</v>
      </c>
      <c r="U730">
        <v>3</v>
      </c>
      <c r="V730">
        <v>56</v>
      </c>
      <c r="W730">
        <v>3</v>
      </c>
      <c r="X730">
        <v>3</v>
      </c>
      <c r="Y730" s="1" t="s">
        <v>7</v>
      </c>
      <c r="Z730">
        <v>3</v>
      </c>
      <c r="AA730">
        <v>10739</v>
      </c>
      <c r="AB730">
        <v>13943</v>
      </c>
      <c r="AC730" s="1" t="s">
        <v>19</v>
      </c>
      <c r="AD730">
        <v>11</v>
      </c>
      <c r="AE730">
        <v>3</v>
      </c>
      <c r="AF730">
        <v>3</v>
      </c>
      <c r="AG730">
        <v>80</v>
      </c>
      <c r="AH730">
        <v>1</v>
      </c>
      <c r="AI730">
        <v>3</v>
      </c>
      <c r="AJ730">
        <v>0</v>
      </c>
      <c r="AK730" s="1" t="s">
        <v>140</v>
      </c>
    </row>
    <row r="731" spans="1:37" x14ac:dyDescent="0.25">
      <c r="A731">
        <v>1014</v>
      </c>
      <c r="B731">
        <v>35</v>
      </c>
      <c r="C731" s="1" t="s">
        <v>24</v>
      </c>
      <c r="D731" s="1" t="s">
        <v>69</v>
      </c>
      <c r="E731">
        <v>4</v>
      </c>
      <c r="F731" s="1" t="s">
        <v>139</v>
      </c>
      <c r="G731">
        <v>1</v>
      </c>
      <c r="H731" s="1" t="s">
        <v>18</v>
      </c>
      <c r="I731">
        <v>16</v>
      </c>
      <c r="J731">
        <v>3</v>
      </c>
      <c r="K731">
        <v>16</v>
      </c>
      <c r="L731">
        <v>10</v>
      </c>
      <c r="M731">
        <v>10</v>
      </c>
      <c r="N731">
        <v>1</v>
      </c>
      <c r="O731" s="1" t="s">
        <v>19</v>
      </c>
      <c r="P731" s="1" t="s">
        <v>135</v>
      </c>
      <c r="Q731">
        <v>583</v>
      </c>
      <c r="R731" s="1" t="s">
        <v>63</v>
      </c>
      <c r="S731">
        <v>25</v>
      </c>
      <c r="T731">
        <v>1</v>
      </c>
      <c r="U731">
        <v>3</v>
      </c>
      <c r="V731">
        <v>57</v>
      </c>
      <c r="W731">
        <v>3</v>
      </c>
      <c r="X731">
        <v>3</v>
      </c>
      <c r="Y731" s="1" t="s">
        <v>8</v>
      </c>
      <c r="Z731">
        <v>3</v>
      </c>
      <c r="AA731">
        <v>10388</v>
      </c>
      <c r="AB731">
        <v>6975</v>
      </c>
      <c r="AC731" s="1" t="s">
        <v>18</v>
      </c>
      <c r="AD731">
        <v>11</v>
      </c>
      <c r="AE731">
        <v>3</v>
      </c>
      <c r="AF731">
        <v>3</v>
      </c>
      <c r="AG731">
        <v>80</v>
      </c>
      <c r="AH731">
        <v>1</v>
      </c>
      <c r="AI731">
        <v>2</v>
      </c>
      <c r="AJ731">
        <v>0</v>
      </c>
      <c r="AK731" s="1" t="s">
        <v>136</v>
      </c>
    </row>
    <row r="732" spans="1:37" x14ac:dyDescent="0.25">
      <c r="A732">
        <v>1015</v>
      </c>
      <c r="B732">
        <v>30</v>
      </c>
      <c r="C732" s="1" t="s">
        <v>24</v>
      </c>
      <c r="D732" s="1" t="s">
        <v>70</v>
      </c>
      <c r="E732">
        <v>2</v>
      </c>
      <c r="F732" s="1" t="s">
        <v>134</v>
      </c>
      <c r="G732">
        <v>0</v>
      </c>
      <c r="H732" s="1" t="s">
        <v>18</v>
      </c>
      <c r="I732">
        <v>9</v>
      </c>
      <c r="J732">
        <v>4</v>
      </c>
      <c r="K732">
        <v>8</v>
      </c>
      <c r="L732">
        <v>7</v>
      </c>
      <c r="M732">
        <v>1</v>
      </c>
      <c r="N732">
        <v>7</v>
      </c>
      <c r="O732" s="1" t="s">
        <v>19</v>
      </c>
      <c r="P732" s="1" t="s">
        <v>135</v>
      </c>
      <c r="Q732">
        <v>153</v>
      </c>
      <c r="R732" s="1" t="s">
        <v>63</v>
      </c>
      <c r="S732">
        <v>8</v>
      </c>
      <c r="T732">
        <v>1</v>
      </c>
      <c r="U732">
        <v>2</v>
      </c>
      <c r="V732">
        <v>73</v>
      </c>
      <c r="W732">
        <v>4</v>
      </c>
      <c r="X732">
        <v>3</v>
      </c>
      <c r="Y732" s="1" t="s">
        <v>11</v>
      </c>
      <c r="Z732">
        <v>1</v>
      </c>
      <c r="AA732">
        <v>11416</v>
      </c>
      <c r="AB732">
        <v>17802</v>
      </c>
      <c r="AC732" s="1" t="s">
        <v>18</v>
      </c>
      <c r="AD732">
        <v>12</v>
      </c>
      <c r="AE732">
        <v>3</v>
      </c>
      <c r="AF732">
        <v>3</v>
      </c>
      <c r="AG732">
        <v>80</v>
      </c>
      <c r="AH732">
        <v>3</v>
      </c>
      <c r="AI732">
        <v>2</v>
      </c>
      <c r="AJ732">
        <v>0</v>
      </c>
      <c r="AK732" s="1" t="s">
        <v>136</v>
      </c>
    </row>
    <row r="733" spans="1:37" x14ac:dyDescent="0.25">
      <c r="A733">
        <v>1016</v>
      </c>
      <c r="B733">
        <v>20</v>
      </c>
      <c r="C733" s="1" t="s">
        <v>24</v>
      </c>
      <c r="D733" s="1" t="s">
        <v>71</v>
      </c>
      <c r="E733">
        <v>3</v>
      </c>
      <c r="F733" s="1" t="s">
        <v>139</v>
      </c>
      <c r="G733">
        <v>1</v>
      </c>
      <c r="H733" s="1" t="s">
        <v>18</v>
      </c>
      <c r="I733">
        <v>1</v>
      </c>
      <c r="J733">
        <v>2</v>
      </c>
      <c r="K733">
        <v>1</v>
      </c>
      <c r="L733">
        <v>0</v>
      </c>
      <c r="M733">
        <v>0</v>
      </c>
      <c r="N733">
        <v>0</v>
      </c>
      <c r="O733" s="1" t="s">
        <v>18</v>
      </c>
      <c r="P733" s="1" t="s">
        <v>135</v>
      </c>
      <c r="Q733">
        <v>1097</v>
      </c>
      <c r="R733" s="1" t="s">
        <v>63</v>
      </c>
      <c r="S733">
        <v>11</v>
      </c>
      <c r="T733">
        <v>1</v>
      </c>
      <c r="U733">
        <v>4</v>
      </c>
      <c r="V733">
        <v>98</v>
      </c>
      <c r="W733">
        <v>2</v>
      </c>
      <c r="X733">
        <v>1</v>
      </c>
      <c r="Y733" s="1" t="s">
        <v>5</v>
      </c>
      <c r="Z733">
        <v>1</v>
      </c>
      <c r="AA733">
        <v>2600</v>
      </c>
      <c r="AB733">
        <v>18275</v>
      </c>
      <c r="AC733" s="1" t="s">
        <v>18</v>
      </c>
      <c r="AD733">
        <v>15</v>
      </c>
      <c r="AE733">
        <v>3</v>
      </c>
      <c r="AF733">
        <v>1</v>
      </c>
      <c r="AG733">
        <v>80</v>
      </c>
      <c r="AH733">
        <v>0</v>
      </c>
      <c r="AI733">
        <v>3</v>
      </c>
      <c r="AJ733">
        <v>1</v>
      </c>
      <c r="AK733" s="1" t="s">
        <v>136</v>
      </c>
    </row>
    <row r="734" spans="1:37" x14ac:dyDescent="0.25">
      <c r="A734">
        <v>1017</v>
      </c>
      <c r="B734">
        <v>30</v>
      </c>
      <c r="C734" s="1" t="s">
        <v>24</v>
      </c>
      <c r="D734" s="1" t="s">
        <v>71</v>
      </c>
      <c r="E734">
        <v>3</v>
      </c>
      <c r="F734" s="1" t="s">
        <v>139</v>
      </c>
      <c r="G734">
        <v>0</v>
      </c>
      <c r="H734" s="1" t="s">
        <v>18</v>
      </c>
      <c r="I734">
        <v>4</v>
      </c>
      <c r="J734">
        <v>3</v>
      </c>
      <c r="K734">
        <v>3</v>
      </c>
      <c r="L734">
        <v>2</v>
      </c>
      <c r="M734">
        <v>1</v>
      </c>
      <c r="N734">
        <v>2</v>
      </c>
      <c r="O734" s="1" t="s">
        <v>18</v>
      </c>
      <c r="P734" s="1" t="s">
        <v>137</v>
      </c>
      <c r="Q734">
        <v>109</v>
      </c>
      <c r="R734" s="1" t="s">
        <v>63</v>
      </c>
      <c r="S734">
        <v>5</v>
      </c>
      <c r="T734">
        <v>1</v>
      </c>
      <c r="U734">
        <v>2</v>
      </c>
      <c r="V734">
        <v>60</v>
      </c>
      <c r="W734">
        <v>3</v>
      </c>
      <c r="X734">
        <v>1</v>
      </c>
      <c r="Y734" s="1" t="s">
        <v>6</v>
      </c>
      <c r="Z734">
        <v>2</v>
      </c>
      <c r="AA734">
        <v>2422</v>
      </c>
      <c r="AB734">
        <v>25725</v>
      </c>
      <c r="AC734" s="1" t="s">
        <v>19</v>
      </c>
      <c r="AD734">
        <v>17</v>
      </c>
      <c r="AE734">
        <v>3</v>
      </c>
      <c r="AF734">
        <v>1</v>
      </c>
      <c r="AG734">
        <v>80</v>
      </c>
      <c r="AH734">
        <v>0</v>
      </c>
      <c r="AI734">
        <v>3</v>
      </c>
      <c r="AJ734">
        <v>1</v>
      </c>
      <c r="AK734" s="1" t="s">
        <v>136</v>
      </c>
    </row>
    <row r="735" spans="1:37" x14ac:dyDescent="0.25">
      <c r="A735">
        <v>1018</v>
      </c>
      <c r="B735">
        <v>26</v>
      </c>
      <c r="C735" s="1" t="s">
        <v>25</v>
      </c>
      <c r="D735" s="1" t="s">
        <v>70</v>
      </c>
      <c r="E735">
        <v>2</v>
      </c>
      <c r="F735" s="1" t="s">
        <v>139</v>
      </c>
      <c r="G735">
        <v>1</v>
      </c>
      <c r="H735" s="1" t="s">
        <v>18</v>
      </c>
      <c r="I735">
        <v>8</v>
      </c>
      <c r="J735">
        <v>2</v>
      </c>
      <c r="K735">
        <v>8</v>
      </c>
      <c r="L735">
        <v>7</v>
      </c>
      <c r="M735">
        <v>1</v>
      </c>
      <c r="N735">
        <v>3</v>
      </c>
      <c r="O735" s="1" t="s">
        <v>19</v>
      </c>
      <c r="P735" s="1" t="s">
        <v>135</v>
      </c>
      <c r="Q735">
        <v>1066</v>
      </c>
      <c r="R735" s="1" t="s">
        <v>63</v>
      </c>
      <c r="S735">
        <v>2</v>
      </c>
      <c r="T735">
        <v>1</v>
      </c>
      <c r="U735">
        <v>4</v>
      </c>
      <c r="V735">
        <v>32</v>
      </c>
      <c r="W735">
        <v>4</v>
      </c>
      <c r="X735">
        <v>2</v>
      </c>
      <c r="Y735" s="1" t="s">
        <v>7</v>
      </c>
      <c r="Z735">
        <v>4</v>
      </c>
      <c r="AA735">
        <v>5472</v>
      </c>
      <c r="AB735">
        <v>3334</v>
      </c>
      <c r="AC735" s="1" t="s">
        <v>19</v>
      </c>
      <c r="AD735">
        <v>12</v>
      </c>
      <c r="AE735">
        <v>3</v>
      </c>
      <c r="AF735">
        <v>2</v>
      </c>
      <c r="AG735">
        <v>80</v>
      </c>
      <c r="AH735">
        <v>0</v>
      </c>
      <c r="AI735">
        <v>3</v>
      </c>
      <c r="AJ735">
        <v>0</v>
      </c>
      <c r="AK735" s="1" t="s">
        <v>136</v>
      </c>
    </row>
    <row r="736" spans="1:37" x14ac:dyDescent="0.25">
      <c r="A736">
        <v>1019</v>
      </c>
      <c r="B736">
        <v>22</v>
      </c>
      <c r="C736" s="1" t="s">
        <v>25</v>
      </c>
      <c r="D736" s="1" t="s">
        <v>70</v>
      </c>
      <c r="E736">
        <v>1</v>
      </c>
      <c r="F736" s="1" t="s">
        <v>134</v>
      </c>
      <c r="G736">
        <v>1</v>
      </c>
      <c r="H736" s="1" t="s">
        <v>18</v>
      </c>
      <c r="I736">
        <v>4</v>
      </c>
      <c r="J736">
        <v>3</v>
      </c>
      <c r="K736">
        <v>4</v>
      </c>
      <c r="L736">
        <v>3</v>
      </c>
      <c r="M736">
        <v>1</v>
      </c>
      <c r="N736">
        <v>1</v>
      </c>
      <c r="O736" s="1" t="s">
        <v>19</v>
      </c>
      <c r="P736" s="1" t="s">
        <v>135</v>
      </c>
      <c r="Q736">
        <v>217</v>
      </c>
      <c r="R736" s="1" t="s">
        <v>63</v>
      </c>
      <c r="S736">
        <v>8</v>
      </c>
      <c r="T736">
        <v>1</v>
      </c>
      <c r="U736">
        <v>2</v>
      </c>
      <c r="V736">
        <v>94</v>
      </c>
      <c r="W736">
        <v>1</v>
      </c>
      <c r="X736">
        <v>1</v>
      </c>
      <c r="Y736" s="1" t="s">
        <v>6</v>
      </c>
      <c r="Z736">
        <v>1</v>
      </c>
      <c r="AA736">
        <v>2451</v>
      </c>
      <c r="AB736">
        <v>6881</v>
      </c>
      <c r="AC736" s="1" t="s">
        <v>19</v>
      </c>
      <c r="AD736">
        <v>15</v>
      </c>
      <c r="AE736">
        <v>3</v>
      </c>
      <c r="AF736">
        <v>1</v>
      </c>
      <c r="AG736">
        <v>80</v>
      </c>
      <c r="AH736">
        <v>1</v>
      </c>
      <c r="AI736">
        <v>2</v>
      </c>
      <c r="AJ736">
        <v>0</v>
      </c>
      <c r="AK736" s="1" t="s">
        <v>136</v>
      </c>
    </row>
    <row r="737" spans="1:37" x14ac:dyDescent="0.25">
      <c r="A737">
        <v>1022</v>
      </c>
      <c r="B737">
        <v>48</v>
      </c>
      <c r="C737" s="1" t="s">
        <v>25</v>
      </c>
      <c r="D737" s="1" t="s">
        <v>71</v>
      </c>
      <c r="E737">
        <v>3</v>
      </c>
      <c r="F737" s="1" t="s">
        <v>134</v>
      </c>
      <c r="G737">
        <v>2</v>
      </c>
      <c r="H737" s="1" t="s">
        <v>18</v>
      </c>
      <c r="I737">
        <v>19</v>
      </c>
      <c r="J737">
        <v>0</v>
      </c>
      <c r="K737">
        <v>2</v>
      </c>
      <c r="L737">
        <v>2</v>
      </c>
      <c r="M737">
        <v>2</v>
      </c>
      <c r="N737">
        <v>2</v>
      </c>
      <c r="O737" s="1" t="s">
        <v>19</v>
      </c>
      <c r="P737" s="1" t="s">
        <v>135</v>
      </c>
      <c r="Q737">
        <v>277</v>
      </c>
      <c r="R737" s="1" t="s">
        <v>63</v>
      </c>
      <c r="S737">
        <v>6</v>
      </c>
      <c r="T737">
        <v>1</v>
      </c>
      <c r="U737">
        <v>1</v>
      </c>
      <c r="V737">
        <v>97</v>
      </c>
      <c r="W737">
        <v>2</v>
      </c>
      <c r="X737">
        <v>2</v>
      </c>
      <c r="Y737" s="1" t="s">
        <v>8</v>
      </c>
      <c r="Z737">
        <v>3</v>
      </c>
      <c r="AA737">
        <v>4240</v>
      </c>
      <c r="AB737">
        <v>13119</v>
      </c>
      <c r="AC737" s="1" t="s">
        <v>19</v>
      </c>
      <c r="AD737">
        <v>13</v>
      </c>
      <c r="AE737">
        <v>3</v>
      </c>
      <c r="AF737">
        <v>4</v>
      </c>
      <c r="AG737">
        <v>80</v>
      </c>
      <c r="AH737">
        <v>0</v>
      </c>
      <c r="AI737">
        <v>3</v>
      </c>
      <c r="AJ737">
        <v>0</v>
      </c>
      <c r="AK737" s="1" t="s">
        <v>136</v>
      </c>
    </row>
    <row r="738" spans="1:37" x14ac:dyDescent="0.25">
      <c r="A738">
        <v>1024</v>
      </c>
      <c r="B738">
        <v>48</v>
      </c>
      <c r="C738" s="1" t="s">
        <v>25</v>
      </c>
      <c r="D738" s="1" t="s">
        <v>71</v>
      </c>
      <c r="E738">
        <v>4</v>
      </c>
      <c r="F738" s="1" t="s">
        <v>134</v>
      </c>
      <c r="G738">
        <v>7</v>
      </c>
      <c r="H738" s="1" t="s">
        <v>18</v>
      </c>
      <c r="I738">
        <v>27</v>
      </c>
      <c r="J738">
        <v>3</v>
      </c>
      <c r="K738">
        <v>15</v>
      </c>
      <c r="L738">
        <v>11</v>
      </c>
      <c r="M738">
        <v>4</v>
      </c>
      <c r="N738">
        <v>8</v>
      </c>
      <c r="O738" s="1" t="s">
        <v>19</v>
      </c>
      <c r="P738" s="1" t="s">
        <v>135</v>
      </c>
      <c r="Q738">
        <v>1355</v>
      </c>
      <c r="R738" s="1" t="s">
        <v>63</v>
      </c>
      <c r="S738">
        <v>4</v>
      </c>
      <c r="T738">
        <v>1</v>
      </c>
      <c r="U738">
        <v>3</v>
      </c>
      <c r="V738">
        <v>78</v>
      </c>
      <c r="W738">
        <v>2</v>
      </c>
      <c r="X738">
        <v>3</v>
      </c>
      <c r="Y738" s="1" t="s">
        <v>8</v>
      </c>
      <c r="Z738">
        <v>3</v>
      </c>
      <c r="AA738">
        <v>10999</v>
      </c>
      <c r="AB738">
        <v>22245</v>
      </c>
      <c r="AC738" s="1" t="s">
        <v>19</v>
      </c>
      <c r="AD738">
        <v>14</v>
      </c>
      <c r="AE738">
        <v>3</v>
      </c>
      <c r="AF738">
        <v>2</v>
      </c>
      <c r="AG738">
        <v>80</v>
      </c>
      <c r="AH738">
        <v>0</v>
      </c>
      <c r="AI738">
        <v>3</v>
      </c>
      <c r="AJ738">
        <v>0</v>
      </c>
      <c r="AK738" s="1" t="s">
        <v>136</v>
      </c>
    </row>
    <row r="739" spans="1:37" x14ac:dyDescent="0.25">
      <c r="A739">
        <v>1025</v>
      </c>
      <c r="B739">
        <v>41</v>
      </c>
      <c r="C739" s="1" t="s">
        <v>24</v>
      </c>
      <c r="D739" s="1" t="s">
        <v>71</v>
      </c>
      <c r="E739">
        <v>2</v>
      </c>
      <c r="F739" s="1" t="s">
        <v>139</v>
      </c>
      <c r="G739">
        <v>6</v>
      </c>
      <c r="H739" s="1" t="s">
        <v>18</v>
      </c>
      <c r="I739">
        <v>8</v>
      </c>
      <c r="J739">
        <v>6</v>
      </c>
      <c r="K739">
        <v>2</v>
      </c>
      <c r="L739">
        <v>2</v>
      </c>
      <c r="M739">
        <v>2</v>
      </c>
      <c r="N739">
        <v>1</v>
      </c>
      <c r="O739" s="1" t="s">
        <v>19</v>
      </c>
      <c r="P739" s="1" t="s">
        <v>135</v>
      </c>
      <c r="Q739">
        <v>549</v>
      </c>
      <c r="R739" s="1" t="s">
        <v>63</v>
      </c>
      <c r="S739">
        <v>7</v>
      </c>
      <c r="T739">
        <v>1</v>
      </c>
      <c r="U739">
        <v>4</v>
      </c>
      <c r="V739">
        <v>42</v>
      </c>
      <c r="W739">
        <v>3</v>
      </c>
      <c r="X739">
        <v>2</v>
      </c>
      <c r="Y739" s="1" t="s">
        <v>7</v>
      </c>
      <c r="Z739">
        <v>3</v>
      </c>
      <c r="AA739">
        <v>5003</v>
      </c>
      <c r="AB739">
        <v>23371</v>
      </c>
      <c r="AC739" s="1" t="s">
        <v>19</v>
      </c>
      <c r="AD739">
        <v>14</v>
      </c>
      <c r="AE739">
        <v>3</v>
      </c>
      <c r="AF739">
        <v>2</v>
      </c>
      <c r="AG739">
        <v>80</v>
      </c>
      <c r="AH739">
        <v>0</v>
      </c>
      <c r="AI739">
        <v>3</v>
      </c>
      <c r="AJ739">
        <v>0</v>
      </c>
      <c r="AK739" s="1" t="s">
        <v>136</v>
      </c>
    </row>
    <row r="740" spans="1:37" x14ac:dyDescent="0.25">
      <c r="A740">
        <v>1026</v>
      </c>
      <c r="B740">
        <v>39</v>
      </c>
      <c r="C740" s="1" t="s">
        <v>24</v>
      </c>
      <c r="D740" s="1" t="s">
        <v>70</v>
      </c>
      <c r="E740">
        <v>1</v>
      </c>
      <c r="F740" s="1" t="s">
        <v>134</v>
      </c>
      <c r="G740">
        <v>1</v>
      </c>
      <c r="H740" s="1" t="s">
        <v>18</v>
      </c>
      <c r="I740">
        <v>21</v>
      </c>
      <c r="J740">
        <v>3</v>
      </c>
      <c r="K740">
        <v>21</v>
      </c>
      <c r="L740">
        <v>6</v>
      </c>
      <c r="M740">
        <v>11</v>
      </c>
      <c r="N740">
        <v>8</v>
      </c>
      <c r="O740" s="1" t="s">
        <v>19</v>
      </c>
      <c r="P740" s="1" t="s">
        <v>135</v>
      </c>
      <c r="Q740">
        <v>466</v>
      </c>
      <c r="R740" s="1" t="s">
        <v>63</v>
      </c>
      <c r="S740">
        <v>1</v>
      </c>
      <c r="T740">
        <v>1</v>
      </c>
      <c r="U740">
        <v>4</v>
      </c>
      <c r="V740">
        <v>65</v>
      </c>
      <c r="W740">
        <v>2</v>
      </c>
      <c r="X740">
        <v>4</v>
      </c>
      <c r="Y740" s="1" t="s">
        <v>7</v>
      </c>
      <c r="Z740">
        <v>4</v>
      </c>
      <c r="AA740">
        <v>12742</v>
      </c>
      <c r="AB740">
        <v>7060</v>
      </c>
      <c r="AC740" s="1" t="s">
        <v>19</v>
      </c>
      <c r="AD740">
        <v>16</v>
      </c>
      <c r="AE740">
        <v>3</v>
      </c>
      <c r="AF740">
        <v>3</v>
      </c>
      <c r="AG740">
        <v>80</v>
      </c>
      <c r="AH740">
        <v>1</v>
      </c>
      <c r="AI740">
        <v>3</v>
      </c>
      <c r="AJ740">
        <v>0</v>
      </c>
      <c r="AK740" s="1" t="s">
        <v>136</v>
      </c>
    </row>
    <row r="741" spans="1:37" x14ac:dyDescent="0.25">
      <c r="A741">
        <v>1027</v>
      </c>
      <c r="B741">
        <v>27</v>
      </c>
      <c r="C741" s="1" t="s">
        <v>24</v>
      </c>
      <c r="D741" s="1" t="s">
        <v>70</v>
      </c>
      <c r="E741">
        <v>4</v>
      </c>
      <c r="F741" s="1" t="s">
        <v>134</v>
      </c>
      <c r="G741">
        <v>0</v>
      </c>
      <c r="H741" s="1" t="s">
        <v>18</v>
      </c>
      <c r="I741">
        <v>4</v>
      </c>
      <c r="J741">
        <v>2</v>
      </c>
      <c r="K741">
        <v>3</v>
      </c>
      <c r="L741">
        <v>2</v>
      </c>
      <c r="M741">
        <v>2</v>
      </c>
      <c r="N741">
        <v>2</v>
      </c>
      <c r="O741" s="1" t="s">
        <v>19</v>
      </c>
      <c r="P741" s="1" t="s">
        <v>135</v>
      </c>
      <c r="Q741">
        <v>1055</v>
      </c>
      <c r="R741" s="1" t="s">
        <v>63</v>
      </c>
      <c r="S741">
        <v>2</v>
      </c>
      <c r="T741">
        <v>1</v>
      </c>
      <c r="U741">
        <v>1</v>
      </c>
      <c r="V741">
        <v>47</v>
      </c>
      <c r="W741">
        <v>3</v>
      </c>
      <c r="X741">
        <v>2</v>
      </c>
      <c r="Y741" s="1" t="s">
        <v>7</v>
      </c>
      <c r="Z741">
        <v>4</v>
      </c>
      <c r="AA741">
        <v>4227</v>
      </c>
      <c r="AB741">
        <v>4658</v>
      </c>
      <c r="AC741" s="1" t="s">
        <v>19</v>
      </c>
      <c r="AD741">
        <v>18</v>
      </c>
      <c r="AE741">
        <v>3</v>
      </c>
      <c r="AF741">
        <v>2</v>
      </c>
      <c r="AG741">
        <v>80</v>
      </c>
      <c r="AH741">
        <v>1</v>
      </c>
      <c r="AI741">
        <v>3</v>
      </c>
      <c r="AJ741">
        <v>0</v>
      </c>
      <c r="AK741" s="1" t="s">
        <v>136</v>
      </c>
    </row>
    <row r="742" spans="1:37" x14ac:dyDescent="0.25">
      <c r="A742">
        <v>1028</v>
      </c>
      <c r="B742">
        <v>35</v>
      </c>
      <c r="C742" s="1" t="s">
        <v>25</v>
      </c>
      <c r="D742" s="1" t="s">
        <v>69</v>
      </c>
      <c r="E742">
        <v>3</v>
      </c>
      <c r="F742" s="1" t="s">
        <v>138</v>
      </c>
      <c r="G742">
        <v>1</v>
      </c>
      <c r="H742" s="1" t="s">
        <v>18</v>
      </c>
      <c r="I742">
        <v>3</v>
      </c>
      <c r="J742">
        <v>4</v>
      </c>
      <c r="K742">
        <v>3</v>
      </c>
      <c r="L742">
        <v>2</v>
      </c>
      <c r="M742">
        <v>1</v>
      </c>
      <c r="N742">
        <v>2</v>
      </c>
      <c r="O742" s="1" t="s">
        <v>19</v>
      </c>
      <c r="P742" s="1" t="s">
        <v>135</v>
      </c>
      <c r="Q742">
        <v>802</v>
      </c>
      <c r="R742" s="1" t="s">
        <v>63</v>
      </c>
      <c r="S742">
        <v>10</v>
      </c>
      <c r="T742">
        <v>1</v>
      </c>
      <c r="U742">
        <v>2</v>
      </c>
      <c r="V742">
        <v>45</v>
      </c>
      <c r="W742">
        <v>3</v>
      </c>
      <c r="X742">
        <v>1</v>
      </c>
      <c r="Y742" s="1" t="s">
        <v>6</v>
      </c>
      <c r="Z742">
        <v>4</v>
      </c>
      <c r="AA742">
        <v>3917</v>
      </c>
      <c r="AB742">
        <v>9541</v>
      </c>
      <c r="AC742" s="1" t="s">
        <v>19</v>
      </c>
      <c r="AD742">
        <v>20</v>
      </c>
      <c r="AE742">
        <v>4</v>
      </c>
      <c r="AF742">
        <v>1</v>
      </c>
      <c r="AG742">
        <v>80</v>
      </c>
      <c r="AH742">
        <v>1</v>
      </c>
      <c r="AI742">
        <v>2</v>
      </c>
      <c r="AJ742">
        <v>0</v>
      </c>
      <c r="AK742" s="1" t="s">
        <v>136</v>
      </c>
    </row>
    <row r="743" spans="1:37" x14ac:dyDescent="0.25">
      <c r="A743">
        <v>1029</v>
      </c>
      <c r="B743">
        <v>42</v>
      </c>
      <c r="C743" s="1" t="s">
        <v>25</v>
      </c>
      <c r="D743" s="1" t="s">
        <v>70</v>
      </c>
      <c r="E743">
        <v>2</v>
      </c>
      <c r="F743" s="1" t="s">
        <v>142</v>
      </c>
      <c r="G743">
        <v>6</v>
      </c>
      <c r="H743" s="1" t="s">
        <v>18</v>
      </c>
      <c r="I743">
        <v>21</v>
      </c>
      <c r="J743">
        <v>3</v>
      </c>
      <c r="K743">
        <v>1</v>
      </c>
      <c r="L743">
        <v>0</v>
      </c>
      <c r="M743">
        <v>0</v>
      </c>
      <c r="N743">
        <v>0</v>
      </c>
      <c r="O743" s="1" t="s">
        <v>19</v>
      </c>
      <c r="P743" s="1" t="s">
        <v>135</v>
      </c>
      <c r="Q743">
        <v>265</v>
      </c>
      <c r="R743" s="1" t="s">
        <v>64</v>
      </c>
      <c r="S743">
        <v>5</v>
      </c>
      <c r="T743">
        <v>1</v>
      </c>
      <c r="U743">
        <v>4</v>
      </c>
      <c r="V743">
        <v>90</v>
      </c>
      <c r="W743">
        <v>3</v>
      </c>
      <c r="X743">
        <v>5</v>
      </c>
      <c r="Y743" s="1" t="s">
        <v>9</v>
      </c>
      <c r="Z743">
        <v>3</v>
      </c>
      <c r="AA743">
        <v>18303</v>
      </c>
      <c r="AB743">
        <v>7770</v>
      </c>
      <c r="AC743" s="1" t="s">
        <v>19</v>
      </c>
      <c r="AD743">
        <v>13</v>
      </c>
      <c r="AE743">
        <v>3</v>
      </c>
      <c r="AF743">
        <v>2</v>
      </c>
      <c r="AG743">
        <v>80</v>
      </c>
      <c r="AH743">
        <v>0</v>
      </c>
      <c r="AI743">
        <v>4</v>
      </c>
      <c r="AJ743">
        <v>0</v>
      </c>
      <c r="AK743" s="1" t="s">
        <v>136</v>
      </c>
    </row>
    <row r="744" spans="1:37" x14ac:dyDescent="0.25">
      <c r="A744">
        <v>1030</v>
      </c>
      <c r="B744">
        <v>50</v>
      </c>
      <c r="C744" s="1" t="s">
        <v>25</v>
      </c>
      <c r="D744" s="1" t="s">
        <v>70</v>
      </c>
      <c r="E744">
        <v>3</v>
      </c>
      <c r="F744" s="1" t="s">
        <v>134</v>
      </c>
      <c r="G744">
        <v>4</v>
      </c>
      <c r="H744" s="1" t="s">
        <v>18</v>
      </c>
      <c r="I744">
        <v>8</v>
      </c>
      <c r="J744">
        <v>5</v>
      </c>
      <c r="K744">
        <v>1</v>
      </c>
      <c r="L744">
        <v>0</v>
      </c>
      <c r="M744">
        <v>0</v>
      </c>
      <c r="N744">
        <v>0</v>
      </c>
      <c r="O744" s="1" t="s">
        <v>19</v>
      </c>
      <c r="P744" s="1" t="s">
        <v>135</v>
      </c>
      <c r="Q744">
        <v>804</v>
      </c>
      <c r="R744" s="1" t="s">
        <v>63</v>
      </c>
      <c r="S744">
        <v>9</v>
      </c>
      <c r="T744">
        <v>1</v>
      </c>
      <c r="U744">
        <v>1</v>
      </c>
      <c r="V744">
        <v>64</v>
      </c>
      <c r="W744">
        <v>3</v>
      </c>
      <c r="X744">
        <v>1</v>
      </c>
      <c r="Y744" s="1" t="s">
        <v>6</v>
      </c>
      <c r="Z744">
        <v>4</v>
      </c>
      <c r="AA744">
        <v>2380</v>
      </c>
      <c r="AB744">
        <v>20165</v>
      </c>
      <c r="AC744" s="1" t="s">
        <v>19</v>
      </c>
      <c r="AD744">
        <v>18</v>
      </c>
      <c r="AE744">
        <v>3</v>
      </c>
      <c r="AF744">
        <v>2</v>
      </c>
      <c r="AG744">
        <v>80</v>
      </c>
      <c r="AH744">
        <v>0</v>
      </c>
      <c r="AI744">
        <v>3</v>
      </c>
      <c r="AJ744">
        <v>0</v>
      </c>
      <c r="AK744" s="1" t="s">
        <v>140</v>
      </c>
    </row>
    <row r="745" spans="1:37" x14ac:dyDescent="0.25">
      <c r="A745">
        <v>1032</v>
      </c>
      <c r="B745">
        <v>59</v>
      </c>
      <c r="C745" s="1" t="s">
        <v>24</v>
      </c>
      <c r="D745" s="1" t="s">
        <v>71</v>
      </c>
      <c r="E745">
        <v>3</v>
      </c>
      <c r="F745" s="1" t="s">
        <v>134</v>
      </c>
      <c r="G745">
        <v>3</v>
      </c>
      <c r="H745" s="1" t="s">
        <v>18</v>
      </c>
      <c r="I745">
        <v>30</v>
      </c>
      <c r="J745">
        <v>4</v>
      </c>
      <c r="K745">
        <v>5</v>
      </c>
      <c r="L745">
        <v>3</v>
      </c>
      <c r="M745">
        <v>4</v>
      </c>
      <c r="N745">
        <v>3</v>
      </c>
      <c r="O745" s="1" t="s">
        <v>19</v>
      </c>
      <c r="P745" s="1" t="s">
        <v>135</v>
      </c>
      <c r="Q745">
        <v>715</v>
      </c>
      <c r="R745" s="1" t="s">
        <v>63</v>
      </c>
      <c r="S745">
        <v>2</v>
      </c>
      <c r="T745">
        <v>1</v>
      </c>
      <c r="U745">
        <v>3</v>
      </c>
      <c r="V745">
        <v>69</v>
      </c>
      <c r="W745">
        <v>2</v>
      </c>
      <c r="X745">
        <v>4</v>
      </c>
      <c r="Y745" s="1" t="s">
        <v>7</v>
      </c>
      <c r="Z745">
        <v>4</v>
      </c>
      <c r="AA745">
        <v>13726</v>
      </c>
      <c r="AB745">
        <v>21829</v>
      </c>
      <c r="AC745" s="1" t="s">
        <v>18</v>
      </c>
      <c r="AD745">
        <v>13</v>
      </c>
      <c r="AE745">
        <v>3</v>
      </c>
      <c r="AF745">
        <v>1</v>
      </c>
      <c r="AG745">
        <v>80</v>
      </c>
      <c r="AH745">
        <v>0</v>
      </c>
      <c r="AI745">
        <v>3</v>
      </c>
      <c r="AJ745">
        <v>0</v>
      </c>
      <c r="AK745" s="1" t="s">
        <v>140</v>
      </c>
    </row>
    <row r="746" spans="1:37" x14ac:dyDescent="0.25">
      <c r="A746">
        <v>1033</v>
      </c>
      <c r="B746">
        <v>37</v>
      </c>
      <c r="C746" s="1" t="s">
        <v>24</v>
      </c>
      <c r="D746" s="1" t="s">
        <v>70</v>
      </c>
      <c r="E746">
        <v>2</v>
      </c>
      <c r="F746" s="1" t="s">
        <v>139</v>
      </c>
      <c r="G746">
        <v>5</v>
      </c>
      <c r="H746" s="1" t="s">
        <v>18</v>
      </c>
      <c r="I746">
        <v>15</v>
      </c>
      <c r="J746">
        <v>2</v>
      </c>
      <c r="K746">
        <v>1</v>
      </c>
      <c r="L746">
        <v>0</v>
      </c>
      <c r="M746">
        <v>0</v>
      </c>
      <c r="N746">
        <v>0</v>
      </c>
      <c r="O746" s="1" t="s">
        <v>18</v>
      </c>
      <c r="P746" s="1" t="s">
        <v>135</v>
      </c>
      <c r="Q746">
        <v>1141</v>
      </c>
      <c r="R746" s="1" t="s">
        <v>63</v>
      </c>
      <c r="S746">
        <v>11</v>
      </c>
      <c r="T746">
        <v>1</v>
      </c>
      <c r="U746">
        <v>1</v>
      </c>
      <c r="V746">
        <v>61</v>
      </c>
      <c r="W746">
        <v>1</v>
      </c>
      <c r="X746">
        <v>2</v>
      </c>
      <c r="Y746" s="1" t="s">
        <v>8</v>
      </c>
      <c r="Z746">
        <v>2</v>
      </c>
      <c r="AA746">
        <v>4777</v>
      </c>
      <c r="AB746">
        <v>14382</v>
      </c>
      <c r="AC746" s="1" t="s">
        <v>19</v>
      </c>
      <c r="AD746">
        <v>15</v>
      </c>
      <c r="AE746">
        <v>3</v>
      </c>
      <c r="AF746">
        <v>1</v>
      </c>
      <c r="AG746">
        <v>80</v>
      </c>
      <c r="AH746">
        <v>0</v>
      </c>
      <c r="AI746">
        <v>1</v>
      </c>
      <c r="AJ746">
        <v>1</v>
      </c>
      <c r="AK746" s="1" t="s">
        <v>136</v>
      </c>
    </row>
    <row r="747" spans="1:37" x14ac:dyDescent="0.25">
      <c r="A747">
        <v>1034</v>
      </c>
      <c r="B747">
        <v>55</v>
      </c>
      <c r="C747" s="1" t="s">
        <v>25</v>
      </c>
      <c r="D747" s="1" t="s">
        <v>70</v>
      </c>
      <c r="E747">
        <v>4</v>
      </c>
      <c r="F747" s="1" t="s">
        <v>139</v>
      </c>
      <c r="G747">
        <v>3</v>
      </c>
      <c r="H747" s="1" t="s">
        <v>18</v>
      </c>
      <c r="I747">
        <v>17</v>
      </c>
      <c r="J747">
        <v>3</v>
      </c>
      <c r="K747">
        <v>8</v>
      </c>
      <c r="L747">
        <v>7</v>
      </c>
      <c r="M747">
        <v>6</v>
      </c>
      <c r="N747">
        <v>7</v>
      </c>
      <c r="O747" s="1" t="s">
        <v>19</v>
      </c>
      <c r="P747" s="1" t="s">
        <v>137</v>
      </c>
      <c r="Q747">
        <v>135</v>
      </c>
      <c r="R747" s="1" t="s">
        <v>63</v>
      </c>
      <c r="S747">
        <v>18</v>
      </c>
      <c r="T747">
        <v>1</v>
      </c>
      <c r="U747">
        <v>3</v>
      </c>
      <c r="V747">
        <v>62</v>
      </c>
      <c r="W747">
        <v>3</v>
      </c>
      <c r="X747">
        <v>2</v>
      </c>
      <c r="Y747" s="1" t="s">
        <v>8</v>
      </c>
      <c r="Z747">
        <v>2</v>
      </c>
      <c r="AA747">
        <v>6385</v>
      </c>
      <c r="AB747">
        <v>12992</v>
      </c>
      <c r="AC747" s="1" t="s">
        <v>18</v>
      </c>
      <c r="AD747">
        <v>14</v>
      </c>
      <c r="AE747">
        <v>3</v>
      </c>
      <c r="AF747">
        <v>4</v>
      </c>
      <c r="AG747">
        <v>80</v>
      </c>
      <c r="AH747">
        <v>2</v>
      </c>
      <c r="AI747">
        <v>3</v>
      </c>
      <c r="AJ747">
        <v>0</v>
      </c>
      <c r="AK747" s="1" t="s">
        <v>140</v>
      </c>
    </row>
    <row r="748" spans="1:37" x14ac:dyDescent="0.25">
      <c r="A748">
        <v>1035</v>
      </c>
      <c r="B748">
        <v>41</v>
      </c>
      <c r="C748" s="1" t="s">
        <v>24</v>
      </c>
      <c r="D748" s="1" t="s">
        <v>69</v>
      </c>
      <c r="E748">
        <v>1</v>
      </c>
      <c r="F748" s="1" t="s">
        <v>134</v>
      </c>
      <c r="G748">
        <v>1</v>
      </c>
      <c r="H748" s="1" t="s">
        <v>18</v>
      </c>
      <c r="I748">
        <v>21</v>
      </c>
      <c r="J748">
        <v>3</v>
      </c>
      <c r="K748">
        <v>21</v>
      </c>
      <c r="L748">
        <v>16</v>
      </c>
      <c r="M748">
        <v>5</v>
      </c>
      <c r="N748">
        <v>10</v>
      </c>
      <c r="O748" s="1" t="s">
        <v>19</v>
      </c>
      <c r="P748" s="1" t="s">
        <v>141</v>
      </c>
      <c r="Q748">
        <v>247</v>
      </c>
      <c r="R748" s="1" t="s">
        <v>63</v>
      </c>
      <c r="S748">
        <v>7</v>
      </c>
      <c r="T748">
        <v>1</v>
      </c>
      <c r="U748">
        <v>2</v>
      </c>
      <c r="V748">
        <v>55</v>
      </c>
      <c r="W748">
        <v>1</v>
      </c>
      <c r="X748">
        <v>5</v>
      </c>
      <c r="Y748" s="1" t="s">
        <v>11</v>
      </c>
      <c r="Z748">
        <v>3</v>
      </c>
      <c r="AA748">
        <v>19973</v>
      </c>
      <c r="AB748">
        <v>20284</v>
      </c>
      <c r="AC748" s="1" t="s">
        <v>19</v>
      </c>
      <c r="AD748">
        <v>22</v>
      </c>
      <c r="AE748">
        <v>4</v>
      </c>
      <c r="AF748">
        <v>2</v>
      </c>
      <c r="AG748">
        <v>80</v>
      </c>
      <c r="AH748">
        <v>2</v>
      </c>
      <c r="AI748">
        <v>3</v>
      </c>
      <c r="AJ748">
        <v>0</v>
      </c>
      <c r="AK748" s="1" t="s">
        <v>136</v>
      </c>
    </row>
    <row r="749" spans="1:37" x14ac:dyDescent="0.25">
      <c r="A749">
        <v>1036</v>
      </c>
      <c r="B749">
        <v>38</v>
      </c>
      <c r="C749" s="1" t="s">
        <v>25</v>
      </c>
      <c r="D749" s="1" t="s">
        <v>71</v>
      </c>
      <c r="E749">
        <v>4</v>
      </c>
      <c r="F749" s="1" t="s">
        <v>134</v>
      </c>
      <c r="G749">
        <v>8</v>
      </c>
      <c r="H749" s="1" t="s">
        <v>18</v>
      </c>
      <c r="I749">
        <v>19</v>
      </c>
      <c r="J749">
        <v>1</v>
      </c>
      <c r="K749">
        <v>1</v>
      </c>
      <c r="L749">
        <v>0</v>
      </c>
      <c r="M749">
        <v>0</v>
      </c>
      <c r="N749">
        <v>0</v>
      </c>
      <c r="O749" s="1" t="s">
        <v>19</v>
      </c>
      <c r="P749" s="1" t="s">
        <v>135</v>
      </c>
      <c r="Q749">
        <v>1035</v>
      </c>
      <c r="R749" s="1" t="s">
        <v>64</v>
      </c>
      <c r="S749">
        <v>3</v>
      </c>
      <c r="T749">
        <v>1</v>
      </c>
      <c r="U749">
        <v>2</v>
      </c>
      <c r="V749">
        <v>42</v>
      </c>
      <c r="W749">
        <v>3</v>
      </c>
      <c r="X749">
        <v>2</v>
      </c>
      <c r="Y749" s="1" t="s">
        <v>4</v>
      </c>
      <c r="Z749">
        <v>4</v>
      </c>
      <c r="AA749">
        <v>6861</v>
      </c>
      <c r="AB749">
        <v>4981</v>
      </c>
      <c r="AC749" s="1" t="s">
        <v>18</v>
      </c>
      <c r="AD749">
        <v>12</v>
      </c>
      <c r="AE749">
        <v>3</v>
      </c>
      <c r="AF749">
        <v>3</v>
      </c>
      <c r="AG749">
        <v>80</v>
      </c>
      <c r="AH749">
        <v>0</v>
      </c>
      <c r="AI749">
        <v>3</v>
      </c>
      <c r="AJ749">
        <v>0</v>
      </c>
      <c r="AK749" s="1" t="s">
        <v>136</v>
      </c>
    </row>
    <row r="750" spans="1:37" x14ac:dyDescent="0.25">
      <c r="A750">
        <v>1037</v>
      </c>
      <c r="B750">
        <v>26</v>
      </c>
      <c r="C750" s="1" t="s">
        <v>25</v>
      </c>
      <c r="D750" s="1" t="s">
        <v>71</v>
      </c>
      <c r="E750">
        <v>2</v>
      </c>
      <c r="F750" s="1" t="s">
        <v>139</v>
      </c>
      <c r="G750">
        <v>8</v>
      </c>
      <c r="H750" s="1" t="s">
        <v>18</v>
      </c>
      <c r="I750">
        <v>7</v>
      </c>
      <c r="J750">
        <v>6</v>
      </c>
      <c r="K750">
        <v>2</v>
      </c>
      <c r="L750">
        <v>2</v>
      </c>
      <c r="M750">
        <v>2</v>
      </c>
      <c r="N750">
        <v>2</v>
      </c>
      <c r="O750" s="1" t="s">
        <v>18</v>
      </c>
      <c r="P750" s="1" t="s">
        <v>141</v>
      </c>
      <c r="Q750">
        <v>265</v>
      </c>
      <c r="R750" s="1" t="s">
        <v>64</v>
      </c>
      <c r="S750">
        <v>29</v>
      </c>
      <c r="T750">
        <v>1</v>
      </c>
      <c r="U750">
        <v>2</v>
      </c>
      <c r="V750">
        <v>79</v>
      </c>
      <c r="W750">
        <v>1</v>
      </c>
      <c r="X750">
        <v>2</v>
      </c>
      <c r="Y750" s="1" t="s">
        <v>4</v>
      </c>
      <c r="Z750">
        <v>1</v>
      </c>
      <c r="AA750">
        <v>4969</v>
      </c>
      <c r="AB750">
        <v>21813</v>
      </c>
      <c r="AC750" s="1" t="s">
        <v>19</v>
      </c>
      <c r="AD750">
        <v>18</v>
      </c>
      <c r="AE750">
        <v>3</v>
      </c>
      <c r="AF750">
        <v>4</v>
      </c>
      <c r="AG750">
        <v>80</v>
      </c>
      <c r="AH750">
        <v>0</v>
      </c>
      <c r="AI750">
        <v>3</v>
      </c>
      <c r="AJ750">
        <v>1</v>
      </c>
      <c r="AK750" s="1" t="s">
        <v>136</v>
      </c>
    </row>
    <row r="751" spans="1:37" x14ac:dyDescent="0.25">
      <c r="A751">
        <v>1038</v>
      </c>
      <c r="B751">
        <v>52</v>
      </c>
      <c r="C751" s="1" t="s">
        <v>24</v>
      </c>
      <c r="D751" s="1" t="s">
        <v>70</v>
      </c>
      <c r="E751">
        <v>1</v>
      </c>
      <c r="F751" s="1" t="s">
        <v>142</v>
      </c>
      <c r="G751">
        <v>1</v>
      </c>
      <c r="H751" s="1" t="s">
        <v>18</v>
      </c>
      <c r="I751">
        <v>33</v>
      </c>
      <c r="J751">
        <v>3</v>
      </c>
      <c r="K751">
        <v>32</v>
      </c>
      <c r="L751">
        <v>14</v>
      </c>
      <c r="M751">
        <v>6</v>
      </c>
      <c r="N751">
        <v>9</v>
      </c>
      <c r="O751" s="1" t="s">
        <v>18</v>
      </c>
      <c r="P751" s="1" t="s">
        <v>135</v>
      </c>
      <c r="Q751">
        <v>266</v>
      </c>
      <c r="R751" s="1" t="s">
        <v>64</v>
      </c>
      <c r="S751">
        <v>2</v>
      </c>
      <c r="T751">
        <v>1</v>
      </c>
      <c r="U751">
        <v>1</v>
      </c>
      <c r="V751">
        <v>57</v>
      </c>
      <c r="W751">
        <v>1</v>
      </c>
      <c r="X751">
        <v>5</v>
      </c>
      <c r="Y751" s="1" t="s">
        <v>9</v>
      </c>
      <c r="Z751">
        <v>4</v>
      </c>
      <c r="AA751">
        <v>19845</v>
      </c>
      <c r="AB751">
        <v>25846</v>
      </c>
      <c r="AC751" s="1" t="s">
        <v>19</v>
      </c>
      <c r="AD751">
        <v>15</v>
      </c>
      <c r="AE751">
        <v>3</v>
      </c>
      <c r="AF751">
        <v>4</v>
      </c>
      <c r="AG751">
        <v>80</v>
      </c>
      <c r="AH751">
        <v>1</v>
      </c>
      <c r="AI751">
        <v>3</v>
      </c>
      <c r="AJ751">
        <v>1</v>
      </c>
      <c r="AK751" s="1" t="s">
        <v>140</v>
      </c>
    </row>
    <row r="752" spans="1:37" x14ac:dyDescent="0.25">
      <c r="A752">
        <v>1039</v>
      </c>
      <c r="B752">
        <v>44</v>
      </c>
      <c r="C752" s="1" t="s">
        <v>24</v>
      </c>
      <c r="D752" s="1" t="s">
        <v>70</v>
      </c>
      <c r="E752">
        <v>3</v>
      </c>
      <c r="F752" s="1" t="s">
        <v>139</v>
      </c>
      <c r="G752">
        <v>3</v>
      </c>
      <c r="H752" s="1" t="s">
        <v>18</v>
      </c>
      <c r="I752">
        <v>23</v>
      </c>
      <c r="J752">
        <v>2</v>
      </c>
      <c r="K752">
        <v>12</v>
      </c>
      <c r="L752">
        <v>11</v>
      </c>
      <c r="M752">
        <v>11</v>
      </c>
      <c r="N752">
        <v>11</v>
      </c>
      <c r="O752" s="1" t="s">
        <v>19</v>
      </c>
      <c r="P752" s="1" t="s">
        <v>135</v>
      </c>
      <c r="Q752">
        <v>1448</v>
      </c>
      <c r="R752" s="1" t="s">
        <v>64</v>
      </c>
      <c r="S752">
        <v>28</v>
      </c>
      <c r="T752">
        <v>1</v>
      </c>
      <c r="U752">
        <v>4</v>
      </c>
      <c r="V752">
        <v>53</v>
      </c>
      <c r="W752">
        <v>4</v>
      </c>
      <c r="X752">
        <v>4</v>
      </c>
      <c r="Y752" s="1" t="s">
        <v>4</v>
      </c>
      <c r="Z752">
        <v>4</v>
      </c>
      <c r="AA752">
        <v>13320</v>
      </c>
      <c r="AB752">
        <v>11737</v>
      </c>
      <c r="AC752" s="1" t="s">
        <v>18</v>
      </c>
      <c r="AD752">
        <v>18</v>
      </c>
      <c r="AE752">
        <v>3</v>
      </c>
      <c r="AF752">
        <v>3</v>
      </c>
      <c r="AG752">
        <v>80</v>
      </c>
      <c r="AH752">
        <v>1</v>
      </c>
      <c r="AI752">
        <v>3</v>
      </c>
      <c r="AJ752">
        <v>0</v>
      </c>
      <c r="AK752" s="1" t="s">
        <v>136</v>
      </c>
    </row>
    <row r="753" spans="1:37" x14ac:dyDescent="0.25">
      <c r="A753">
        <v>1040</v>
      </c>
      <c r="B753">
        <v>50</v>
      </c>
      <c r="C753" s="1" t="s">
        <v>24</v>
      </c>
      <c r="D753" s="1" t="s">
        <v>70</v>
      </c>
      <c r="E753">
        <v>3</v>
      </c>
      <c r="F753" s="1" t="s">
        <v>134</v>
      </c>
      <c r="G753">
        <v>0</v>
      </c>
      <c r="H753" s="1" t="s">
        <v>18</v>
      </c>
      <c r="I753">
        <v>19</v>
      </c>
      <c r="J753">
        <v>3</v>
      </c>
      <c r="K753">
        <v>18</v>
      </c>
      <c r="L753">
        <v>7</v>
      </c>
      <c r="M753">
        <v>0</v>
      </c>
      <c r="N753">
        <v>13</v>
      </c>
      <c r="O753" s="1" t="s">
        <v>19</v>
      </c>
      <c r="P753" s="1" t="s">
        <v>141</v>
      </c>
      <c r="Q753">
        <v>145</v>
      </c>
      <c r="R753" s="1" t="s">
        <v>64</v>
      </c>
      <c r="S753">
        <v>1</v>
      </c>
      <c r="T753">
        <v>1</v>
      </c>
      <c r="U753">
        <v>4</v>
      </c>
      <c r="V753">
        <v>95</v>
      </c>
      <c r="W753">
        <v>3</v>
      </c>
      <c r="X753">
        <v>2</v>
      </c>
      <c r="Y753" s="1" t="s">
        <v>4</v>
      </c>
      <c r="Z753">
        <v>3</v>
      </c>
      <c r="AA753">
        <v>6347</v>
      </c>
      <c r="AB753">
        <v>24920</v>
      </c>
      <c r="AC753" s="1" t="s">
        <v>19</v>
      </c>
      <c r="AD753">
        <v>12</v>
      </c>
      <c r="AE753">
        <v>3</v>
      </c>
      <c r="AF753">
        <v>1</v>
      </c>
      <c r="AG753">
        <v>80</v>
      </c>
      <c r="AH753">
        <v>1</v>
      </c>
      <c r="AI753">
        <v>3</v>
      </c>
      <c r="AJ753">
        <v>0</v>
      </c>
      <c r="AK753" s="1" t="s">
        <v>140</v>
      </c>
    </row>
    <row r="754" spans="1:37" x14ac:dyDescent="0.25">
      <c r="A754">
        <v>1042</v>
      </c>
      <c r="B754">
        <v>36</v>
      </c>
      <c r="C754" s="1" t="s">
        <v>24</v>
      </c>
      <c r="D754" s="1" t="s">
        <v>71</v>
      </c>
      <c r="E754">
        <v>4</v>
      </c>
      <c r="F754" s="1" t="s">
        <v>134</v>
      </c>
      <c r="G754">
        <v>1</v>
      </c>
      <c r="H754" s="1" t="s">
        <v>18</v>
      </c>
      <c r="I754">
        <v>18</v>
      </c>
      <c r="J754">
        <v>1</v>
      </c>
      <c r="K754">
        <v>17</v>
      </c>
      <c r="L754">
        <v>13</v>
      </c>
      <c r="M754">
        <v>15</v>
      </c>
      <c r="N754">
        <v>14</v>
      </c>
      <c r="O754" s="1" t="s">
        <v>18</v>
      </c>
      <c r="P754" s="1" t="s">
        <v>135</v>
      </c>
      <c r="Q754">
        <v>885</v>
      </c>
      <c r="R754" s="1" t="s">
        <v>63</v>
      </c>
      <c r="S754">
        <v>16</v>
      </c>
      <c r="T754">
        <v>1</v>
      </c>
      <c r="U754">
        <v>3</v>
      </c>
      <c r="V754">
        <v>43</v>
      </c>
      <c r="W754">
        <v>4</v>
      </c>
      <c r="X754">
        <v>1</v>
      </c>
      <c r="Y754" s="1" t="s">
        <v>6</v>
      </c>
      <c r="Z754">
        <v>1</v>
      </c>
      <c r="AA754">
        <v>2743</v>
      </c>
      <c r="AB754">
        <v>8269</v>
      </c>
      <c r="AC754" s="1" t="s">
        <v>19</v>
      </c>
      <c r="AD754">
        <v>16</v>
      </c>
      <c r="AE754">
        <v>3</v>
      </c>
      <c r="AF754">
        <v>3</v>
      </c>
      <c r="AG754">
        <v>80</v>
      </c>
      <c r="AH754">
        <v>0</v>
      </c>
      <c r="AI754">
        <v>3</v>
      </c>
      <c r="AJ754">
        <v>1</v>
      </c>
      <c r="AK754" s="1" t="s">
        <v>136</v>
      </c>
    </row>
    <row r="755" spans="1:37" x14ac:dyDescent="0.25">
      <c r="A755">
        <v>1043</v>
      </c>
      <c r="B755">
        <v>39</v>
      </c>
      <c r="C755" s="1" t="s">
        <v>24</v>
      </c>
      <c r="D755" s="1" t="s">
        <v>71</v>
      </c>
      <c r="E755">
        <v>3</v>
      </c>
      <c r="F755" s="1" t="s">
        <v>139</v>
      </c>
      <c r="G755">
        <v>1</v>
      </c>
      <c r="H755" s="1" t="s">
        <v>18</v>
      </c>
      <c r="I755">
        <v>21</v>
      </c>
      <c r="J755">
        <v>2</v>
      </c>
      <c r="K755">
        <v>21</v>
      </c>
      <c r="L755">
        <v>6</v>
      </c>
      <c r="M755">
        <v>2</v>
      </c>
      <c r="N755">
        <v>8</v>
      </c>
      <c r="O755" s="1" t="s">
        <v>19</v>
      </c>
      <c r="P755" s="1" t="s">
        <v>137</v>
      </c>
      <c r="Q755">
        <v>945</v>
      </c>
      <c r="R755" s="1" t="s">
        <v>63</v>
      </c>
      <c r="S755">
        <v>22</v>
      </c>
      <c r="T755">
        <v>1</v>
      </c>
      <c r="U755">
        <v>4</v>
      </c>
      <c r="V755">
        <v>82</v>
      </c>
      <c r="W755">
        <v>3</v>
      </c>
      <c r="X755">
        <v>3</v>
      </c>
      <c r="Y755" s="1" t="s">
        <v>7</v>
      </c>
      <c r="Z755">
        <v>1</v>
      </c>
      <c r="AA755">
        <v>10880</v>
      </c>
      <c r="AB755">
        <v>5083</v>
      </c>
      <c r="AC755" s="1" t="s">
        <v>18</v>
      </c>
      <c r="AD755">
        <v>13</v>
      </c>
      <c r="AE755">
        <v>3</v>
      </c>
      <c r="AF755">
        <v>3</v>
      </c>
      <c r="AG755">
        <v>80</v>
      </c>
      <c r="AH755">
        <v>0</v>
      </c>
      <c r="AI755">
        <v>3</v>
      </c>
      <c r="AJ755">
        <v>0</v>
      </c>
      <c r="AK755" s="1" t="s">
        <v>136</v>
      </c>
    </row>
    <row r="756" spans="1:37" x14ac:dyDescent="0.25">
      <c r="A756">
        <v>1044</v>
      </c>
      <c r="B756">
        <v>33</v>
      </c>
      <c r="C756" s="1" t="s">
        <v>24</v>
      </c>
      <c r="D756" s="1" t="s">
        <v>71</v>
      </c>
      <c r="E756">
        <v>1</v>
      </c>
      <c r="F756" s="1" t="s">
        <v>134</v>
      </c>
      <c r="G756">
        <v>0</v>
      </c>
      <c r="H756" s="1" t="s">
        <v>18</v>
      </c>
      <c r="I756">
        <v>3</v>
      </c>
      <c r="J756">
        <v>2</v>
      </c>
      <c r="K756">
        <v>2</v>
      </c>
      <c r="L756">
        <v>2</v>
      </c>
      <c r="M756">
        <v>2</v>
      </c>
      <c r="N756">
        <v>2</v>
      </c>
      <c r="O756" s="1" t="s">
        <v>19</v>
      </c>
      <c r="P756" s="1" t="s">
        <v>141</v>
      </c>
      <c r="Q756">
        <v>1038</v>
      </c>
      <c r="R756" s="1" t="s">
        <v>64</v>
      </c>
      <c r="S756">
        <v>8</v>
      </c>
      <c r="T756">
        <v>1</v>
      </c>
      <c r="U756">
        <v>2</v>
      </c>
      <c r="V756">
        <v>88</v>
      </c>
      <c r="W756">
        <v>2</v>
      </c>
      <c r="X756">
        <v>1</v>
      </c>
      <c r="Y756" s="1" t="s">
        <v>10</v>
      </c>
      <c r="Z756">
        <v>4</v>
      </c>
      <c r="AA756">
        <v>2342</v>
      </c>
      <c r="AB756">
        <v>21437</v>
      </c>
      <c r="AC756" s="1" t="s">
        <v>19</v>
      </c>
      <c r="AD756">
        <v>19</v>
      </c>
      <c r="AE756">
        <v>3</v>
      </c>
      <c r="AF756">
        <v>4</v>
      </c>
      <c r="AG756">
        <v>80</v>
      </c>
      <c r="AH756">
        <v>0</v>
      </c>
      <c r="AI756">
        <v>2</v>
      </c>
      <c r="AJ756">
        <v>0</v>
      </c>
      <c r="AK756" s="1" t="s">
        <v>136</v>
      </c>
    </row>
    <row r="757" spans="1:37" x14ac:dyDescent="0.25">
      <c r="A757">
        <v>1045</v>
      </c>
      <c r="B757">
        <v>45</v>
      </c>
      <c r="C757" s="1" t="s">
        <v>24</v>
      </c>
      <c r="D757" s="1" t="s">
        <v>70</v>
      </c>
      <c r="E757">
        <v>2</v>
      </c>
      <c r="F757" s="1" t="s">
        <v>134</v>
      </c>
      <c r="G757">
        <v>3</v>
      </c>
      <c r="H757" s="1" t="s">
        <v>18</v>
      </c>
      <c r="I757">
        <v>26</v>
      </c>
      <c r="J757">
        <v>4</v>
      </c>
      <c r="K757">
        <v>9</v>
      </c>
      <c r="L757">
        <v>3</v>
      </c>
      <c r="M757">
        <v>1</v>
      </c>
      <c r="N757">
        <v>1</v>
      </c>
      <c r="O757" s="1" t="s">
        <v>19</v>
      </c>
      <c r="P757" s="1" t="s">
        <v>135</v>
      </c>
      <c r="Q757">
        <v>1234</v>
      </c>
      <c r="R757" s="1" t="s">
        <v>64</v>
      </c>
      <c r="S757">
        <v>11</v>
      </c>
      <c r="T757">
        <v>1</v>
      </c>
      <c r="U757">
        <v>4</v>
      </c>
      <c r="V757">
        <v>90</v>
      </c>
      <c r="W757">
        <v>3</v>
      </c>
      <c r="X757">
        <v>4</v>
      </c>
      <c r="Y757" s="1" t="s">
        <v>9</v>
      </c>
      <c r="Z757">
        <v>4</v>
      </c>
      <c r="AA757">
        <v>17650</v>
      </c>
      <c r="AB757">
        <v>5404</v>
      </c>
      <c r="AC757" s="1" t="s">
        <v>19</v>
      </c>
      <c r="AD757">
        <v>13</v>
      </c>
      <c r="AE757">
        <v>3</v>
      </c>
      <c r="AF757">
        <v>2</v>
      </c>
      <c r="AG757">
        <v>80</v>
      </c>
      <c r="AH757">
        <v>1</v>
      </c>
      <c r="AI757">
        <v>4</v>
      </c>
      <c r="AJ757">
        <v>0</v>
      </c>
      <c r="AK757" s="1" t="s">
        <v>136</v>
      </c>
    </row>
    <row r="758" spans="1:37" x14ac:dyDescent="0.25">
      <c r="A758">
        <v>1046</v>
      </c>
      <c r="B758">
        <v>32</v>
      </c>
      <c r="C758" s="1" t="s">
        <v>24</v>
      </c>
      <c r="D758" s="1" t="s">
        <v>71</v>
      </c>
      <c r="E758">
        <v>4</v>
      </c>
      <c r="F758" s="1" t="s">
        <v>139</v>
      </c>
      <c r="G758">
        <v>9</v>
      </c>
      <c r="H758" s="1" t="s">
        <v>18</v>
      </c>
      <c r="I758">
        <v>10</v>
      </c>
      <c r="J758">
        <v>2</v>
      </c>
      <c r="K758">
        <v>8</v>
      </c>
      <c r="L758">
        <v>7</v>
      </c>
      <c r="M758">
        <v>7</v>
      </c>
      <c r="N758">
        <v>7</v>
      </c>
      <c r="O758" s="1" t="s">
        <v>19</v>
      </c>
      <c r="P758" s="1" t="s">
        <v>141</v>
      </c>
      <c r="Q758">
        <v>1109</v>
      </c>
      <c r="R758" s="1" t="s">
        <v>63</v>
      </c>
      <c r="S758">
        <v>29</v>
      </c>
      <c r="T758">
        <v>1</v>
      </c>
      <c r="U758">
        <v>4</v>
      </c>
      <c r="V758">
        <v>69</v>
      </c>
      <c r="W758">
        <v>3</v>
      </c>
      <c r="X758">
        <v>1</v>
      </c>
      <c r="Y758" s="1" t="s">
        <v>6</v>
      </c>
      <c r="Z758">
        <v>3</v>
      </c>
      <c r="AA758">
        <v>4025</v>
      </c>
      <c r="AB758">
        <v>11135</v>
      </c>
      <c r="AC758" s="1" t="s">
        <v>19</v>
      </c>
      <c r="AD758">
        <v>12</v>
      </c>
      <c r="AE758">
        <v>3</v>
      </c>
      <c r="AF758">
        <v>2</v>
      </c>
      <c r="AG758">
        <v>80</v>
      </c>
      <c r="AH758">
        <v>0</v>
      </c>
      <c r="AI758">
        <v>3</v>
      </c>
      <c r="AJ758">
        <v>0</v>
      </c>
      <c r="AK758" s="1" t="s">
        <v>136</v>
      </c>
    </row>
    <row r="759" spans="1:37" x14ac:dyDescent="0.25">
      <c r="A759">
        <v>1047</v>
      </c>
      <c r="B759">
        <v>34</v>
      </c>
      <c r="C759" s="1" t="s">
        <v>25</v>
      </c>
      <c r="D759" s="1" t="s">
        <v>69</v>
      </c>
      <c r="E759">
        <v>4</v>
      </c>
      <c r="F759" s="1" t="s">
        <v>142</v>
      </c>
      <c r="G759">
        <v>0</v>
      </c>
      <c r="H759" s="1" t="s">
        <v>18</v>
      </c>
      <c r="I759">
        <v>16</v>
      </c>
      <c r="J759">
        <v>2</v>
      </c>
      <c r="K759">
        <v>15</v>
      </c>
      <c r="L759">
        <v>1</v>
      </c>
      <c r="M759">
        <v>0</v>
      </c>
      <c r="N759">
        <v>9</v>
      </c>
      <c r="O759" s="1" t="s">
        <v>19</v>
      </c>
      <c r="P759" s="1" t="s">
        <v>135</v>
      </c>
      <c r="Q759">
        <v>216</v>
      </c>
      <c r="R759" s="1" t="s">
        <v>64</v>
      </c>
      <c r="S759">
        <v>1</v>
      </c>
      <c r="T759">
        <v>1</v>
      </c>
      <c r="U759">
        <v>2</v>
      </c>
      <c r="V759">
        <v>75</v>
      </c>
      <c r="W759">
        <v>4</v>
      </c>
      <c r="X759">
        <v>2</v>
      </c>
      <c r="Y759" s="1" t="s">
        <v>4</v>
      </c>
      <c r="Z759">
        <v>4</v>
      </c>
      <c r="AA759">
        <v>9725</v>
      </c>
      <c r="AB759">
        <v>12278</v>
      </c>
      <c r="AC759" s="1" t="s">
        <v>19</v>
      </c>
      <c r="AD759">
        <v>11</v>
      </c>
      <c r="AE759">
        <v>3</v>
      </c>
      <c r="AF759">
        <v>4</v>
      </c>
      <c r="AG759">
        <v>80</v>
      </c>
      <c r="AH759">
        <v>1</v>
      </c>
      <c r="AI759">
        <v>2</v>
      </c>
      <c r="AJ759">
        <v>0</v>
      </c>
      <c r="AK759" s="1" t="s">
        <v>136</v>
      </c>
    </row>
    <row r="760" spans="1:37" x14ac:dyDescent="0.25">
      <c r="A760">
        <v>1048</v>
      </c>
      <c r="B760">
        <v>59</v>
      </c>
      <c r="C760" s="1" t="s">
        <v>25</v>
      </c>
      <c r="D760" s="1" t="s">
        <v>70</v>
      </c>
      <c r="E760">
        <v>2</v>
      </c>
      <c r="F760" s="1" t="s">
        <v>143</v>
      </c>
      <c r="G760">
        <v>3</v>
      </c>
      <c r="H760" s="1" t="s">
        <v>18</v>
      </c>
      <c r="I760">
        <v>14</v>
      </c>
      <c r="J760">
        <v>1</v>
      </c>
      <c r="K760">
        <v>6</v>
      </c>
      <c r="L760">
        <v>4</v>
      </c>
      <c r="M760">
        <v>0</v>
      </c>
      <c r="N760">
        <v>4</v>
      </c>
      <c r="O760" s="1" t="s">
        <v>19</v>
      </c>
      <c r="P760" s="1" t="s">
        <v>135</v>
      </c>
      <c r="Q760">
        <v>1089</v>
      </c>
      <c r="R760" s="1" t="s">
        <v>64</v>
      </c>
      <c r="S760">
        <v>1</v>
      </c>
      <c r="T760">
        <v>1</v>
      </c>
      <c r="U760">
        <v>2</v>
      </c>
      <c r="V760">
        <v>66</v>
      </c>
      <c r="W760">
        <v>3</v>
      </c>
      <c r="X760">
        <v>3</v>
      </c>
      <c r="Y760" s="1" t="s">
        <v>9</v>
      </c>
      <c r="Z760">
        <v>4</v>
      </c>
      <c r="AA760">
        <v>11904</v>
      </c>
      <c r="AB760">
        <v>11038</v>
      </c>
      <c r="AC760" s="1" t="s">
        <v>18</v>
      </c>
      <c r="AD760">
        <v>14</v>
      </c>
      <c r="AE760">
        <v>3</v>
      </c>
      <c r="AF760">
        <v>3</v>
      </c>
      <c r="AG760">
        <v>80</v>
      </c>
      <c r="AH760">
        <v>1</v>
      </c>
      <c r="AI760">
        <v>1</v>
      </c>
      <c r="AJ760">
        <v>0</v>
      </c>
      <c r="AK760" s="1" t="s">
        <v>140</v>
      </c>
    </row>
    <row r="761" spans="1:37" x14ac:dyDescent="0.25">
      <c r="A761">
        <v>1049</v>
      </c>
      <c r="B761">
        <v>45</v>
      </c>
      <c r="C761" s="1" t="s">
        <v>25</v>
      </c>
      <c r="D761" s="1" t="s">
        <v>71</v>
      </c>
      <c r="E761">
        <v>4</v>
      </c>
      <c r="F761" s="1" t="s">
        <v>139</v>
      </c>
      <c r="G761">
        <v>1</v>
      </c>
      <c r="H761" s="1" t="s">
        <v>18</v>
      </c>
      <c r="I761">
        <v>6</v>
      </c>
      <c r="J761">
        <v>3</v>
      </c>
      <c r="K761">
        <v>6</v>
      </c>
      <c r="L761">
        <v>3</v>
      </c>
      <c r="M761">
        <v>0</v>
      </c>
      <c r="N761">
        <v>4</v>
      </c>
      <c r="O761" s="1" t="s">
        <v>19</v>
      </c>
      <c r="P761" s="1" t="s">
        <v>135</v>
      </c>
      <c r="Q761">
        <v>788</v>
      </c>
      <c r="R761" s="1" t="s">
        <v>12</v>
      </c>
      <c r="S761">
        <v>24</v>
      </c>
      <c r="T761">
        <v>1</v>
      </c>
      <c r="U761">
        <v>2</v>
      </c>
      <c r="V761">
        <v>36</v>
      </c>
      <c r="W761">
        <v>3</v>
      </c>
      <c r="X761">
        <v>1</v>
      </c>
      <c r="Y761" s="1" t="s">
        <v>12</v>
      </c>
      <c r="Z761">
        <v>2</v>
      </c>
      <c r="AA761">
        <v>2177</v>
      </c>
      <c r="AB761">
        <v>8318</v>
      </c>
      <c r="AC761" s="1" t="s">
        <v>19</v>
      </c>
      <c r="AD761">
        <v>16</v>
      </c>
      <c r="AE761">
        <v>3</v>
      </c>
      <c r="AF761">
        <v>1</v>
      </c>
      <c r="AG761">
        <v>80</v>
      </c>
      <c r="AH761">
        <v>0</v>
      </c>
      <c r="AI761">
        <v>3</v>
      </c>
      <c r="AJ761">
        <v>0</v>
      </c>
      <c r="AK761" s="1" t="s">
        <v>136</v>
      </c>
    </row>
    <row r="762" spans="1:37" x14ac:dyDescent="0.25">
      <c r="A762">
        <v>1050</v>
      </c>
      <c r="B762">
        <v>53</v>
      </c>
      <c r="C762" s="1" t="s">
        <v>24</v>
      </c>
      <c r="D762" s="1" t="s">
        <v>70</v>
      </c>
      <c r="E762">
        <v>3</v>
      </c>
      <c r="F762" s="1" t="s">
        <v>142</v>
      </c>
      <c r="G762">
        <v>2</v>
      </c>
      <c r="H762" s="1" t="s">
        <v>18</v>
      </c>
      <c r="I762">
        <v>30</v>
      </c>
      <c r="J762">
        <v>2</v>
      </c>
      <c r="K762">
        <v>15</v>
      </c>
      <c r="L762">
        <v>7</v>
      </c>
      <c r="M762">
        <v>6</v>
      </c>
      <c r="N762">
        <v>12</v>
      </c>
      <c r="O762" s="1" t="s">
        <v>19</v>
      </c>
      <c r="P762" s="1" t="s">
        <v>137</v>
      </c>
      <c r="Q762">
        <v>124</v>
      </c>
      <c r="R762" s="1" t="s">
        <v>64</v>
      </c>
      <c r="S762">
        <v>2</v>
      </c>
      <c r="T762">
        <v>1</v>
      </c>
      <c r="U762">
        <v>3</v>
      </c>
      <c r="V762">
        <v>38</v>
      </c>
      <c r="W762">
        <v>2</v>
      </c>
      <c r="X762">
        <v>3</v>
      </c>
      <c r="Y762" s="1" t="s">
        <v>4</v>
      </c>
      <c r="Z762">
        <v>2</v>
      </c>
      <c r="AA762">
        <v>7525</v>
      </c>
      <c r="AB762">
        <v>23537</v>
      </c>
      <c r="AC762" s="1" t="s">
        <v>19</v>
      </c>
      <c r="AD762">
        <v>12</v>
      </c>
      <c r="AE762">
        <v>3</v>
      </c>
      <c r="AF762">
        <v>1</v>
      </c>
      <c r="AG762">
        <v>80</v>
      </c>
      <c r="AH762">
        <v>1</v>
      </c>
      <c r="AI762">
        <v>3</v>
      </c>
      <c r="AJ762">
        <v>0</v>
      </c>
      <c r="AK762" s="1" t="s">
        <v>140</v>
      </c>
    </row>
    <row r="763" spans="1:37" x14ac:dyDescent="0.25">
      <c r="A763">
        <v>1052</v>
      </c>
      <c r="B763">
        <v>36</v>
      </c>
      <c r="C763" s="1" t="s">
        <v>25</v>
      </c>
      <c r="D763" s="1" t="s">
        <v>69</v>
      </c>
      <c r="E763">
        <v>3</v>
      </c>
      <c r="F763" s="1" t="s">
        <v>138</v>
      </c>
      <c r="G763">
        <v>7</v>
      </c>
      <c r="H763" s="1" t="s">
        <v>18</v>
      </c>
      <c r="I763">
        <v>9</v>
      </c>
      <c r="J763">
        <v>3</v>
      </c>
      <c r="K763">
        <v>1</v>
      </c>
      <c r="L763">
        <v>0</v>
      </c>
      <c r="M763">
        <v>0</v>
      </c>
      <c r="N763">
        <v>0</v>
      </c>
      <c r="O763" s="1" t="s">
        <v>18</v>
      </c>
      <c r="P763" s="1" t="s">
        <v>135</v>
      </c>
      <c r="Q763">
        <v>660</v>
      </c>
      <c r="R763" s="1" t="s">
        <v>63</v>
      </c>
      <c r="S763">
        <v>15</v>
      </c>
      <c r="T763">
        <v>1</v>
      </c>
      <c r="U763">
        <v>1</v>
      </c>
      <c r="V763">
        <v>81</v>
      </c>
      <c r="W763">
        <v>3</v>
      </c>
      <c r="X763">
        <v>2</v>
      </c>
      <c r="Y763" s="1" t="s">
        <v>6</v>
      </c>
      <c r="Z763">
        <v>3</v>
      </c>
      <c r="AA763">
        <v>4834</v>
      </c>
      <c r="AB763">
        <v>7858</v>
      </c>
      <c r="AC763" s="1" t="s">
        <v>19</v>
      </c>
      <c r="AD763">
        <v>14</v>
      </c>
      <c r="AE763">
        <v>3</v>
      </c>
      <c r="AF763">
        <v>2</v>
      </c>
      <c r="AG763">
        <v>80</v>
      </c>
      <c r="AH763">
        <v>1</v>
      </c>
      <c r="AI763">
        <v>2</v>
      </c>
      <c r="AJ763">
        <v>1</v>
      </c>
      <c r="AK763" s="1" t="s">
        <v>136</v>
      </c>
    </row>
    <row r="764" spans="1:37" x14ac:dyDescent="0.25">
      <c r="A764">
        <v>1053</v>
      </c>
      <c r="B764">
        <v>26</v>
      </c>
      <c r="C764" s="1" t="s">
        <v>25</v>
      </c>
      <c r="D764" s="1" t="s">
        <v>70</v>
      </c>
      <c r="E764">
        <v>3</v>
      </c>
      <c r="F764" s="1" t="s">
        <v>134</v>
      </c>
      <c r="G764">
        <v>6</v>
      </c>
      <c r="H764" s="1" t="s">
        <v>18</v>
      </c>
      <c r="I764">
        <v>6</v>
      </c>
      <c r="J764">
        <v>2</v>
      </c>
      <c r="K764">
        <v>3</v>
      </c>
      <c r="L764">
        <v>2</v>
      </c>
      <c r="M764">
        <v>1</v>
      </c>
      <c r="N764">
        <v>2</v>
      </c>
      <c r="O764" s="1" t="s">
        <v>18</v>
      </c>
      <c r="P764" s="1" t="s">
        <v>137</v>
      </c>
      <c r="Q764">
        <v>342</v>
      </c>
      <c r="R764" s="1" t="s">
        <v>63</v>
      </c>
      <c r="S764">
        <v>2</v>
      </c>
      <c r="T764">
        <v>1</v>
      </c>
      <c r="U764">
        <v>1</v>
      </c>
      <c r="V764">
        <v>57</v>
      </c>
      <c r="W764">
        <v>3</v>
      </c>
      <c r="X764">
        <v>1</v>
      </c>
      <c r="Y764" s="1" t="s">
        <v>5</v>
      </c>
      <c r="Z764">
        <v>1</v>
      </c>
      <c r="AA764">
        <v>2042</v>
      </c>
      <c r="AB764">
        <v>15346</v>
      </c>
      <c r="AC764" s="1" t="s">
        <v>18</v>
      </c>
      <c r="AD764">
        <v>14</v>
      </c>
      <c r="AE764">
        <v>3</v>
      </c>
      <c r="AF764">
        <v>2</v>
      </c>
      <c r="AG764">
        <v>80</v>
      </c>
      <c r="AH764">
        <v>1</v>
      </c>
      <c r="AI764">
        <v>3</v>
      </c>
      <c r="AJ764">
        <v>1</v>
      </c>
      <c r="AK764" s="1" t="s">
        <v>136</v>
      </c>
    </row>
    <row r="765" spans="1:37" x14ac:dyDescent="0.25">
      <c r="A765">
        <v>1055</v>
      </c>
      <c r="B765">
        <v>34</v>
      </c>
      <c r="C765" s="1" t="s">
        <v>24</v>
      </c>
      <c r="D765" s="1" t="s">
        <v>70</v>
      </c>
      <c r="E765">
        <v>4</v>
      </c>
      <c r="F765" s="1" t="s">
        <v>134</v>
      </c>
      <c r="G765">
        <v>1</v>
      </c>
      <c r="H765" s="1" t="s">
        <v>18</v>
      </c>
      <c r="I765">
        <v>1</v>
      </c>
      <c r="J765">
        <v>2</v>
      </c>
      <c r="K765">
        <v>1</v>
      </c>
      <c r="L765">
        <v>1</v>
      </c>
      <c r="M765">
        <v>0</v>
      </c>
      <c r="N765">
        <v>0</v>
      </c>
      <c r="O765" s="1" t="s">
        <v>19</v>
      </c>
      <c r="P765" s="1" t="s">
        <v>135</v>
      </c>
      <c r="Q765">
        <v>1333</v>
      </c>
      <c r="R765" s="1" t="s">
        <v>64</v>
      </c>
      <c r="S765">
        <v>10</v>
      </c>
      <c r="T765">
        <v>1</v>
      </c>
      <c r="U765">
        <v>3</v>
      </c>
      <c r="V765">
        <v>87</v>
      </c>
      <c r="W765">
        <v>3</v>
      </c>
      <c r="X765">
        <v>1</v>
      </c>
      <c r="Y765" s="1" t="s">
        <v>10</v>
      </c>
      <c r="Z765">
        <v>3</v>
      </c>
      <c r="AA765">
        <v>2220</v>
      </c>
      <c r="AB765">
        <v>18410</v>
      </c>
      <c r="AC765" s="1" t="s">
        <v>18</v>
      </c>
      <c r="AD765">
        <v>19</v>
      </c>
      <c r="AE765">
        <v>3</v>
      </c>
      <c r="AF765">
        <v>4</v>
      </c>
      <c r="AG765">
        <v>80</v>
      </c>
      <c r="AH765">
        <v>1</v>
      </c>
      <c r="AI765">
        <v>3</v>
      </c>
      <c r="AJ765">
        <v>0</v>
      </c>
      <c r="AK765" s="1" t="s">
        <v>136</v>
      </c>
    </row>
    <row r="766" spans="1:37" x14ac:dyDescent="0.25">
      <c r="A766">
        <v>1056</v>
      </c>
      <c r="B766">
        <v>28</v>
      </c>
      <c r="C766" s="1" t="s">
        <v>25</v>
      </c>
      <c r="D766" s="1" t="s">
        <v>70</v>
      </c>
      <c r="E766">
        <v>1</v>
      </c>
      <c r="F766" s="1" t="s">
        <v>139</v>
      </c>
      <c r="G766">
        <v>1</v>
      </c>
      <c r="H766" s="1" t="s">
        <v>18</v>
      </c>
      <c r="I766">
        <v>1</v>
      </c>
      <c r="J766">
        <v>5</v>
      </c>
      <c r="K766">
        <v>1</v>
      </c>
      <c r="L766">
        <v>0</v>
      </c>
      <c r="M766">
        <v>0</v>
      </c>
      <c r="N766">
        <v>0</v>
      </c>
      <c r="O766" s="1" t="s">
        <v>19</v>
      </c>
      <c r="P766" s="1" t="s">
        <v>135</v>
      </c>
      <c r="Q766">
        <v>1144</v>
      </c>
      <c r="R766" s="1" t="s">
        <v>64</v>
      </c>
      <c r="S766">
        <v>10</v>
      </c>
      <c r="T766">
        <v>1</v>
      </c>
      <c r="U766">
        <v>4</v>
      </c>
      <c r="V766">
        <v>74</v>
      </c>
      <c r="W766">
        <v>3</v>
      </c>
      <c r="X766">
        <v>1</v>
      </c>
      <c r="Y766" s="1" t="s">
        <v>10</v>
      </c>
      <c r="Z766">
        <v>2</v>
      </c>
      <c r="AA766">
        <v>1052</v>
      </c>
      <c r="AB766">
        <v>23384</v>
      </c>
      <c r="AC766" s="1" t="s">
        <v>19</v>
      </c>
      <c r="AD766">
        <v>22</v>
      </c>
      <c r="AE766">
        <v>4</v>
      </c>
      <c r="AF766">
        <v>2</v>
      </c>
      <c r="AG766">
        <v>80</v>
      </c>
      <c r="AH766">
        <v>0</v>
      </c>
      <c r="AI766">
        <v>3</v>
      </c>
      <c r="AJ766">
        <v>0</v>
      </c>
      <c r="AK766" s="1" t="s">
        <v>136</v>
      </c>
    </row>
    <row r="767" spans="1:37" x14ac:dyDescent="0.25">
      <c r="A767">
        <v>1060</v>
      </c>
      <c r="B767">
        <v>38</v>
      </c>
      <c r="C767" s="1" t="s">
        <v>25</v>
      </c>
      <c r="D767" s="1" t="s">
        <v>70</v>
      </c>
      <c r="E767">
        <v>4</v>
      </c>
      <c r="F767" s="1" t="s">
        <v>138</v>
      </c>
      <c r="G767">
        <v>3</v>
      </c>
      <c r="H767" s="1" t="s">
        <v>18</v>
      </c>
      <c r="I767">
        <v>8</v>
      </c>
      <c r="J767">
        <v>2</v>
      </c>
      <c r="K767">
        <v>2</v>
      </c>
      <c r="L767">
        <v>2</v>
      </c>
      <c r="M767">
        <v>2</v>
      </c>
      <c r="N767">
        <v>2</v>
      </c>
      <c r="O767" s="1" t="s">
        <v>19</v>
      </c>
      <c r="P767" s="1" t="s">
        <v>137</v>
      </c>
      <c r="Q767">
        <v>1186</v>
      </c>
      <c r="R767" s="1" t="s">
        <v>63</v>
      </c>
      <c r="S767">
        <v>3</v>
      </c>
      <c r="T767">
        <v>1</v>
      </c>
      <c r="U767">
        <v>3</v>
      </c>
      <c r="V767">
        <v>44</v>
      </c>
      <c r="W767">
        <v>3</v>
      </c>
      <c r="X767">
        <v>1</v>
      </c>
      <c r="Y767" s="1" t="s">
        <v>5</v>
      </c>
      <c r="Z767">
        <v>3</v>
      </c>
      <c r="AA767">
        <v>2821</v>
      </c>
      <c r="AB767">
        <v>2997</v>
      </c>
      <c r="AC767" s="1" t="s">
        <v>19</v>
      </c>
      <c r="AD767">
        <v>16</v>
      </c>
      <c r="AE767">
        <v>3</v>
      </c>
      <c r="AF767">
        <v>1</v>
      </c>
      <c r="AG767">
        <v>80</v>
      </c>
      <c r="AH767">
        <v>1</v>
      </c>
      <c r="AI767">
        <v>3</v>
      </c>
      <c r="AJ767">
        <v>0</v>
      </c>
      <c r="AK767" s="1" t="s">
        <v>136</v>
      </c>
    </row>
    <row r="768" spans="1:37" x14ac:dyDescent="0.25">
      <c r="A768">
        <v>1061</v>
      </c>
      <c r="B768">
        <v>50</v>
      </c>
      <c r="C768" s="1" t="s">
        <v>25</v>
      </c>
      <c r="D768" s="1" t="s">
        <v>70</v>
      </c>
      <c r="E768">
        <v>4</v>
      </c>
      <c r="F768" s="1" t="s">
        <v>139</v>
      </c>
      <c r="G768">
        <v>2</v>
      </c>
      <c r="H768" s="1" t="s">
        <v>18</v>
      </c>
      <c r="I768">
        <v>29</v>
      </c>
      <c r="J768">
        <v>2</v>
      </c>
      <c r="K768">
        <v>8</v>
      </c>
      <c r="L768">
        <v>1</v>
      </c>
      <c r="M768">
        <v>7</v>
      </c>
      <c r="N768">
        <v>7</v>
      </c>
      <c r="O768" s="1" t="s">
        <v>19</v>
      </c>
      <c r="P768" s="1" t="s">
        <v>135</v>
      </c>
      <c r="Q768">
        <v>1464</v>
      </c>
      <c r="R768" s="1" t="s">
        <v>63</v>
      </c>
      <c r="S768">
        <v>2</v>
      </c>
      <c r="T768">
        <v>1</v>
      </c>
      <c r="U768">
        <v>2</v>
      </c>
      <c r="V768">
        <v>62</v>
      </c>
      <c r="W768">
        <v>3</v>
      </c>
      <c r="X768">
        <v>5</v>
      </c>
      <c r="Y768" s="1" t="s">
        <v>11</v>
      </c>
      <c r="Z768">
        <v>3</v>
      </c>
      <c r="AA768">
        <v>19237</v>
      </c>
      <c r="AB768">
        <v>12853</v>
      </c>
      <c r="AC768" s="1" t="s">
        <v>18</v>
      </c>
      <c r="AD768">
        <v>11</v>
      </c>
      <c r="AE768">
        <v>3</v>
      </c>
      <c r="AF768">
        <v>4</v>
      </c>
      <c r="AG768">
        <v>80</v>
      </c>
      <c r="AH768">
        <v>1</v>
      </c>
      <c r="AI768">
        <v>2</v>
      </c>
      <c r="AJ768">
        <v>0</v>
      </c>
      <c r="AK768" s="1" t="s">
        <v>140</v>
      </c>
    </row>
    <row r="769" spans="1:37" x14ac:dyDescent="0.25">
      <c r="A769">
        <v>1062</v>
      </c>
      <c r="B769">
        <v>37</v>
      </c>
      <c r="C769" s="1" t="s">
        <v>24</v>
      </c>
      <c r="D769" s="1" t="s">
        <v>71</v>
      </c>
      <c r="E769">
        <v>3</v>
      </c>
      <c r="F769" s="1" t="s">
        <v>138</v>
      </c>
      <c r="G769">
        <v>3</v>
      </c>
      <c r="H769" s="1" t="s">
        <v>18</v>
      </c>
      <c r="I769">
        <v>8</v>
      </c>
      <c r="J769">
        <v>3</v>
      </c>
      <c r="K769">
        <v>4</v>
      </c>
      <c r="L769">
        <v>3</v>
      </c>
      <c r="M769">
        <v>0</v>
      </c>
      <c r="N769">
        <v>1</v>
      </c>
      <c r="O769" s="1" t="s">
        <v>19</v>
      </c>
      <c r="P769" s="1" t="s">
        <v>135</v>
      </c>
      <c r="Q769">
        <v>124</v>
      </c>
      <c r="R769" s="1" t="s">
        <v>63</v>
      </c>
      <c r="S769">
        <v>3</v>
      </c>
      <c r="T769">
        <v>1</v>
      </c>
      <c r="U769">
        <v>4</v>
      </c>
      <c r="V769">
        <v>35</v>
      </c>
      <c r="W769">
        <v>3</v>
      </c>
      <c r="X769">
        <v>2</v>
      </c>
      <c r="Y769" s="1" t="s">
        <v>8</v>
      </c>
      <c r="Z769">
        <v>2</v>
      </c>
      <c r="AA769">
        <v>4107</v>
      </c>
      <c r="AB769">
        <v>13848</v>
      </c>
      <c r="AC769" s="1" t="s">
        <v>19</v>
      </c>
      <c r="AD769">
        <v>15</v>
      </c>
      <c r="AE769">
        <v>3</v>
      </c>
      <c r="AF769">
        <v>1</v>
      </c>
      <c r="AG769">
        <v>80</v>
      </c>
      <c r="AH769">
        <v>0</v>
      </c>
      <c r="AI769">
        <v>2</v>
      </c>
      <c r="AJ769">
        <v>0</v>
      </c>
      <c r="AK769" s="1" t="s">
        <v>136</v>
      </c>
    </row>
    <row r="770" spans="1:37" x14ac:dyDescent="0.25">
      <c r="A770">
        <v>1066</v>
      </c>
      <c r="B770">
        <v>40</v>
      </c>
      <c r="C770" s="1" t="s">
        <v>25</v>
      </c>
      <c r="D770" s="1" t="s">
        <v>70</v>
      </c>
      <c r="E770">
        <v>3</v>
      </c>
      <c r="F770" s="1" t="s">
        <v>142</v>
      </c>
      <c r="G770">
        <v>1</v>
      </c>
      <c r="H770" s="1" t="s">
        <v>18</v>
      </c>
      <c r="I770">
        <v>8</v>
      </c>
      <c r="J770">
        <v>3</v>
      </c>
      <c r="K770">
        <v>7</v>
      </c>
      <c r="L770">
        <v>7</v>
      </c>
      <c r="M770">
        <v>7</v>
      </c>
      <c r="N770">
        <v>5</v>
      </c>
      <c r="O770" s="1" t="s">
        <v>19</v>
      </c>
      <c r="P770" s="1" t="s">
        <v>135</v>
      </c>
      <c r="Q770">
        <v>300</v>
      </c>
      <c r="R770" s="1" t="s">
        <v>64</v>
      </c>
      <c r="S770">
        <v>26</v>
      </c>
      <c r="T770">
        <v>1</v>
      </c>
      <c r="U770">
        <v>3</v>
      </c>
      <c r="V770">
        <v>74</v>
      </c>
      <c r="W770">
        <v>3</v>
      </c>
      <c r="X770">
        <v>2</v>
      </c>
      <c r="Y770" s="1" t="s">
        <v>4</v>
      </c>
      <c r="Z770">
        <v>1</v>
      </c>
      <c r="AA770">
        <v>8396</v>
      </c>
      <c r="AB770">
        <v>22217</v>
      </c>
      <c r="AC770" s="1" t="s">
        <v>19</v>
      </c>
      <c r="AD770">
        <v>14</v>
      </c>
      <c r="AE770">
        <v>3</v>
      </c>
      <c r="AF770">
        <v>2</v>
      </c>
      <c r="AG770">
        <v>80</v>
      </c>
      <c r="AH770">
        <v>1</v>
      </c>
      <c r="AI770">
        <v>2</v>
      </c>
      <c r="AJ770">
        <v>0</v>
      </c>
      <c r="AK770" s="1" t="s">
        <v>136</v>
      </c>
    </row>
    <row r="771" spans="1:37" x14ac:dyDescent="0.25">
      <c r="A771">
        <v>1068</v>
      </c>
      <c r="B771">
        <v>26</v>
      </c>
      <c r="C771" s="1" t="s">
        <v>24</v>
      </c>
      <c r="D771" s="1" t="s">
        <v>69</v>
      </c>
      <c r="E771">
        <v>1</v>
      </c>
      <c r="F771" s="1" t="s">
        <v>139</v>
      </c>
      <c r="G771">
        <v>1</v>
      </c>
      <c r="H771" s="1" t="s">
        <v>18</v>
      </c>
      <c r="I771">
        <v>5</v>
      </c>
      <c r="J771">
        <v>5</v>
      </c>
      <c r="K771">
        <v>5</v>
      </c>
      <c r="L771">
        <v>3</v>
      </c>
      <c r="M771">
        <v>1</v>
      </c>
      <c r="N771">
        <v>3</v>
      </c>
      <c r="O771" s="1" t="s">
        <v>19</v>
      </c>
      <c r="P771" s="1" t="s">
        <v>137</v>
      </c>
      <c r="Q771">
        <v>921</v>
      </c>
      <c r="R771" s="1" t="s">
        <v>63</v>
      </c>
      <c r="S771">
        <v>1</v>
      </c>
      <c r="T771">
        <v>1</v>
      </c>
      <c r="U771">
        <v>1</v>
      </c>
      <c r="V771">
        <v>66</v>
      </c>
      <c r="W771">
        <v>2</v>
      </c>
      <c r="X771">
        <v>1</v>
      </c>
      <c r="Y771" s="1" t="s">
        <v>5</v>
      </c>
      <c r="Z771">
        <v>3</v>
      </c>
      <c r="AA771">
        <v>2007</v>
      </c>
      <c r="AB771">
        <v>25265</v>
      </c>
      <c r="AC771" s="1" t="s">
        <v>19</v>
      </c>
      <c r="AD771">
        <v>13</v>
      </c>
      <c r="AE771">
        <v>3</v>
      </c>
      <c r="AF771">
        <v>3</v>
      </c>
      <c r="AG771">
        <v>80</v>
      </c>
      <c r="AH771">
        <v>2</v>
      </c>
      <c r="AI771">
        <v>3</v>
      </c>
      <c r="AJ771">
        <v>0</v>
      </c>
      <c r="AK771" s="1" t="s">
        <v>136</v>
      </c>
    </row>
    <row r="772" spans="1:37" x14ac:dyDescent="0.25">
      <c r="A772">
        <v>1069</v>
      </c>
      <c r="B772">
        <v>46</v>
      </c>
      <c r="C772" s="1" t="s">
        <v>25</v>
      </c>
      <c r="D772" s="1" t="s">
        <v>69</v>
      </c>
      <c r="E772">
        <v>4</v>
      </c>
      <c r="F772" s="1" t="s">
        <v>139</v>
      </c>
      <c r="G772">
        <v>9</v>
      </c>
      <c r="H772" s="1" t="s">
        <v>18</v>
      </c>
      <c r="I772">
        <v>23</v>
      </c>
      <c r="J772">
        <v>0</v>
      </c>
      <c r="K772">
        <v>2</v>
      </c>
      <c r="L772">
        <v>2</v>
      </c>
      <c r="M772">
        <v>2</v>
      </c>
      <c r="N772">
        <v>2</v>
      </c>
      <c r="O772" s="1" t="s">
        <v>19</v>
      </c>
      <c r="P772" s="1" t="s">
        <v>135</v>
      </c>
      <c r="Q772">
        <v>430</v>
      </c>
      <c r="R772" s="1" t="s">
        <v>63</v>
      </c>
      <c r="S772">
        <v>1</v>
      </c>
      <c r="T772">
        <v>1</v>
      </c>
      <c r="U772">
        <v>4</v>
      </c>
      <c r="V772">
        <v>40</v>
      </c>
      <c r="W772">
        <v>3</v>
      </c>
      <c r="X772">
        <v>5</v>
      </c>
      <c r="Y772" s="1" t="s">
        <v>11</v>
      </c>
      <c r="Z772">
        <v>4</v>
      </c>
      <c r="AA772">
        <v>19627</v>
      </c>
      <c r="AB772">
        <v>21445</v>
      </c>
      <c r="AC772" s="1" t="s">
        <v>19</v>
      </c>
      <c r="AD772">
        <v>17</v>
      </c>
      <c r="AE772">
        <v>3</v>
      </c>
      <c r="AF772">
        <v>4</v>
      </c>
      <c r="AG772">
        <v>80</v>
      </c>
      <c r="AH772">
        <v>2</v>
      </c>
      <c r="AI772">
        <v>3</v>
      </c>
      <c r="AJ772">
        <v>0</v>
      </c>
      <c r="AK772" s="1" t="s">
        <v>136</v>
      </c>
    </row>
    <row r="773" spans="1:37" x14ac:dyDescent="0.25">
      <c r="A773">
        <v>1070</v>
      </c>
      <c r="B773">
        <v>54</v>
      </c>
      <c r="C773" s="1" t="s">
        <v>24</v>
      </c>
      <c r="D773" s="1" t="s">
        <v>70</v>
      </c>
      <c r="E773">
        <v>4</v>
      </c>
      <c r="F773" s="1" t="s">
        <v>134</v>
      </c>
      <c r="G773">
        <v>6</v>
      </c>
      <c r="H773" s="1" t="s">
        <v>18</v>
      </c>
      <c r="I773">
        <v>13</v>
      </c>
      <c r="J773">
        <v>4</v>
      </c>
      <c r="K773">
        <v>9</v>
      </c>
      <c r="L773">
        <v>4</v>
      </c>
      <c r="M773">
        <v>7</v>
      </c>
      <c r="N773">
        <v>0</v>
      </c>
      <c r="O773" s="1" t="s">
        <v>19</v>
      </c>
      <c r="P773" s="1" t="s">
        <v>135</v>
      </c>
      <c r="Q773">
        <v>1082</v>
      </c>
      <c r="R773" s="1" t="s">
        <v>64</v>
      </c>
      <c r="S773">
        <v>2</v>
      </c>
      <c r="T773">
        <v>1</v>
      </c>
      <c r="U773">
        <v>3</v>
      </c>
      <c r="V773">
        <v>41</v>
      </c>
      <c r="W773">
        <v>2</v>
      </c>
      <c r="X773">
        <v>3</v>
      </c>
      <c r="Y773" s="1" t="s">
        <v>4</v>
      </c>
      <c r="Z773">
        <v>3</v>
      </c>
      <c r="AA773">
        <v>10686</v>
      </c>
      <c r="AB773">
        <v>8392</v>
      </c>
      <c r="AC773" s="1" t="s">
        <v>19</v>
      </c>
      <c r="AD773">
        <v>11</v>
      </c>
      <c r="AE773">
        <v>3</v>
      </c>
      <c r="AF773">
        <v>2</v>
      </c>
      <c r="AG773">
        <v>80</v>
      </c>
      <c r="AH773">
        <v>1</v>
      </c>
      <c r="AI773">
        <v>3</v>
      </c>
      <c r="AJ773">
        <v>0</v>
      </c>
      <c r="AK773" s="1" t="s">
        <v>140</v>
      </c>
    </row>
    <row r="774" spans="1:37" x14ac:dyDescent="0.25">
      <c r="A774">
        <v>1071</v>
      </c>
      <c r="B774">
        <v>56</v>
      </c>
      <c r="C774" s="1" t="s">
        <v>24</v>
      </c>
      <c r="D774" s="1" t="s">
        <v>70</v>
      </c>
      <c r="E774">
        <v>3</v>
      </c>
      <c r="F774" s="1" t="s">
        <v>139</v>
      </c>
      <c r="G774">
        <v>2</v>
      </c>
      <c r="H774" s="1" t="s">
        <v>18</v>
      </c>
      <c r="I774">
        <v>18</v>
      </c>
      <c r="J774">
        <v>4</v>
      </c>
      <c r="K774">
        <v>5</v>
      </c>
      <c r="L774">
        <v>4</v>
      </c>
      <c r="M774">
        <v>0</v>
      </c>
      <c r="N774">
        <v>3</v>
      </c>
      <c r="O774" s="1" t="s">
        <v>19</v>
      </c>
      <c r="P774" s="1" t="s">
        <v>137</v>
      </c>
      <c r="Q774">
        <v>1240</v>
      </c>
      <c r="R774" s="1" t="s">
        <v>63</v>
      </c>
      <c r="S774">
        <v>9</v>
      </c>
      <c r="T774">
        <v>1</v>
      </c>
      <c r="U774">
        <v>1</v>
      </c>
      <c r="V774">
        <v>63</v>
      </c>
      <c r="W774">
        <v>3</v>
      </c>
      <c r="X774">
        <v>1</v>
      </c>
      <c r="Y774" s="1" t="s">
        <v>5</v>
      </c>
      <c r="Z774">
        <v>3</v>
      </c>
      <c r="AA774">
        <v>2942</v>
      </c>
      <c r="AB774">
        <v>12154</v>
      </c>
      <c r="AC774" s="1" t="s">
        <v>19</v>
      </c>
      <c r="AD774">
        <v>19</v>
      </c>
      <c r="AE774">
        <v>3</v>
      </c>
      <c r="AF774">
        <v>2</v>
      </c>
      <c r="AG774">
        <v>80</v>
      </c>
      <c r="AH774">
        <v>1</v>
      </c>
      <c r="AI774">
        <v>3</v>
      </c>
      <c r="AJ774">
        <v>0</v>
      </c>
      <c r="AK774" s="1" t="s">
        <v>140</v>
      </c>
    </row>
    <row r="775" spans="1:37" x14ac:dyDescent="0.25">
      <c r="A775">
        <v>1073</v>
      </c>
      <c r="B775">
        <v>36</v>
      </c>
      <c r="C775" s="1" t="s">
        <v>24</v>
      </c>
      <c r="D775" s="1" t="s">
        <v>71</v>
      </c>
      <c r="E775">
        <v>5</v>
      </c>
      <c r="F775" s="1" t="s">
        <v>139</v>
      </c>
      <c r="G775">
        <v>0</v>
      </c>
      <c r="H775" s="1" t="s">
        <v>18</v>
      </c>
      <c r="I775">
        <v>15</v>
      </c>
      <c r="J775">
        <v>2</v>
      </c>
      <c r="K775">
        <v>14</v>
      </c>
      <c r="L775">
        <v>8</v>
      </c>
      <c r="M775">
        <v>7</v>
      </c>
      <c r="N775">
        <v>8</v>
      </c>
      <c r="O775" s="1" t="s">
        <v>19</v>
      </c>
      <c r="P775" s="1" t="s">
        <v>135</v>
      </c>
      <c r="Q775">
        <v>796</v>
      </c>
      <c r="R775" s="1" t="s">
        <v>63</v>
      </c>
      <c r="S775">
        <v>12</v>
      </c>
      <c r="T775">
        <v>1</v>
      </c>
      <c r="U775">
        <v>4</v>
      </c>
      <c r="V775">
        <v>51</v>
      </c>
      <c r="W775">
        <v>2</v>
      </c>
      <c r="X775">
        <v>3</v>
      </c>
      <c r="Y775" s="1" t="s">
        <v>7</v>
      </c>
      <c r="Z775">
        <v>4</v>
      </c>
      <c r="AA775">
        <v>8858</v>
      </c>
      <c r="AB775">
        <v>15669</v>
      </c>
      <c r="AC775" s="1" t="s">
        <v>19</v>
      </c>
      <c r="AD775">
        <v>11</v>
      </c>
      <c r="AE775">
        <v>3</v>
      </c>
      <c r="AF775">
        <v>2</v>
      </c>
      <c r="AG775">
        <v>80</v>
      </c>
      <c r="AH775">
        <v>0</v>
      </c>
      <c r="AI775">
        <v>2</v>
      </c>
      <c r="AJ775">
        <v>0</v>
      </c>
      <c r="AK775" s="1" t="s">
        <v>136</v>
      </c>
    </row>
    <row r="776" spans="1:37" x14ac:dyDescent="0.25">
      <c r="A776">
        <v>1074</v>
      </c>
      <c r="B776">
        <v>55</v>
      </c>
      <c r="C776" s="1" t="s">
        <v>25</v>
      </c>
      <c r="D776" s="1" t="s">
        <v>71</v>
      </c>
      <c r="E776">
        <v>1</v>
      </c>
      <c r="F776" s="1" t="s">
        <v>139</v>
      </c>
      <c r="G776">
        <v>7</v>
      </c>
      <c r="H776" s="1" t="s">
        <v>18</v>
      </c>
      <c r="I776">
        <v>31</v>
      </c>
      <c r="J776">
        <v>3</v>
      </c>
      <c r="K776">
        <v>9</v>
      </c>
      <c r="L776">
        <v>7</v>
      </c>
      <c r="M776">
        <v>6</v>
      </c>
      <c r="N776">
        <v>2</v>
      </c>
      <c r="O776" s="1" t="s">
        <v>19</v>
      </c>
      <c r="P776" s="1" t="s">
        <v>141</v>
      </c>
      <c r="Q776">
        <v>444</v>
      </c>
      <c r="R776" s="1" t="s">
        <v>63</v>
      </c>
      <c r="S776">
        <v>2</v>
      </c>
      <c r="T776">
        <v>1</v>
      </c>
      <c r="U776">
        <v>3</v>
      </c>
      <c r="V776">
        <v>40</v>
      </c>
      <c r="W776">
        <v>2</v>
      </c>
      <c r="X776">
        <v>4</v>
      </c>
      <c r="Y776" s="1" t="s">
        <v>9</v>
      </c>
      <c r="Z776">
        <v>1</v>
      </c>
      <c r="AA776">
        <v>16756</v>
      </c>
      <c r="AB776">
        <v>17323</v>
      </c>
      <c r="AC776" s="1" t="s">
        <v>19</v>
      </c>
      <c r="AD776">
        <v>15</v>
      </c>
      <c r="AE776">
        <v>3</v>
      </c>
      <c r="AF776">
        <v>2</v>
      </c>
      <c r="AG776">
        <v>80</v>
      </c>
      <c r="AH776">
        <v>0</v>
      </c>
      <c r="AI776">
        <v>4</v>
      </c>
      <c r="AJ776">
        <v>0</v>
      </c>
      <c r="AK776" s="1" t="s">
        <v>140</v>
      </c>
    </row>
    <row r="777" spans="1:37" x14ac:dyDescent="0.25">
      <c r="A777">
        <v>1076</v>
      </c>
      <c r="B777">
        <v>43</v>
      </c>
      <c r="C777" s="1" t="s">
        <v>25</v>
      </c>
      <c r="D777" s="1" t="s">
        <v>69</v>
      </c>
      <c r="E777">
        <v>3</v>
      </c>
      <c r="F777" s="1" t="s">
        <v>139</v>
      </c>
      <c r="G777">
        <v>5</v>
      </c>
      <c r="H777" s="1" t="s">
        <v>18</v>
      </c>
      <c r="I777">
        <v>18</v>
      </c>
      <c r="J777">
        <v>5</v>
      </c>
      <c r="K777">
        <v>1</v>
      </c>
      <c r="L777">
        <v>0</v>
      </c>
      <c r="M777">
        <v>0</v>
      </c>
      <c r="N777">
        <v>0</v>
      </c>
      <c r="O777" s="1" t="s">
        <v>19</v>
      </c>
      <c r="P777" s="1" t="s">
        <v>135</v>
      </c>
      <c r="Q777">
        <v>415</v>
      </c>
      <c r="R777" s="1" t="s">
        <v>64</v>
      </c>
      <c r="S777">
        <v>25</v>
      </c>
      <c r="T777">
        <v>1</v>
      </c>
      <c r="U777">
        <v>3</v>
      </c>
      <c r="V777">
        <v>79</v>
      </c>
      <c r="W777">
        <v>2</v>
      </c>
      <c r="X777">
        <v>3</v>
      </c>
      <c r="Y777" s="1" t="s">
        <v>4</v>
      </c>
      <c r="Z777">
        <v>4</v>
      </c>
      <c r="AA777">
        <v>10798</v>
      </c>
      <c r="AB777">
        <v>5268</v>
      </c>
      <c r="AC777" s="1" t="s">
        <v>19</v>
      </c>
      <c r="AD777">
        <v>13</v>
      </c>
      <c r="AE777">
        <v>3</v>
      </c>
      <c r="AF777">
        <v>3</v>
      </c>
      <c r="AG777">
        <v>80</v>
      </c>
      <c r="AH777">
        <v>1</v>
      </c>
      <c r="AI777">
        <v>3</v>
      </c>
      <c r="AJ777">
        <v>0</v>
      </c>
      <c r="AK777" s="1" t="s">
        <v>136</v>
      </c>
    </row>
    <row r="778" spans="1:37" x14ac:dyDescent="0.25">
      <c r="A778">
        <v>1077</v>
      </c>
      <c r="B778">
        <v>20</v>
      </c>
      <c r="C778" s="1" t="s">
        <v>24</v>
      </c>
      <c r="D778" s="1" t="s">
        <v>71</v>
      </c>
      <c r="E778">
        <v>3</v>
      </c>
      <c r="F778" s="1" t="s">
        <v>142</v>
      </c>
      <c r="G778">
        <v>1</v>
      </c>
      <c r="H778" s="1" t="s">
        <v>18</v>
      </c>
      <c r="I778">
        <v>2</v>
      </c>
      <c r="J778">
        <v>3</v>
      </c>
      <c r="K778">
        <v>2</v>
      </c>
      <c r="L778">
        <v>2</v>
      </c>
      <c r="M778">
        <v>0</v>
      </c>
      <c r="N778">
        <v>2</v>
      </c>
      <c r="O778" s="1" t="s">
        <v>18</v>
      </c>
      <c r="P778" s="1" t="s">
        <v>137</v>
      </c>
      <c r="Q778">
        <v>769</v>
      </c>
      <c r="R778" s="1" t="s">
        <v>64</v>
      </c>
      <c r="S778">
        <v>9</v>
      </c>
      <c r="T778">
        <v>1</v>
      </c>
      <c r="U778">
        <v>4</v>
      </c>
      <c r="V778">
        <v>54</v>
      </c>
      <c r="W778">
        <v>3</v>
      </c>
      <c r="X778">
        <v>1</v>
      </c>
      <c r="Y778" s="1" t="s">
        <v>10</v>
      </c>
      <c r="Z778">
        <v>4</v>
      </c>
      <c r="AA778">
        <v>2323</v>
      </c>
      <c r="AB778">
        <v>17205</v>
      </c>
      <c r="AC778" s="1" t="s">
        <v>18</v>
      </c>
      <c r="AD778">
        <v>14</v>
      </c>
      <c r="AE778">
        <v>3</v>
      </c>
      <c r="AF778">
        <v>2</v>
      </c>
      <c r="AG778">
        <v>80</v>
      </c>
      <c r="AH778">
        <v>0</v>
      </c>
      <c r="AI778">
        <v>3</v>
      </c>
      <c r="AJ778">
        <v>1</v>
      </c>
      <c r="AK778" s="1" t="s">
        <v>136</v>
      </c>
    </row>
    <row r="779" spans="1:37" x14ac:dyDescent="0.25">
      <c r="A779">
        <v>1079</v>
      </c>
      <c r="B779">
        <v>21</v>
      </c>
      <c r="C779" s="1" t="s">
        <v>24</v>
      </c>
      <c r="D779" s="1" t="s">
        <v>71</v>
      </c>
      <c r="E779">
        <v>3</v>
      </c>
      <c r="F779" s="1" t="s">
        <v>134</v>
      </c>
      <c r="G779">
        <v>1</v>
      </c>
      <c r="H779" s="1" t="s">
        <v>18</v>
      </c>
      <c r="I779">
        <v>1</v>
      </c>
      <c r="J779">
        <v>6</v>
      </c>
      <c r="K779">
        <v>1</v>
      </c>
      <c r="L779">
        <v>0</v>
      </c>
      <c r="M779">
        <v>1</v>
      </c>
      <c r="N779">
        <v>0</v>
      </c>
      <c r="O779" s="1" t="s">
        <v>18</v>
      </c>
      <c r="P779" s="1" t="s">
        <v>135</v>
      </c>
      <c r="Q779">
        <v>1334</v>
      </c>
      <c r="R779" s="1" t="s">
        <v>63</v>
      </c>
      <c r="S779">
        <v>10</v>
      </c>
      <c r="T779">
        <v>1</v>
      </c>
      <c r="U779">
        <v>3</v>
      </c>
      <c r="V779">
        <v>36</v>
      </c>
      <c r="W779">
        <v>2</v>
      </c>
      <c r="X779">
        <v>1</v>
      </c>
      <c r="Y779" s="1" t="s">
        <v>6</v>
      </c>
      <c r="Z779">
        <v>1</v>
      </c>
      <c r="AA779">
        <v>1416</v>
      </c>
      <c r="AB779">
        <v>17258</v>
      </c>
      <c r="AC779" s="1" t="s">
        <v>19</v>
      </c>
      <c r="AD779">
        <v>13</v>
      </c>
      <c r="AE779">
        <v>3</v>
      </c>
      <c r="AF779">
        <v>1</v>
      </c>
      <c r="AG779">
        <v>80</v>
      </c>
      <c r="AH779">
        <v>0</v>
      </c>
      <c r="AI779">
        <v>2</v>
      </c>
      <c r="AJ779">
        <v>1</v>
      </c>
      <c r="AK779" s="1" t="s">
        <v>136</v>
      </c>
    </row>
    <row r="780" spans="1:37" x14ac:dyDescent="0.25">
      <c r="A780">
        <v>1080</v>
      </c>
      <c r="B780">
        <v>46</v>
      </c>
      <c r="C780" s="1" t="s">
        <v>24</v>
      </c>
      <c r="D780" s="1" t="s">
        <v>69</v>
      </c>
      <c r="E780">
        <v>4</v>
      </c>
      <c r="F780" s="1" t="s">
        <v>134</v>
      </c>
      <c r="G780">
        <v>8</v>
      </c>
      <c r="H780" s="1" t="s">
        <v>18</v>
      </c>
      <c r="I780">
        <v>19</v>
      </c>
      <c r="J780">
        <v>2</v>
      </c>
      <c r="K780">
        <v>16</v>
      </c>
      <c r="L780">
        <v>13</v>
      </c>
      <c r="M780">
        <v>1</v>
      </c>
      <c r="N780">
        <v>7</v>
      </c>
      <c r="O780" s="1" t="s">
        <v>19</v>
      </c>
      <c r="P780" s="1" t="s">
        <v>135</v>
      </c>
      <c r="Q780">
        <v>1003</v>
      </c>
      <c r="R780" s="1" t="s">
        <v>63</v>
      </c>
      <c r="S780">
        <v>8</v>
      </c>
      <c r="T780">
        <v>1</v>
      </c>
      <c r="U780">
        <v>4</v>
      </c>
      <c r="V780">
        <v>74</v>
      </c>
      <c r="W780">
        <v>2</v>
      </c>
      <c r="X780">
        <v>2</v>
      </c>
      <c r="Y780" s="1" t="s">
        <v>5</v>
      </c>
      <c r="Z780">
        <v>1</v>
      </c>
      <c r="AA780">
        <v>4615</v>
      </c>
      <c r="AB780">
        <v>21029</v>
      </c>
      <c r="AC780" s="1" t="s">
        <v>18</v>
      </c>
      <c r="AD780">
        <v>23</v>
      </c>
      <c r="AE780">
        <v>4</v>
      </c>
      <c r="AF780">
        <v>1</v>
      </c>
      <c r="AG780">
        <v>80</v>
      </c>
      <c r="AH780">
        <v>3</v>
      </c>
      <c r="AI780">
        <v>3</v>
      </c>
      <c r="AJ780">
        <v>0</v>
      </c>
      <c r="AK780" s="1" t="s">
        <v>136</v>
      </c>
    </row>
    <row r="781" spans="1:37" x14ac:dyDescent="0.25">
      <c r="A781">
        <v>1081</v>
      </c>
      <c r="B781">
        <v>51</v>
      </c>
      <c r="C781" s="1" t="s">
        <v>25</v>
      </c>
      <c r="D781" s="1" t="s">
        <v>70</v>
      </c>
      <c r="E781">
        <v>4</v>
      </c>
      <c r="F781" s="1" t="s">
        <v>134</v>
      </c>
      <c r="G781">
        <v>9</v>
      </c>
      <c r="H781" s="1" t="s">
        <v>18</v>
      </c>
      <c r="I781">
        <v>18</v>
      </c>
      <c r="J781">
        <v>2</v>
      </c>
      <c r="K781">
        <v>10</v>
      </c>
      <c r="L781">
        <v>0</v>
      </c>
      <c r="M781">
        <v>2</v>
      </c>
      <c r="N781">
        <v>7</v>
      </c>
      <c r="O781" s="1" t="s">
        <v>18</v>
      </c>
      <c r="P781" s="1" t="s">
        <v>135</v>
      </c>
      <c r="Q781">
        <v>1323</v>
      </c>
      <c r="R781" s="1" t="s">
        <v>63</v>
      </c>
      <c r="S781">
        <v>4</v>
      </c>
      <c r="T781">
        <v>1</v>
      </c>
      <c r="U781">
        <v>1</v>
      </c>
      <c r="V781">
        <v>34</v>
      </c>
      <c r="W781">
        <v>3</v>
      </c>
      <c r="X781">
        <v>1</v>
      </c>
      <c r="Y781" s="1" t="s">
        <v>5</v>
      </c>
      <c r="Z781">
        <v>3</v>
      </c>
      <c r="AA781">
        <v>2461</v>
      </c>
      <c r="AB781">
        <v>10332</v>
      </c>
      <c r="AC781" s="1" t="s">
        <v>18</v>
      </c>
      <c r="AD781">
        <v>12</v>
      </c>
      <c r="AE781">
        <v>3</v>
      </c>
      <c r="AF781">
        <v>3</v>
      </c>
      <c r="AG781">
        <v>80</v>
      </c>
      <c r="AH781">
        <v>3</v>
      </c>
      <c r="AI781">
        <v>4</v>
      </c>
      <c r="AJ781">
        <v>1</v>
      </c>
      <c r="AK781" s="1" t="s">
        <v>140</v>
      </c>
    </row>
    <row r="782" spans="1:37" x14ac:dyDescent="0.25">
      <c r="A782">
        <v>1082</v>
      </c>
      <c r="B782">
        <v>28</v>
      </c>
      <c r="C782" s="1" t="s">
        <v>25</v>
      </c>
      <c r="D782" s="1" t="s">
        <v>71</v>
      </c>
      <c r="E782">
        <v>2</v>
      </c>
      <c r="F782" s="1" t="s">
        <v>143</v>
      </c>
      <c r="G782">
        <v>1</v>
      </c>
      <c r="H782" s="1" t="s">
        <v>18</v>
      </c>
      <c r="I782">
        <v>10</v>
      </c>
      <c r="J782">
        <v>2</v>
      </c>
      <c r="K782">
        <v>10</v>
      </c>
      <c r="L782">
        <v>7</v>
      </c>
      <c r="M782">
        <v>1</v>
      </c>
      <c r="N782">
        <v>9</v>
      </c>
      <c r="O782" s="1" t="s">
        <v>18</v>
      </c>
      <c r="P782" s="1" t="s">
        <v>141</v>
      </c>
      <c r="Q782">
        <v>1366</v>
      </c>
      <c r="R782" s="1" t="s">
        <v>63</v>
      </c>
      <c r="S782">
        <v>24</v>
      </c>
      <c r="T782">
        <v>1</v>
      </c>
      <c r="U782">
        <v>2</v>
      </c>
      <c r="V782">
        <v>72</v>
      </c>
      <c r="W782">
        <v>2</v>
      </c>
      <c r="X782">
        <v>3</v>
      </c>
      <c r="Y782" s="1" t="s">
        <v>8</v>
      </c>
      <c r="Z782">
        <v>1</v>
      </c>
      <c r="AA782">
        <v>8722</v>
      </c>
      <c r="AB782">
        <v>12355</v>
      </c>
      <c r="AC782" s="1" t="s">
        <v>19</v>
      </c>
      <c r="AD782">
        <v>12</v>
      </c>
      <c r="AE782">
        <v>3</v>
      </c>
      <c r="AF782">
        <v>1</v>
      </c>
      <c r="AG782">
        <v>80</v>
      </c>
      <c r="AH782">
        <v>0</v>
      </c>
      <c r="AI782">
        <v>2</v>
      </c>
      <c r="AJ782">
        <v>1</v>
      </c>
      <c r="AK782" s="1" t="s">
        <v>136</v>
      </c>
    </row>
    <row r="783" spans="1:37" x14ac:dyDescent="0.25">
      <c r="A783">
        <v>1083</v>
      </c>
      <c r="B783">
        <v>26</v>
      </c>
      <c r="C783" s="1" t="s">
        <v>25</v>
      </c>
      <c r="D783" s="1" t="s">
        <v>70</v>
      </c>
      <c r="E783">
        <v>2</v>
      </c>
      <c r="F783" s="1" t="s">
        <v>139</v>
      </c>
      <c r="G783">
        <v>1</v>
      </c>
      <c r="H783" s="1" t="s">
        <v>18</v>
      </c>
      <c r="I783">
        <v>6</v>
      </c>
      <c r="J783">
        <v>2</v>
      </c>
      <c r="K783">
        <v>5</v>
      </c>
      <c r="L783">
        <v>3</v>
      </c>
      <c r="M783">
        <v>1</v>
      </c>
      <c r="N783">
        <v>3</v>
      </c>
      <c r="O783" s="1" t="s">
        <v>19</v>
      </c>
      <c r="P783" s="1" t="s">
        <v>135</v>
      </c>
      <c r="Q783">
        <v>192</v>
      </c>
      <c r="R783" s="1" t="s">
        <v>63</v>
      </c>
      <c r="S783">
        <v>1</v>
      </c>
      <c r="T783">
        <v>1</v>
      </c>
      <c r="U783">
        <v>1</v>
      </c>
      <c r="V783">
        <v>59</v>
      </c>
      <c r="W783">
        <v>2</v>
      </c>
      <c r="X783">
        <v>1</v>
      </c>
      <c r="Y783" s="1" t="s">
        <v>6</v>
      </c>
      <c r="Z783">
        <v>1</v>
      </c>
      <c r="AA783">
        <v>3955</v>
      </c>
      <c r="AB783">
        <v>11141</v>
      </c>
      <c r="AC783" s="1" t="s">
        <v>19</v>
      </c>
      <c r="AD783">
        <v>16</v>
      </c>
      <c r="AE783">
        <v>3</v>
      </c>
      <c r="AF783">
        <v>1</v>
      </c>
      <c r="AG783">
        <v>80</v>
      </c>
      <c r="AH783">
        <v>2</v>
      </c>
      <c r="AI783">
        <v>3</v>
      </c>
      <c r="AJ783">
        <v>0</v>
      </c>
      <c r="AK783" s="1" t="s">
        <v>136</v>
      </c>
    </row>
    <row r="784" spans="1:37" x14ac:dyDescent="0.25">
      <c r="A784">
        <v>1084</v>
      </c>
      <c r="B784">
        <v>30</v>
      </c>
      <c r="C784" s="1" t="s">
        <v>25</v>
      </c>
      <c r="D784" s="1" t="s">
        <v>70</v>
      </c>
      <c r="E784">
        <v>3</v>
      </c>
      <c r="F784" s="1" t="s">
        <v>138</v>
      </c>
      <c r="G784">
        <v>0</v>
      </c>
      <c r="H784" s="1" t="s">
        <v>18</v>
      </c>
      <c r="I784">
        <v>7</v>
      </c>
      <c r="J784">
        <v>1</v>
      </c>
      <c r="K784">
        <v>6</v>
      </c>
      <c r="L784">
        <v>2</v>
      </c>
      <c r="M784">
        <v>0</v>
      </c>
      <c r="N784">
        <v>2</v>
      </c>
      <c r="O784" s="1" t="s">
        <v>19</v>
      </c>
      <c r="P784" s="1" t="s">
        <v>135</v>
      </c>
      <c r="Q784">
        <v>1176</v>
      </c>
      <c r="R784" s="1" t="s">
        <v>63</v>
      </c>
      <c r="S784">
        <v>20</v>
      </c>
      <c r="T784">
        <v>1</v>
      </c>
      <c r="U784">
        <v>3</v>
      </c>
      <c r="V784">
        <v>85</v>
      </c>
      <c r="W784">
        <v>3</v>
      </c>
      <c r="X784">
        <v>2</v>
      </c>
      <c r="Y784" s="1" t="s">
        <v>7</v>
      </c>
      <c r="Z784">
        <v>1</v>
      </c>
      <c r="AA784">
        <v>9957</v>
      </c>
      <c r="AB784">
        <v>9096</v>
      </c>
      <c r="AC784" s="1" t="s">
        <v>19</v>
      </c>
      <c r="AD784">
        <v>15</v>
      </c>
      <c r="AE784">
        <v>3</v>
      </c>
      <c r="AF784">
        <v>3</v>
      </c>
      <c r="AG784">
        <v>80</v>
      </c>
      <c r="AH784">
        <v>1</v>
      </c>
      <c r="AI784">
        <v>2</v>
      </c>
      <c r="AJ784">
        <v>0</v>
      </c>
      <c r="AK784" s="1" t="s">
        <v>136</v>
      </c>
    </row>
    <row r="785" spans="1:37" x14ac:dyDescent="0.25">
      <c r="A785">
        <v>1085</v>
      </c>
      <c r="B785">
        <v>41</v>
      </c>
      <c r="C785" s="1" t="s">
        <v>24</v>
      </c>
      <c r="D785" s="1" t="s">
        <v>70</v>
      </c>
      <c r="E785">
        <v>2</v>
      </c>
      <c r="F785" s="1" t="s">
        <v>143</v>
      </c>
      <c r="G785">
        <v>1</v>
      </c>
      <c r="H785" s="1" t="s">
        <v>18</v>
      </c>
      <c r="I785">
        <v>10</v>
      </c>
      <c r="J785">
        <v>3</v>
      </c>
      <c r="K785">
        <v>10</v>
      </c>
      <c r="L785">
        <v>6</v>
      </c>
      <c r="M785">
        <v>0</v>
      </c>
      <c r="N785">
        <v>8</v>
      </c>
      <c r="O785" s="1" t="s">
        <v>19</v>
      </c>
      <c r="P785" s="1" t="s">
        <v>135</v>
      </c>
      <c r="Q785">
        <v>509</v>
      </c>
      <c r="R785" s="1" t="s">
        <v>63</v>
      </c>
      <c r="S785">
        <v>7</v>
      </c>
      <c r="T785">
        <v>1</v>
      </c>
      <c r="U785">
        <v>2</v>
      </c>
      <c r="V785">
        <v>43</v>
      </c>
      <c r="W785">
        <v>4</v>
      </c>
      <c r="X785">
        <v>1</v>
      </c>
      <c r="Y785" s="1" t="s">
        <v>5</v>
      </c>
      <c r="Z785">
        <v>3</v>
      </c>
      <c r="AA785">
        <v>3376</v>
      </c>
      <c r="AB785">
        <v>18863</v>
      </c>
      <c r="AC785" s="1" t="s">
        <v>19</v>
      </c>
      <c r="AD785">
        <v>13</v>
      </c>
      <c r="AE785">
        <v>3</v>
      </c>
      <c r="AF785">
        <v>3</v>
      </c>
      <c r="AG785">
        <v>80</v>
      </c>
      <c r="AH785">
        <v>0</v>
      </c>
      <c r="AI785">
        <v>3</v>
      </c>
      <c r="AJ785">
        <v>0</v>
      </c>
      <c r="AK785" s="1" t="s">
        <v>136</v>
      </c>
    </row>
    <row r="786" spans="1:37" x14ac:dyDescent="0.25">
      <c r="A786">
        <v>1088</v>
      </c>
      <c r="B786">
        <v>38</v>
      </c>
      <c r="C786" s="1" t="s">
        <v>24</v>
      </c>
      <c r="D786" s="1" t="s">
        <v>70</v>
      </c>
      <c r="E786">
        <v>1</v>
      </c>
      <c r="F786" s="1" t="s">
        <v>134</v>
      </c>
      <c r="G786">
        <v>0</v>
      </c>
      <c r="H786" s="1" t="s">
        <v>18</v>
      </c>
      <c r="I786">
        <v>20</v>
      </c>
      <c r="J786">
        <v>4</v>
      </c>
      <c r="K786">
        <v>19</v>
      </c>
      <c r="L786">
        <v>9</v>
      </c>
      <c r="M786">
        <v>1</v>
      </c>
      <c r="N786">
        <v>9</v>
      </c>
      <c r="O786" s="1" t="s">
        <v>19</v>
      </c>
      <c r="P786" s="1" t="s">
        <v>135</v>
      </c>
      <c r="Q786">
        <v>330</v>
      </c>
      <c r="R786" s="1" t="s">
        <v>63</v>
      </c>
      <c r="S786">
        <v>17</v>
      </c>
      <c r="T786">
        <v>1</v>
      </c>
      <c r="U786">
        <v>3</v>
      </c>
      <c r="V786">
        <v>65</v>
      </c>
      <c r="W786">
        <v>2</v>
      </c>
      <c r="X786">
        <v>3</v>
      </c>
      <c r="Y786" s="1" t="s">
        <v>8</v>
      </c>
      <c r="Z786">
        <v>3</v>
      </c>
      <c r="AA786">
        <v>8823</v>
      </c>
      <c r="AB786">
        <v>24608</v>
      </c>
      <c r="AC786" s="1" t="s">
        <v>19</v>
      </c>
      <c r="AD786">
        <v>18</v>
      </c>
      <c r="AE786">
        <v>3</v>
      </c>
      <c r="AF786">
        <v>1</v>
      </c>
      <c r="AG786">
        <v>80</v>
      </c>
      <c r="AH786">
        <v>1</v>
      </c>
      <c r="AI786">
        <v>2</v>
      </c>
      <c r="AJ786">
        <v>0</v>
      </c>
      <c r="AK786" s="1" t="s">
        <v>136</v>
      </c>
    </row>
    <row r="787" spans="1:37" x14ac:dyDescent="0.25">
      <c r="A787">
        <v>1092</v>
      </c>
      <c r="B787">
        <v>40</v>
      </c>
      <c r="C787" s="1" t="s">
        <v>25</v>
      </c>
      <c r="D787" s="1" t="s">
        <v>70</v>
      </c>
      <c r="E787">
        <v>4</v>
      </c>
      <c r="F787" s="1" t="s">
        <v>143</v>
      </c>
      <c r="G787">
        <v>4</v>
      </c>
      <c r="H787" s="1" t="s">
        <v>18</v>
      </c>
      <c r="I787">
        <v>14</v>
      </c>
      <c r="J787">
        <v>6</v>
      </c>
      <c r="K787">
        <v>11</v>
      </c>
      <c r="L787">
        <v>10</v>
      </c>
      <c r="M787">
        <v>11</v>
      </c>
      <c r="N787">
        <v>1</v>
      </c>
      <c r="O787" s="1" t="s">
        <v>19</v>
      </c>
      <c r="P787" s="1" t="s">
        <v>135</v>
      </c>
      <c r="Q787">
        <v>1492</v>
      </c>
      <c r="R787" s="1" t="s">
        <v>63</v>
      </c>
      <c r="S787">
        <v>20</v>
      </c>
      <c r="T787">
        <v>1</v>
      </c>
      <c r="U787">
        <v>1</v>
      </c>
      <c r="V787">
        <v>61</v>
      </c>
      <c r="W787">
        <v>3</v>
      </c>
      <c r="X787">
        <v>3</v>
      </c>
      <c r="Y787" s="1" t="s">
        <v>8</v>
      </c>
      <c r="Z787">
        <v>4</v>
      </c>
      <c r="AA787">
        <v>10322</v>
      </c>
      <c r="AB787">
        <v>26542</v>
      </c>
      <c r="AC787" s="1" t="s">
        <v>19</v>
      </c>
      <c r="AD787">
        <v>20</v>
      </c>
      <c r="AE787">
        <v>4</v>
      </c>
      <c r="AF787">
        <v>4</v>
      </c>
      <c r="AG787">
        <v>80</v>
      </c>
      <c r="AH787">
        <v>1</v>
      </c>
      <c r="AI787">
        <v>3</v>
      </c>
      <c r="AJ787">
        <v>0</v>
      </c>
      <c r="AK787" s="1" t="s">
        <v>136</v>
      </c>
    </row>
    <row r="788" spans="1:37" x14ac:dyDescent="0.25">
      <c r="A788">
        <v>1094</v>
      </c>
      <c r="B788">
        <v>27</v>
      </c>
      <c r="C788" s="1" t="s">
        <v>25</v>
      </c>
      <c r="D788" s="1" t="s">
        <v>70</v>
      </c>
      <c r="E788">
        <v>5</v>
      </c>
      <c r="F788" s="1" t="s">
        <v>134</v>
      </c>
      <c r="G788">
        <v>1</v>
      </c>
      <c r="H788" s="1" t="s">
        <v>18</v>
      </c>
      <c r="I788">
        <v>3</v>
      </c>
      <c r="J788">
        <v>4</v>
      </c>
      <c r="K788">
        <v>3</v>
      </c>
      <c r="L788">
        <v>2</v>
      </c>
      <c r="M788">
        <v>1</v>
      </c>
      <c r="N788">
        <v>2</v>
      </c>
      <c r="O788" s="1" t="s">
        <v>19</v>
      </c>
      <c r="P788" s="1" t="s">
        <v>141</v>
      </c>
      <c r="Q788">
        <v>1277</v>
      </c>
      <c r="R788" s="1" t="s">
        <v>63</v>
      </c>
      <c r="S788">
        <v>8</v>
      </c>
      <c r="T788">
        <v>1</v>
      </c>
      <c r="U788">
        <v>1</v>
      </c>
      <c r="V788">
        <v>87</v>
      </c>
      <c r="W788">
        <v>1</v>
      </c>
      <c r="X788">
        <v>1</v>
      </c>
      <c r="Y788" s="1" t="s">
        <v>6</v>
      </c>
      <c r="Z788">
        <v>3</v>
      </c>
      <c r="AA788">
        <v>4621</v>
      </c>
      <c r="AB788">
        <v>5869</v>
      </c>
      <c r="AC788" s="1" t="s">
        <v>19</v>
      </c>
      <c r="AD788">
        <v>19</v>
      </c>
      <c r="AE788">
        <v>3</v>
      </c>
      <c r="AF788">
        <v>4</v>
      </c>
      <c r="AG788">
        <v>80</v>
      </c>
      <c r="AH788">
        <v>3</v>
      </c>
      <c r="AI788">
        <v>3</v>
      </c>
      <c r="AJ788">
        <v>0</v>
      </c>
      <c r="AK788" s="1" t="s">
        <v>136</v>
      </c>
    </row>
    <row r="789" spans="1:37" x14ac:dyDescent="0.25">
      <c r="A789">
        <v>1096</v>
      </c>
      <c r="B789">
        <v>55</v>
      </c>
      <c r="C789" s="1" t="s">
        <v>25</v>
      </c>
      <c r="D789" s="1" t="s">
        <v>70</v>
      </c>
      <c r="E789">
        <v>1</v>
      </c>
      <c r="F789" s="1" t="s">
        <v>134</v>
      </c>
      <c r="G789">
        <v>3</v>
      </c>
      <c r="H789" s="1" t="s">
        <v>18</v>
      </c>
      <c r="I789">
        <v>23</v>
      </c>
      <c r="J789">
        <v>4</v>
      </c>
      <c r="K789">
        <v>3</v>
      </c>
      <c r="L789">
        <v>2</v>
      </c>
      <c r="M789">
        <v>1</v>
      </c>
      <c r="N789">
        <v>2</v>
      </c>
      <c r="O789" s="1" t="s">
        <v>19</v>
      </c>
      <c r="P789" s="1" t="s">
        <v>137</v>
      </c>
      <c r="Q789">
        <v>1091</v>
      </c>
      <c r="R789" s="1" t="s">
        <v>63</v>
      </c>
      <c r="S789">
        <v>2</v>
      </c>
      <c r="T789">
        <v>1</v>
      </c>
      <c r="U789">
        <v>4</v>
      </c>
      <c r="V789">
        <v>65</v>
      </c>
      <c r="W789">
        <v>3</v>
      </c>
      <c r="X789">
        <v>3</v>
      </c>
      <c r="Y789" s="1" t="s">
        <v>7</v>
      </c>
      <c r="Z789">
        <v>2</v>
      </c>
      <c r="AA789">
        <v>10976</v>
      </c>
      <c r="AB789">
        <v>15813</v>
      </c>
      <c r="AC789" s="1" t="s">
        <v>19</v>
      </c>
      <c r="AD789">
        <v>18</v>
      </c>
      <c r="AE789">
        <v>3</v>
      </c>
      <c r="AF789">
        <v>2</v>
      </c>
      <c r="AG789">
        <v>80</v>
      </c>
      <c r="AH789">
        <v>1</v>
      </c>
      <c r="AI789">
        <v>3</v>
      </c>
      <c r="AJ789">
        <v>0</v>
      </c>
      <c r="AK789" s="1" t="s">
        <v>140</v>
      </c>
    </row>
    <row r="790" spans="1:37" x14ac:dyDescent="0.25">
      <c r="A790">
        <v>1097</v>
      </c>
      <c r="B790">
        <v>28</v>
      </c>
      <c r="C790" s="1" t="s">
        <v>24</v>
      </c>
      <c r="D790" s="1" t="s">
        <v>71</v>
      </c>
      <c r="E790">
        <v>3</v>
      </c>
      <c r="F790" s="1" t="s">
        <v>138</v>
      </c>
      <c r="G790">
        <v>3</v>
      </c>
      <c r="H790" s="1" t="s">
        <v>18</v>
      </c>
      <c r="I790">
        <v>10</v>
      </c>
      <c r="J790">
        <v>4</v>
      </c>
      <c r="K790">
        <v>8</v>
      </c>
      <c r="L790">
        <v>7</v>
      </c>
      <c r="M790">
        <v>1</v>
      </c>
      <c r="N790">
        <v>7</v>
      </c>
      <c r="O790" s="1" t="s">
        <v>19</v>
      </c>
      <c r="P790" s="1" t="s">
        <v>135</v>
      </c>
      <c r="Q790">
        <v>857</v>
      </c>
      <c r="R790" s="1" t="s">
        <v>63</v>
      </c>
      <c r="S790">
        <v>10</v>
      </c>
      <c r="T790">
        <v>1</v>
      </c>
      <c r="U790">
        <v>3</v>
      </c>
      <c r="V790">
        <v>59</v>
      </c>
      <c r="W790">
        <v>3</v>
      </c>
      <c r="X790">
        <v>2</v>
      </c>
      <c r="Y790" s="1" t="s">
        <v>5</v>
      </c>
      <c r="Z790">
        <v>3</v>
      </c>
      <c r="AA790">
        <v>3660</v>
      </c>
      <c r="AB790">
        <v>7909</v>
      </c>
      <c r="AC790" s="1" t="s">
        <v>19</v>
      </c>
      <c r="AD790">
        <v>13</v>
      </c>
      <c r="AE790">
        <v>3</v>
      </c>
      <c r="AF790">
        <v>4</v>
      </c>
      <c r="AG790">
        <v>80</v>
      </c>
      <c r="AH790">
        <v>0</v>
      </c>
      <c r="AI790">
        <v>4</v>
      </c>
      <c r="AJ790">
        <v>0</v>
      </c>
      <c r="AK790" s="1" t="s">
        <v>136</v>
      </c>
    </row>
    <row r="791" spans="1:37" x14ac:dyDescent="0.25">
      <c r="A791">
        <v>1098</v>
      </c>
      <c r="B791">
        <v>44</v>
      </c>
      <c r="C791" s="1" t="s">
        <v>25</v>
      </c>
      <c r="D791" s="1" t="s">
        <v>70</v>
      </c>
      <c r="E791">
        <v>2</v>
      </c>
      <c r="F791" s="1" t="s">
        <v>139</v>
      </c>
      <c r="G791">
        <v>9</v>
      </c>
      <c r="H791" s="1" t="s">
        <v>18</v>
      </c>
      <c r="I791">
        <v>24</v>
      </c>
      <c r="J791">
        <v>1</v>
      </c>
      <c r="K791">
        <v>20</v>
      </c>
      <c r="L791">
        <v>6</v>
      </c>
      <c r="M791">
        <v>3</v>
      </c>
      <c r="N791">
        <v>6</v>
      </c>
      <c r="O791" s="1" t="s">
        <v>18</v>
      </c>
      <c r="P791" s="1" t="s">
        <v>135</v>
      </c>
      <c r="Q791">
        <v>1376</v>
      </c>
      <c r="R791" s="1" t="s">
        <v>12</v>
      </c>
      <c r="S791">
        <v>1</v>
      </c>
      <c r="T791">
        <v>1</v>
      </c>
      <c r="U791">
        <v>2</v>
      </c>
      <c r="V791">
        <v>91</v>
      </c>
      <c r="W791">
        <v>2</v>
      </c>
      <c r="X791">
        <v>3</v>
      </c>
      <c r="Y791" s="1" t="s">
        <v>12</v>
      </c>
      <c r="Z791">
        <v>1</v>
      </c>
      <c r="AA791">
        <v>10482</v>
      </c>
      <c r="AB791">
        <v>2326</v>
      </c>
      <c r="AC791" s="1" t="s">
        <v>19</v>
      </c>
      <c r="AD791">
        <v>14</v>
      </c>
      <c r="AE791">
        <v>3</v>
      </c>
      <c r="AF791">
        <v>4</v>
      </c>
      <c r="AG791">
        <v>80</v>
      </c>
      <c r="AH791">
        <v>1</v>
      </c>
      <c r="AI791">
        <v>3</v>
      </c>
      <c r="AJ791">
        <v>1</v>
      </c>
      <c r="AK791" s="1" t="s">
        <v>136</v>
      </c>
    </row>
    <row r="792" spans="1:37" x14ac:dyDescent="0.25">
      <c r="A792">
        <v>1099</v>
      </c>
      <c r="B792">
        <v>33</v>
      </c>
      <c r="C792" s="1" t="s">
        <v>25</v>
      </c>
      <c r="D792" s="1" t="s">
        <v>69</v>
      </c>
      <c r="E792">
        <v>3</v>
      </c>
      <c r="F792" s="1" t="s">
        <v>134</v>
      </c>
      <c r="G792">
        <v>4</v>
      </c>
      <c r="H792" s="1" t="s">
        <v>18</v>
      </c>
      <c r="I792">
        <v>9</v>
      </c>
      <c r="J792">
        <v>2</v>
      </c>
      <c r="K792">
        <v>3</v>
      </c>
      <c r="L792">
        <v>2</v>
      </c>
      <c r="M792">
        <v>1</v>
      </c>
      <c r="N792">
        <v>2</v>
      </c>
      <c r="O792" s="1" t="s">
        <v>19</v>
      </c>
      <c r="P792" s="1" t="s">
        <v>135</v>
      </c>
      <c r="Q792">
        <v>654</v>
      </c>
      <c r="R792" s="1" t="s">
        <v>63</v>
      </c>
      <c r="S792">
        <v>5</v>
      </c>
      <c r="T792">
        <v>1</v>
      </c>
      <c r="U792">
        <v>4</v>
      </c>
      <c r="V792">
        <v>34</v>
      </c>
      <c r="W792">
        <v>2</v>
      </c>
      <c r="X792">
        <v>3</v>
      </c>
      <c r="Y792" s="1" t="s">
        <v>8</v>
      </c>
      <c r="Z792">
        <v>4</v>
      </c>
      <c r="AA792">
        <v>7119</v>
      </c>
      <c r="AB792">
        <v>21214</v>
      </c>
      <c r="AC792" s="1" t="s">
        <v>19</v>
      </c>
      <c r="AD792">
        <v>15</v>
      </c>
      <c r="AE792">
        <v>3</v>
      </c>
      <c r="AF792">
        <v>3</v>
      </c>
      <c r="AG792">
        <v>80</v>
      </c>
      <c r="AH792">
        <v>1</v>
      </c>
      <c r="AI792">
        <v>3</v>
      </c>
      <c r="AJ792">
        <v>0</v>
      </c>
      <c r="AK792" s="1" t="s">
        <v>136</v>
      </c>
    </row>
    <row r="793" spans="1:37" x14ac:dyDescent="0.25">
      <c r="A793">
        <v>1100</v>
      </c>
      <c r="B793">
        <v>35</v>
      </c>
      <c r="C793" s="1" t="s">
        <v>25</v>
      </c>
      <c r="D793" s="1" t="s">
        <v>71</v>
      </c>
      <c r="E793">
        <v>3</v>
      </c>
      <c r="F793" s="1" t="s">
        <v>143</v>
      </c>
      <c r="G793">
        <v>0</v>
      </c>
      <c r="H793" s="1" t="s">
        <v>18</v>
      </c>
      <c r="I793">
        <v>9</v>
      </c>
      <c r="J793">
        <v>2</v>
      </c>
      <c r="K793">
        <v>8</v>
      </c>
      <c r="L793">
        <v>7</v>
      </c>
      <c r="M793">
        <v>4</v>
      </c>
      <c r="N793">
        <v>7</v>
      </c>
      <c r="O793" s="1" t="s">
        <v>18</v>
      </c>
      <c r="P793" s="1" t="s">
        <v>135</v>
      </c>
      <c r="Q793">
        <v>1204</v>
      </c>
      <c r="R793" s="1" t="s">
        <v>64</v>
      </c>
      <c r="S793">
        <v>4</v>
      </c>
      <c r="T793">
        <v>1</v>
      </c>
      <c r="U793">
        <v>4</v>
      </c>
      <c r="V793">
        <v>86</v>
      </c>
      <c r="W793">
        <v>3</v>
      </c>
      <c r="X793">
        <v>3</v>
      </c>
      <c r="Y793" s="1" t="s">
        <v>4</v>
      </c>
      <c r="Z793">
        <v>1</v>
      </c>
      <c r="AA793">
        <v>9582</v>
      </c>
      <c r="AB793">
        <v>10333</v>
      </c>
      <c r="AC793" s="1" t="s">
        <v>18</v>
      </c>
      <c r="AD793">
        <v>22</v>
      </c>
      <c r="AE793">
        <v>4</v>
      </c>
      <c r="AF793">
        <v>1</v>
      </c>
      <c r="AG793">
        <v>80</v>
      </c>
      <c r="AH793">
        <v>0</v>
      </c>
      <c r="AI793">
        <v>3</v>
      </c>
      <c r="AJ793">
        <v>1</v>
      </c>
      <c r="AK793" s="1" t="s">
        <v>136</v>
      </c>
    </row>
    <row r="794" spans="1:37" x14ac:dyDescent="0.25">
      <c r="A794">
        <v>1101</v>
      </c>
      <c r="B794">
        <v>33</v>
      </c>
      <c r="C794" s="1" t="s">
        <v>24</v>
      </c>
      <c r="D794" s="1" t="s">
        <v>71</v>
      </c>
      <c r="E794">
        <v>4</v>
      </c>
      <c r="F794" s="1" t="s">
        <v>139</v>
      </c>
      <c r="G794">
        <v>1</v>
      </c>
      <c r="H794" s="1" t="s">
        <v>18</v>
      </c>
      <c r="I794">
        <v>14</v>
      </c>
      <c r="J794">
        <v>4</v>
      </c>
      <c r="K794">
        <v>13</v>
      </c>
      <c r="L794">
        <v>7</v>
      </c>
      <c r="M794">
        <v>3</v>
      </c>
      <c r="N794">
        <v>8</v>
      </c>
      <c r="O794" s="1" t="s">
        <v>18</v>
      </c>
      <c r="P794" s="1" t="s">
        <v>137</v>
      </c>
      <c r="Q794">
        <v>827</v>
      </c>
      <c r="R794" s="1" t="s">
        <v>63</v>
      </c>
      <c r="S794">
        <v>29</v>
      </c>
      <c r="T794">
        <v>1</v>
      </c>
      <c r="U794">
        <v>1</v>
      </c>
      <c r="V794">
        <v>54</v>
      </c>
      <c r="W794">
        <v>2</v>
      </c>
      <c r="X794">
        <v>2</v>
      </c>
      <c r="Y794" s="1" t="s">
        <v>5</v>
      </c>
      <c r="Z794">
        <v>3</v>
      </c>
      <c r="AA794">
        <v>4508</v>
      </c>
      <c r="AB794">
        <v>3129</v>
      </c>
      <c r="AC794" s="1" t="s">
        <v>19</v>
      </c>
      <c r="AD794">
        <v>22</v>
      </c>
      <c r="AE794">
        <v>4</v>
      </c>
      <c r="AF794">
        <v>2</v>
      </c>
      <c r="AG794">
        <v>80</v>
      </c>
      <c r="AH794">
        <v>0</v>
      </c>
      <c r="AI794">
        <v>3</v>
      </c>
      <c r="AJ794">
        <v>1</v>
      </c>
      <c r="AK794" s="1" t="s">
        <v>136</v>
      </c>
    </row>
    <row r="795" spans="1:37" x14ac:dyDescent="0.25">
      <c r="A795">
        <v>1102</v>
      </c>
      <c r="B795">
        <v>28</v>
      </c>
      <c r="C795" s="1" t="s">
        <v>25</v>
      </c>
      <c r="D795" s="1" t="s">
        <v>69</v>
      </c>
      <c r="E795">
        <v>2</v>
      </c>
      <c r="F795" s="1" t="s">
        <v>134</v>
      </c>
      <c r="G795">
        <v>1</v>
      </c>
      <c r="H795" s="1" t="s">
        <v>18</v>
      </c>
      <c r="I795">
        <v>4</v>
      </c>
      <c r="J795">
        <v>5</v>
      </c>
      <c r="K795">
        <v>4</v>
      </c>
      <c r="L795">
        <v>2</v>
      </c>
      <c r="M795">
        <v>2</v>
      </c>
      <c r="N795">
        <v>2</v>
      </c>
      <c r="O795" s="1" t="s">
        <v>19</v>
      </c>
      <c r="P795" s="1" t="s">
        <v>135</v>
      </c>
      <c r="Q795">
        <v>895</v>
      </c>
      <c r="R795" s="1" t="s">
        <v>63</v>
      </c>
      <c r="S795">
        <v>15</v>
      </c>
      <c r="T795">
        <v>1</v>
      </c>
      <c r="U795">
        <v>1</v>
      </c>
      <c r="V795">
        <v>50</v>
      </c>
      <c r="W795">
        <v>3</v>
      </c>
      <c r="X795">
        <v>1</v>
      </c>
      <c r="Y795" s="1" t="s">
        <v>6</v>
      </c>
      <c r="Z795">
        <v>3</v>
      </c>
      <c r="AA795">
        <v>2207</v>
      </c>
      <c r="AB795">
        <v>22482</v>
      </c>
      <c r="AC795" s="1" t="s">
        <v>19</v>
      </c>
      <c r="AD795">
        <v>16</v>
      </c>
      <c r="AE795">
        <v>3</v>
      </c>
      <c r="AF795">
        <v>4</v>
      </c>
      <c r="AG795">
        <v>80</v>
      </c>
      <c r="AH795">
        <v>1</v>
      </c>
      <c r="AI795">
        <v>2</v>
      </c>
      <c r="AJ795">
        <v>0</v>
      </c>
      <c r="AK795" s="1" t="s">
        <v>136</v>
      </c>
    </row>
    <row r="796" spans="1:37" x14ac:dyDescent="0.25">
      <c r="A796">
        <v>1103</v>
      </c>
      <c r="B796">
        <v>34</v>
      </c>
      <c r="C796" s="1" t="s">
        <v>25</v>
      </c>
      <c r="D796" s="1" t="s">
        <v>71</v>
      </c>
      <c r="E796">
        <v>1</v>
      </c>
      <c r="F796" s="1" t="s">
        <v>134</v>
      </c>
      <c r="G796">
        <v>0</v>
      </c>
      <c r="H796" s="1" t="s">
        <v>18</v>
      </c>
      <c r="I796">
        <v>7</v>
      </c>
      <c r="J796">
        <v>1</v>
      </c>
      <c r="K796">
        <v>6</v>
      </c>
      <c r="L796">
        <v>2</v>
      </c>
      <c r="M796">
        <v>0</v>
      </c>
      <c r="N796">
        <v>4</v>
      </c>
      <c r="O796" s="1" t="s">
        <v>19</v>
      </c>
      <c r="P796" s="1" t="s">
        <v>137</v>
      </c>
      <c r="Q796">
        <v>618</v>
      </c>
      <c r="R796" s="1" t="s">
        <v>63</v>
      </c>
      <c r="S796">
        <v>3</v>
      </c>
      <c r="T796">
        <v>1</v>
      </c>
      <c r="U796">
        <v>1</v>
      </c>
      <c r="V796">
        <v>45</v>
      </c>
      <c r="W796">
        <v>3</v>
      </c>
      <c r="X796">
        <v>2</v>
      </c>
      <c r="Y796" s="1" t="s">
        <v>8</v>
      </c>
      <c r="Z796">
        <v>4</v>
      </c>
      <c r="AA796">
        <v>7756</v>
      </c>
      <c r="AB796">
        <v>22266</v>
      </c>
      <c r="AC796" s="1" t="s">
        <v>19</v>
      </c>
      <c r="AD796">
        <v>17</v>
      </c>
      <c r="AE796">
        <v>3</v>
      </c>
      <c r="AF796">
        <v>3</v>
      </c>
      <c r="AG796">
        <v>80</v>
      </c>
      <c r="AH796">
        <v>0</v>
      </c>
      <c r="AI796">
        <v>2</v>
      </c>
      <c r="AJ796">
        <v>0</v>
      </c>
      <c r="AK796" s="1" t="s">
        <v>136</v>
      </c>
    </row>
    <row r="797" spans="1:37" x14ac:dyDescent="0.25">
      <c r="A797">
        <v>1105</v>
      </c>
      <c r="B797">
        <v>37</v>
      </c>
      <c r="C797" s="1" t="s">
        <v>24</v>
      </c>
      <c r="D797" s="1" t="s">
        <v>69</v>
      </c>
      <c r="E797">
        <v>4</v>
      </c>
      <c r="F797" s="1" t="s">
        <v>134</v>
      </c>
      <c r="G797">
        <v>2</v>
      </c>
      <c r="H797" s="1" t="s">
        <v>18</v>
      </c>
      <c r="I797">
        <v>8</v>
      </c>
      <c r="J797">
        <v>5</v>
      </c>
      <c r="K797">
        <v>1</v>
      </c>
      <c r="L797">
        <v>0</v>
      </c>
      <c r="M797">
        <v>0</v>
      </c>
      <c r="N797">
        <v>0</v>
      </c>
      <c r="O797" s="1" t="s">
        <v>19</v>
      </c>
      <c r="P797" s="1" t="s">
        <v>135</v>
      </c>
      <c r="Q797">
        <v>309</v>
      </c>
      <c r="R797" s="1" t="s">
        <v>64</v>
      </c>
      <c r="S797">
        <v>10</v>
      </c>
      <c r="T797">
        <v>1</v>
      </c>
      <c r="U797">
        <v>4</v>
      </c>
      <c r="V797">
        <v>88</v>
      </c>
      <c r="W797">
        <v>2</v>
      </c>
      <c r="X797">
        <v>2</v>
      </c>
      <c r="Y797" s="1" t="s">
        <v>4</v>
      </c>
      <c r="Z797">
        <v>4</v>
      </c>
      <c r="AA797">
        <v>6694</v>
      </c>
      <c r="AB797">
        <v>24223</v>
      </c>
      <c r="AC797" s="1" t="s">
        <v>18</v>
      </c>
      <c r="AD797">
        <v>14</v>
      </c>
      <c r="AE797">
        <v>3</v>
      </c>
      <c r="AF797">
        <v>3</v>
      </c>
      <c r="AG797">
        <v>80</v>
      </c>
      <c r="AH797">
        <v>3</v>
      </c>
      <c r="AI797">
        <v>3</v>
      </c>
      <c r="AJ797">
        <v>0</v>
      </c>
      <c r="AK797" s="1" t="s">
        <v>136</v>
      </c>
    </row>
    <row r="798" spans="1:37" x14ac:dyDescent="0.25">
      <c r="A798">
        <v>1106</v>
      </c>
      <c r="B798">
        <v>25</v>
      </c>
      <c r="C798" s="1" t="s">
        <v>25</v>
      </c>
      <c r="D798" s="1" t="s">
        <v>70</v>
      </c>
      <c r="E798">
        <v>1</v>
      </c>
      <c r="F798" s="1" t="s">
        <v>143</v>
      </c>
      <c r="G798">
        <v>1</v>
      </c>
      <c r="H798" s="1" t="s">
        <v>18</v>
      </c>
      <c r="I798">
        <v>7</v>
      </c>
      <c r="J798">
        <v>3</v>
      </c>
      <c r="K798">
        <v>7</v>
      </c>
      <c r="L798">
        <v>7</v>
      </c>
      <c r="M798">
        <v>5</v>
      </c>
      <c r="N798">
        <v>6</v>
      </c>
      <c r="O798" s="1" t="s">
        <v>18</v>
      </c>
      <c r="P798" s="1" t="s">
        <v>135</v>
      </c>
      <c r="Q798">
        <v>1219</v>
      </c>
      <c r="R798" s="1" t="s">
        <v>63</v>
      </c>
      <c r="S798">
        <v>4</v>
      </c>
      <c r="T798">
        <v>1</v>
      </c>
      <c r="U798">
        <v>4</v>
      </c>
      <c r="V798">
        <v>32</v>
      </c>
      <c r="W798">
        <v>3</v>
      </c>
      <c r="X798">
        <v>1</v>
      </c>
      <c r="Y798" s="1" t="s">
        <v>6</v>
      </c>
      <c r="Z798">
        <v>4</v>
      </c>
      <c r="AA798">
        <v>3691</v>
      </c>
      <c r="AB798">
        <v>4605</v>
      </c>
      <c r="AC798" s="1" t="s">
        <v>18</v>
      </c>
      <c r="AD798">
        <v>15</v>
      </c>
      <c r="AE798">
        <v>3</v>
      </c>
      <c r="AF798">
        <v>2</v>
      </c>
      <c r="AG798">
        <v>80</v>
      </c>
      <c r="AH798">
        <v>1</v>
      </c>
      <c r="AI798">
        <v>4</v>
      </c>
      <c r="AJ798">
        <v>1</v>
      </c>
      <c r="AK798" s="1" t="s">
        <v>136</v>
      </c>
    </row>
    <row r="799" spans="1:37" x14ac:dyDescent="0.25">
      <c r="A799">
        <v>1107</v>
      </c>
      <c r="B799">
        <v>26</v>
      </c>
      <c r="C799" s="1" t="s">
        <v>25</v>
      </c>
      <c r="D799" s="1" t="s">
        <v>69</v>
      </c>
      <c r="E799">
        <v>3</v>
      </c>
      <c r="F799" s="1" t="s">
        <v>139</v>
      </c>
      <c r="G799">
        <v>1</v>
      </c>
      <c r="H799" s="1" t="s">
        <v>18</v>
      </c>
      <c r="I799">
        <v>1</v>
      </c>
      <c r="J799">
        <v>0</v>
      </c>
      <c r="K799">
        <v>1</v>
      </c>
      <c r="L799">
        <v>1</v>
      </c>
      <c r="M799">
        <v>0</v>
      </c>
      <c r="N799">
        <v>0</v>
      </c>
      <c r="O799" s="1" t="s">
        <v>18</v>
      </c>
      <c r="P799" s="1" t="s">
        <v>135</v>
      </c>
      <c r="Q799">
        <v>1330</v>
      </c>
      <c r="R799" s="1" t="s">
        <v>63</v>
      </c>
      <c r="S799">
        <v>21</v>
      </c>
      <c r="T799">
        <v>1</v>
      </c>
      <c r="U799">
        <v>1</v>
      </c>
      <c r="V799">
        <v>37</v>
      </c>
      <c r="W799">
        <v>3</v>
      </c>
      <c r="X799">
        <v>1</v>
      </c>
      <c r="Y799" s="1" t="s">
        <v>6</v>
      </c>
      <c r="Z799">
        <v>3</v>
      </c>
      <c r="AA799">
        <v>2377</v>
      </c>
      <c r="AB799">
        <v>19373</v>
      </c>
      <c r="AC799" s="1" t="s">
        <v>19</v>
      </c>
      <c r="AD799">
        <v>20</v>
      </c>
      <c r="AE799">
        <v>4</v>
      </c>
      <c r="AF799">
        <v>3</v>
      </c>
      <c r="AG799">
        <v>80</v>
      </c>
      <c r="AH799">
        <v>1</v>
      </c>
      <c r="AI799">
        <v>2</v>
      </c>
      <c r="AJ799">
        <v>1</v>
      </c>
      <c r="AK799" s="1" t="s">
        <v>136</v>
      </c>
    </row>
    <row r="800" spans="1:37" x14ac:dyDescent="0.25">
      <c r="A800">
        <v>1108</v>
      </c>
      <c r="B800">
        <v>33</v>
      </c>
      <c r="C800" s="1" t="s">
        <v>25</v>
      </c>
      <c r="D800" s="1" t="s">
        <v>71</v>
      </c>
      <c r="E800">
        <v>3</v>
      </c>
      <c r="F800" s="1" t="s">
        <v>139</v>
      </c>
      <c r="G800">
        <v>4</v>
      </c>
      <c r="H800" s="1" t="s">
        <v>18</v>
      </c>
      <c r="I800">
        <v>5</v>
      </c>
      <c r="J800">
        <v>0</v>
      </c>
      <c r="K800">
        <v>2</v>
      </c>
      <c r="L800">
        <v>2</v>
      </c>
      <c r="M800">
        <v>2</v>
      </c>
      <c r="N800">
        <v>2</v>
      </c>
      <c r="O800" s="1" t="s">
        <v>18</v>
      </c>
      <c r="P800" s="1" t="s">
        <v>135</v>
      </c>
      <c r="Q800">
        <v>1017</v>
      </c>
      <c r="R800" s="1" t="s">
        <v>63</v>
      </c>
      <c r="S800">
        <v>25</v>
      </c>
      <c r="T800">
        <v>1</v>
      </c>
      <c r="U800">
        <v>1</v>
      </c>
      <c r="V800">
        <v>55</v>
      </c>
      <c r="W800">
        <v>2</v>
      </c>
      <c r="X800">
        <v>1</v>
      </c>
      <c r="Y800" s="1" t="s">
        <v>5</v>
      </c>
      <c r="Z800">
        <v>2</v>
      </c>
      <c r="AA800">
        <v>2313</v>
      </c>
      <c r="AB800">
        <v>2993</v>
      </c>
      <c r="AC800" s="1" t="s">
        <v>18</v>
      </c>
      <c r="AD800">
        <v>20</v>
      </c>
      <c r="AE800">
        <v>4</v>
      </c>
      <c r="AF800">
        <v>2</v>
      </c>
      <c r="AG800">
        <v>80</v>
      </c>
      <c r="AH800">
        <v>0</v>
      </c>
      <c r="AI800">
        <v>3</v>
      </c>
      <c r="AJ800">
        <v>1</v>
      </c>
      <c r="AK800" s="1" t="s">
        <v>136</v>
      </c>
    </row>
    <row r="801" spans="1:37" x14ac:dyDescent="0.25">
      <c r="A801">
        <v>1109</v>
      </c>
      <c r="B801">
        <v>42</v>
      </c>
      <c r="C801" s="1" t="s">
        <v>25</v>
      </c>
      <c r="D801" s="1" t="s">
        <v>70</v>
      </c>
      <c r="E801">
        <v>2</v>
      </c>
      <c r="F801" s="1" t="s">
        <v>139</v>
      </c>
      <c r="G801">
        <v>0</v>
      </c>
      <c r="H801" s="1" t="s">
        <v>18</v>
      </c>
      <c r="I801">
        <v>23</v>
      </c>
      <c r="J801">
        <v>3</v>
      </c>
      <c r="K801">
        <v>22</v>
      </c>
      <c r="L801">
        <v>6</v>
      </c>
      <c r="M801">
        <v>13</v>
      </c>
      <c r="N801">
        <v>7</v>
      </c>
      <c r="O801" s="1" t="s">
        <v>19</v>
      </c>
      <c r="P801" s="1" t="s">
        <v>135</v>
      </c>
      <c r="Q801">
        <v>469</v>
      </c>
      <c r="R801" s="1" t="s">
        <v>63</v>
      </c>
      <c r="S801">
        <v>2</v>
      </c>
      <c r="T801">
        <v>1</v>
      </c>
      <c r="U801">
        <v>4</v>
      </c>
      <c r="V801">
        <v>35</v>
      </c>
      <c r="W801">
        <v>3</v>
      </c>
      <c r="X801">
        <v>4</v>
      </c>
      <c r="Y801" s="1" t="s">
        <v>9</v>
      </c>
      <c r="Z801">
        <v>1</v>
      </c>
      <c r="AA801">
        <v>17665</v>
      </c>
      <c r="AB801">
        <v>14399</v>
      </c>
      <c r="AC801" s="1" t="s">
        <v>19</v>
      </c>
      <c r="AD801">
        <v>17</v>
      </c>
      <c r="AE801">
        <v>3</v>
      </c>
      <c r="AF801">
        <v>4</v>
      </c>
      <c r="AG801">
        <v>80</v>
      </c>
      <c r="AH801">
        <v>1</v>
      </c>
      <c r="AI801">
        <v>3</v>
      </c>
      <c r="AJ801">
        <v>0</v>
      </c>
      <c r="AK801" s="1" t="s">
        <v>136</v>
      </c>
    </row>
    <row r="802" spans="1:37" x14ac:dyDescent="0.25">
      <c r="A802">
        <v>1111</v>
      </c>
      <c r="B802">
        <v>28</v>
      </c>
      <c r="C802" s="1" t="s">
        <v>25</v>
      </c>
      <c r="D802" s="1" t="s">
        <v>69</v>
      </c>
      <c r="E802">
        <v>3</v>
      </c>
      <c r="F802" s="1" t="s">
        <v>139</v>
      </c>
      <c r="G802">
        <v>1</v>
      </c>
      <c r="H802" s="1" t="s">
        <v>18</v>
      </c>
      <c r="I802">
        <v>1</v>
      </c>
      <c r="J802">
        <v>2</v>
      </c>
      <c r="K802">
        <v>1</v>
      </c>
      <c r="L802">
        <v>0</v>
      </c>
      <c r="M802">
        <v>0</v>
      </c>
      <c r="N802">
        <v>0</v>
      </c>
      <c r="O802" s="1" t="s">
        <v>18</v>
      </c>
      <c r="P802" s="1" t="s">
        <v>137</v>
      </c>
      <c r="Q802">
        <v>1009</v>
      </c>
      <c r="R802" s="1" t="s">
        <v>63</v>
      </c>
      <c r="S802">
        <v>1</v>
      </c>
      <c r="T802">
        <v>1</v>
      </c>
      <c r="U802">
        <v>1</v>
      </c>
      <c r="V802">
        <v>45</v>
      </c>
      <c r="W802">
        <v>2</v>
      </c>
      <c r="X802">
        <v>1</v>
      </c>
      <c r="Y802" s="1" t="s">
        <v>6</v>
      </c>
      <c r="Z802">
        <v>2</v>
      </c>
      <c r="AA802">
        <v>2596</v>
      </c>
      <c r="AB802">
        <v>7160</v>
      </c>
      <c r="AC802" s="1" t="s">
        <v>19</v>
      </c>
      <c r="AD802">
        <v>15</v>
      </c>
      <c r="AE802">
        <v>3</v>
      </c>
      <c r="AF802">
        <v>1</v>
      </c>
      <c r="AG802">
        <v>80</v>
      </c>
      <c r="AH802">
        <v>2</v>
      </c>
      <c r="AI802">
        <v>3</v>
      </c>
      <c r="AJ802">
        <v>1</v>
      </c>
      <c r="AK802" s="1" t="s">
        <v>136</v>
      </c>
    </row>
    <row r="803" spans="1:37" x14ac:dyDescent="0.25">
      <c r="A803">
        <v>1113</v>
      </c>
      <c r="B803">
        <v>50</v>
      </c>
      <c r="C803" s="1" t="s">
        <v>25</v>
      </c>
      <c r="D803" s="1" t="s">
        <v>71</v>
      </c>
      <c r="E803">
        <v>4</v>
      </c>
      <c r="F803" s="1" t="s">
        <v>138</v>
      </c>
      <c r="G803">
        <v>3</v>
      </c>
      <c r="H803" s="1" t="s">
        <v>18</v>
      </c>
      <c r="I803">
        <v>5</v>
      </c>
      <c r="J803">
        <v>4</v>
      </c>
      <c r="K803">
        <v>0</v>
      </c>
      <c r="L803">
        <v>0</v>
      </c>
      <c r="M803">
        <v>0</v>
      </c>
      <c r="N803">
        <v>0</v>
      </c>
      <c r="O803" s="1" t="s">
        <v>18</v>
      </c>
      <c r="P803" s="1" t="s">
        <v>137</v>
      </c>
      <c r="Q803">
        <v>959</v>
      </c>
      <c r="R803" s="1" t="s">
        <v>64</v>
      </c>
      <c r="S803">
        <v>1</v>
      </c>
      <c r="T803">
        <v>1</v>
      </c>
      <c r="U803">
        <v>4</v>
      </c>
      <c r="V803">
        <v>81</v>
      </c>
      <c r="W803">
        <v>3</v>
      </c>
      <c r="X803">
        <v>2</v>
      </c>
      <c r="Y803" s="1" t="s">
        <v>4</v>
      </c>
      <c r="Z803">
        <v>3</v>
      </c>
      <c r="AA803">
        <v>4728</v>
      </c>
      <c r="AB803">
        <v>17251</v>
      </c>
      <c r="AC803" s="1" t="s">
        <v>18</v>
      </c>
      <c r="AD803">
        <v>14</v>
      </c>
      <c r="AE803">
        <v>3</v>
      </c>
      <c r="AF803">
        <v>4</v>
      </c>
      <c r="AG803">
        <v>80</v>
      </c>
      <c r="AH803">
        <v>0</v>
      </c>
      <c r="AI803">
        <v>3</v>
      </c>
      <c r="AJ803">
        <v>1</v>
      </c>
      <c r="AK803" s="1" t="s">
        <v>140</v>
      </c>
    </row>
    <row r="804" spans="1:37" x14ac:dyDescent="0.25">
      <c r="A804">
        <v>1114</v>
      </c>
      <c r="B804">
        <v>33</v>
      </c>
      <c r="C804" s="1" t="s">
        <v>24</v>
      </c>
      <c r="D804" s="1" t="s">
        <v>70</v>
      </c>
      <c r="E804">
        <v>3</v>
      </c>
      <c r="F804" s="1" t="s">
        <v>134</v>
      </c>
      <c r="G804">
        <v>0</v>
      </c>
      <c r="H804" s="1" t="s">
        <v>18</v>
      </c>
      <c r="I804">
        <v>4</v>
      </c>
      <c r="J804">
        <v>3</v>
      </c>
      <c r="K804">
        <v>3</v>
      </c>
      <c r="L804">
        <v>2</v>
      </c>
      <c r="M804">
        <v>0</v>
      </c>
      <c r="N804">
        <v>2</v>
      </c>
      <c r="O804" s="1" t="s">
        <v>19</v>
      </c>
      <c r="P804" s="1" t="s">
        <v>137</v>
      </c>
      <c r="Q804">
        <v>970</v>
      </c>
      <c r="R804" s="1" t="s">
        <v>64</v>
      </c>
      <c r="S804">
        <v>7</v>
      </c>
      <c r="T804">
        <v>1</v>
      </c>
      <c r="U804">
        <v>4</v>
      </c>
      <c r="V804">
        <v>30</v>
      </c>
      <c r="W804">
        <v>3</v>
      </c>
      <c r="X804">
        <v>2</v>
      </c>
      <c r="Y804" s="1" t="s">
        <v>4</v>
      </c>
      <c r="Z804">
        <v>2</v>
      </c>
      <c r="AA804">
        <v>4302</v>
      </c>
      <c r="AB804">
        <v>13401</v>
      </c>
      <c r="AC804" s="1" t="s">
        <v>19</v>
      </c>
      <c r="AD804">
        <v>17</v>
      </c>
      <c r="AE804">
        <v>3</v>
      </c>
      <c r="AF804">
        <v>3</v>
      </c>
      <c r="AG804">
        <v>80</v>
      </c>
      <c r="AH804">
        <v>1</v>
      </c>
      <c r="AI804">
        <v>3</v>
      </c>
      <c r="AJ804">
        <v>0</v>
      </c>
      <c r="AK804" s="1" t="s">
        <v>136</v>
      </c>
    </row>
    <row r="805" spans="1:37" x14ac:dyDescent="0.25">
      <c r="A805">
        <v>1115</v>
      </c>
      <c r="B805">
        <v>34</v>
      </c>
      <c r="C805" s="1" t="s">
        <v>25</v>
      </c>
      <c r="D805" s="1" t="s">
        <v>70</v>
      </c>
      <c r="E805">
        <v>4</v>
      </c>
      <c r="F805" s="1" t="s">
        <v>134</v>
      </c>
      <c r="G805">
        <v>3</v>
      </c>
      <c r="H805" s="1" t="s">
        <v>18</v>
      </c>
      <c r="I805">
        <v>6</v>
      </c>
      <c r="J805">
        <v>2</v>
      </c>
      <c r="K805">
        <v>0</v>
      </c>
      <c r="L805">
        <v>0</v>
      </c>
      <c r="M805">
        <v>0</v>
      </c>
      <c r="N805">
        <v>0</v>
      </c>
      <c r="O805" s="1" t="s">
        <v>19</v>
      </c>
      <c r="P805" s="1" t="s">
        <v>141</v>
      </c>
      <c r="Q805">
        <v>697</v>
      </c>
      <c r="R805" s="1" t="s">
        <v>63</v>
      </c>
      <c r="S805">
        <v>3</v>
      </c>
      <c r="T805">
        <v>1</v>
      </c>
      <c r="U805">
        <v>3</v>
      </c>
      <c r="V805">
        <v>40</v>
      </c>
      <c r="W805">
        <v>2</v>
      </c>
      <c r="X805">
        <v>1</v>
      </c>
      <c r="Y805" s="1" t="s">
        <v>5</v>
      </c>
      <c r="Z805">
        <v>4</v>
      </c>
      <c r="AA805">
        <v>2979</v>
      </c>
      <c r="AB805">
        <v>22478</v>
      </c>
      <c r="AC805" s="1" t="s">
        <v>19</v>
      </c>
      <c r="AD805">
        <v>17</v>
      </c>
      <c r="AE805">
        <v>3</v>
      </c>
      <c r="AF805">
        <v>4</v>
      </c>
      <c r="AG805">
        <v>80</v>
      </c>
      <c r="AH805">
        <v>3</v>
      </c>
      <c r="AI805">
        <v>3</v>
      </c>
      <c r="AJ805">
        <v>0</v>
      </c>
      <c r="AK805" s="1" t="s">
        <v>136</v>
      </c>
    </row>
    <row r="806" spans="1:37" x14ac:dyDescent="0.25">
      <c r="A806">
        <v>1116</v>
      </c>
      <c r="B806">
        <v>48</v>
      </c>
      <c r="C806" s="1" t="s">
        <v>25</v>
      </c>
      <c r="D806" s="1" t="s">
        <v>71</v>
      </c>
      <c r="E806">
        <v>4</v>
      </c>
      <c r="F806" s="1" t="s">
        <v>139</v>
      </c>
      <c r="G806">
        <v>2</v>
      </c>
      <c r="H806" s="1" t="s">
        <v>18</v>
      </c>
      <c r="I806">
        <v>27</v>
      </c>
      <c r="J806">
        <v>3</v>
      </c>
      <c r="K806">
        <v>5</v>
      </c>
      <c r="L806">
        <v>4</v>
      </c>
      <c r="M806">
        <v>2</v>
      </c>
      <c r="N806">
        <v>1</v>
      </c>
      <c r="O806" s="1" t="s">
        <v>19</v>
      </c>
      <c r="P806" s="1" t="s">
        <v>141</v>
      </c>
      <c r="Q806">
        <v>1262</v>
      </c>
      <c r="R806" s="1" t="s">
        <v>63</v>
      </c>
      <c r="S806">
        <v>1</v>
      </c>
      <c r="T806">
        <v>1</v>
      </c>
      <c r="U806">
        <v>1</v>
      </c>
      <c r="V806">
        <v>35</v>
      </c>
      <c r="W806">
        <v>4</v>
      </c>
      <c r="X806">
        <v>4</v>
      </c>
      <c r="Y806" s="1" t="s">
        <v>9</v>
      </c>
      <c r="Z806">
        <v>4</v>
      </c>
      <c r="AA806">
        <v>16885</v>
      </c>
      <c r="AB806">
        <v>16154</v>
      </c>
      <c r="AC806" s="1" t="s">
        <v>19</v>
      </c>
      <c r="AD806">
        <v>22</v>
      </c>
      <c r="AE806">
        <v>4</v>
      </c>
      <c r="AF806">
        <v>3</v>
      </c>
      <c r="AG806">
        <v>80</v>
      </c>
      <c r="AH806">
        <v>0</v>
      </c>
      <c r="AI806">
        <v>2</v>
      </c>
      <c r="AJ806">
        <v>0</v>
      </c>
      <c r="AK806" s="1" t="s">
        <v>136</v>
      </c>
    </row>
    <row r="807" spans="1:37" x14ac:dyDescent="0.25">
      <c r="A807">
        <v>1117</v>
      </c>
      <c r="B807">
        <v>45</v>
      </c>
      <c r="C807" s="1" t="s">
        <v>24</v>
      </c>
      <c r="D807" s="1" t="s">
        <v>70</v>
      </c>
      <c r="E807">
        <v>4</v>
      </c>
      <c r="F807" s="1" t="s">
        <v>134</v>
      </c>
      <c r="G807">
        <v>1</v>
      </c>
      <c r="H807" s="1" t="s">
        <v>18</v>
      </c>
      <c r="I807">
        <v>15</v>
      </c>
      <c r="J807">
        <v>2</v>
      </c>
      <c r="K807">
        <v>15</v>
      </c>
      <c r="L807">
        <v>10</v>
      </c>
      <c r="M807">
        <v>4</v>
      </c>
      <c r="N807">
        <v>12</v>
      </c>
      <c r="O807" s="1" t="s">
        <v>19</v>
      </c>
      <c r="P807" s="1" t="s">
        <v>141</v>
      </c>
      <c r="Q807">
        <v>1050</v>
      </c>
      <c r="R807" s="1" t="s">
        <v>64</v>
      </c>
      <c r="S807">
        <v>9</v>
      </c>
      <c r="T807">
        <v>1</v>
      </c>
      <c r="U807">
        <v>2</v>
      </c>
      <c r="V807">
        <v>65</v>
      </c>
      <c r="W807">
        <v>2</v>
      </c>
      <c r="X807">
        <v>2</v>
      </c>
      <c r="Y807" s="1" t="s">
        <v>4</v>
      </c>
      <c r="Z807">
        <v>3</v>
      </c>
      <c r="AA807">
        <v>5593</v>
      </c>
      <c r="AB807">
        <v>17970</v>
      </c>
      <c r="AC807" s="1" t="s">
        <v>19</v>
      </c>
      <c r="AD807">
        <v>13</v>
      </c>
      <c r="AE807">
        <v>3</v>
      </c>
      <c r="AF807">
        <v>4</v>
      </c>
      <c r="AG807">
        <v>80</v>
      </c>
      <c r="AH807">
        <v>1</v>
      </c>
      <c r="AI807">
        <v>3</v>
      </c>
      <c r="AJ807">
        <v>0</v>
      </c>
      <c r="AK807" s="1" t="s">
        <v>136</v>
      </c>
    </row>
    <row r="808" spans="1:37" x14ac:dyDescent="0.25">
      <c r="A808">
        <v>1118</v>
      </c>
      <c r="B808">
        <v>52</v>
      </c>
      <c r="C808" s="1" t="s">
        <v>25</v>
      </c>
      <c r="D808" s="1" t="s">
        <v>71</v>
      </c>
      <c r="E808">
        <v>4</v>
      </c>
      <c r="F808" s="1" t="s">
        <v>134</v>
      </c>
      <c r="G808">
        <v>7</v>
      </c>
      <c r="H808" s="1" t="s">
        <v>18</v>
      </c>
      <c r="I808">
        <v>18</v>
      </c>
      <c r="J808">
        <v>4</v>
      </c>
      <c r="K808">
        <v>8</v>
      </c>
      <c r="L808">
        <v>6</v>
      </c>
      <c r="M808">
        <v>4</v>
      </c>
      <c r="N808">
        <v>0</v>
      </c>
      <c r="O808" s="1" t="s">
        <v>19</v>
      </c>
      <c r="P808" s="1" t="s">
        <v>135</v>
      </c>
      <c r="Q808">
        <v>994</v>
      </c>
      <c r="R808" s="1" t="s">
        <v>63</v>
      </c>
      <c r="S808">
        <v>7</v>
      </c>
      <c r="T808">
        <v>1</v>
      </c>
      <c r="U808">
        <v>2</v>
      </c>
      <c r="V808">
        <v>87</v>
      </c>
      <c r="W808">
        <v>3</v>
      </c>
      <c r="X808">
        <v>3</v>
      </c>
      <c r="Y808" s="1" t="s">
        <v>8</v>
      </c>
      <c r="Z808">
        <v>2</v>
      </c>
      <c r="AA808">
        <v>10445</v>
      </c>
      <c r="AB808">
        <v>15322</v>
      </c>
      <c r="AC808" s="1" t="s">
        <v>19</v>
      </c>
      <c r="AD808">
        <v>19</v>
      </c>
      <c r="AE808">
        <v>3</v>
      </c>
      <c r="AF808">
        <v>4</v>
      </c>
      <c r="AG808">
        <v>80</v>
      </c>
      <c r="AH808">
        <v>0</v>
      </c>
      <c r="AI808">
        <v>3</v>
      </c>
      <c r="AJ808">
        <v>0</v>
      </c>
      <c r="AK808" s="1" t="s">
        <v>140</v>
      </c>
    </row>
    <row r="809" spans="1:37" x14ac:dyDescent="0.25">
      <c r="A809">
        <v>1119</v>
      </c>
      <c r="B809">
        <v>38</v>
      </c>
      <c r="C809" s="1" t="s">
        <v>25</v>
      </c>
      <c r="D809" s="1" t="s">
        <v>69</v>
      </c>
      <c r="E809">
        <v>4</v>
      </c>
      <c r="F809" s="1" t="s">
        <v>142</v>
      </c>
      <c r="G809">
        <v>0</v>
      </c>
      <c r="H809" s="1" t="s">
        <v>18</v>
      </c>
      <c r="I809">
        <v>9</v>
      </c>
      <c r="J809">
        <v>2</v>
      </c>
      <c r="K809">
        <v>8</v>
      </c>
      <c r="L809">
        <v>7</v>
      </c>
      <c r="M809">
        <v>2</v>
      </c>
      <c r="N809">
        <v>7</v>
      </c>
      <c r="O809" s="1" t="s">
        <v>19</v>
      </c>
      <c r="P809" s="1" t="s">
        <v>135</v>
      </c>
      <c r="Q809">
        <v>770</v>
      </c>
      <c r="R809" s="1" t="s">
        <v>64</v>
      </c>
      <c r="S809">
        <v>10</v>
      </c>
      <c r="T809">
        <v>1</v>
      </c>
      <c r="U809">
        <v>3</v>
      </c>
      <c r="V809">
        <v>73</v>
      </c>
      <c r="W809">
        <v>2</v>
      </c>
      <c r="X809">
        <v>3</v>
      </c>
      <c r="Y809" s="1" t="s">
        <v>4</v>
      </c>
      <c r="Z809">
        <v>3</v>
      </c>
      <c r="AA809">
        <v>8740</v>
      </c>
      <c r="AB809">
        <v>5569</v>
      </c>
      <c r="AC809" s="1" t="s">
        <v>18</v>
      </c>
      <c r="AD809">
        <v>14</v>
      </c>
      <c r="AE809">
        <v>3</v>
      </c>
      <c r="AF809">
        <v>2</v>
      </c>
      <c r="AG809">
        <v>80</v>
      </c>
      <c r="AH809">
        <v>2</v>
      </c>
      <c r="AI809">
        <v>3</v>
      </c>
      <c r="AJ809">
        <v>0</v>
      </c>
      <c r="AK809" s="1" t="s">
        <v>136</v>
      </c>
    </row>
    <row r="810" spans="1:37" x14ac:dyDescent="0.25">
      <c r="A810">
        <v>1120</v>
      </c>
      <c r="B810">
        <v>29</v>
      </c>
      <c r="C810" s="1" t="s">
        <v>24</v>
      </c>
      <c r="D810" s="1" t="s">
        <v>69</v>
      </c>
      <c r="E810">
        <v>4</v>
      </c>
      <c r="F810" s="1" t="s">
        <v>134</v>
      </c>
      <c r="G810">
        <v>4</v>
      </c>
      <c r="H810" s="1" t="s">
        <v>18</v>
      </c>
      <c r="I810">
        <v>11</v>
      </c>
      <c r="J810">
        <v>1</v>
      </c>
      <c r="K810">
        <v>7</v>
      </c>
      <c r="L810">
        <v>5</v>
      </c>
      <c r="M810">
        <v>1</v>
      </c>
      <c r="N810">
        <v>7</v>
      </c>
      <c r="O810" s="1" t="s">
        <v>19</v>
      </c>
      <c r="P810" s="1" t="s">
        <v>135</v>
      </c>
      <c r="Q810">
        <v>1107</v>
      </c>
      <c r="R810" s="1" t="s">
        <v>63</v>
      </c>
      <c r="S810">
        <v>28</v>
      </c>
      <c r="T810">
        <v>1</v>
      </c>
      <c r="U810">
        <v>3</v>
      </c>
      <c r="V810">
        <v>93</v>
      </c>
      <c r="W810">
        <v>3</v>
      </c>
      <c r="X810">
        <v>1</v>
      </c>
      <c r="Y810" s="1" t="s">
        <v>5</v>
      </c>
      <c r="Z810">
        <v>4</v>
      </c>
      <c r="AA810">
        <v>2514</v>
      </c>
      <c r="AB810">
        <v>26968</v>
      </c>
      <c r="AC810" s="1" t="s">
        <v>19</v>
      </c>
      <c r="AD810">
        <v>22</v>
      </c>
      <c r="AE810">
        <v>4</v>
      </c>
      <c r="AF810">
        <v>1</v>
      </c>
      <c r="AG810">
        <v>80</v>
      </c>
      <c r="AH810">
        <v>1</v>
      </c>
      <c r="AI810">
        <v>3</v>
      </c>
      <c r="AJ810">
        <v>0</v>
      </c>
      <c r="AK810" s="1" t="s">
        <v>136</v>
      </c>
    </row>
    <row r="811" spans="1:37" x14ac:dyDescent="0.25">
      <c r="A811">
        <v>1121</v>
      </c>
      <c r="B811">
        <v>28</v>
      </c>
      <c r="C811" s="1" t="s">
        <v>24</v>
      </c>
      <c r="D811" s="1" t="s">
        <v>69</v>
      </c>
      <c r="E811">
        <v>3</v>
      </c>
      <c r="F811" s="1" t="s">
        <v>139</v>
      </c>
      <c r="G811">
        <v>0</v>
      </c>
      <c r="H811" s="1" t="s">
        <v>18</v>
      </c>
      <c r="I811">
        <v>10</v>
      </c>
      <c r="J811">
        <v>3</v>
      </c>
      <c r="K811">
        <v>9</v>
      </c>
      <c r="L811">
        <v>7</v>
      </c>
      <c r="M811">
        <v>1</v>
      </c>
      <c r="N811">
        <v>7</v>
      </c>
      <c r="O811" s="1" t="s">
        <v>19</v>
      </c>
      <c r="P811" s="1" t="s">
        <v>135</v>
      </c>
      <c r="Q811">
        <v>950</v>
      </c>
      <c r="R811" s="1" t="s">
        <v>63</v>
      </c>
      <c r="S811">
        <v>3</v>
      </c>
      <c r="T811">
        <v>1</v>
      </c>
      <c r="U811">
        <v>4</v>
      </c>
      <c r="V811">
        <v>93</v>
      </c>
      <c r="W811">
        <v>3</v>
      </c>
      <c r="X811">
        <v>3</v>
      </c>
      <c r="Y811" s="1" t="s">
        <v>7</v>
      </c>
      <c r="Z811">
        <v>2</v>
      </c>
      <c r="AA811">
        <v>7655</v>
      </c>
      <c r="AB811">
        <v>8039</v>
      </c>
      <c r="AC811" s="1" t="s">
        <v>19</v>
      </c>
      <c r="AD811">
        <v>17</v>
      </c>
      <c r="AE811">
        <v>3</v>
      </c>
      <c r="AF811">
        <v>2</v>
      </c>
      <c r="AG811">
        <v>80</v>
      </c>
      <c r="AH811">
        <v>3</v>
      </c>
      <c r="AI811">
        <v>2</v>
      </c>
      <c r="AJ811">
        <v>0</v>
      </c>
      <c r="AK811" s="1" t="s">
        <v>136</v>
      </c>
    </row>
    <row r="812" spans="1:37" x14ac:dyDescent="0.25">
      <c r="A812">
        <v>1124</v>
      </c>
      <c r="B812">
        <v>46</v>
      </c>
      <c r="C812" s="1" t="s">
        <v>25</v>
      </c>
      <c r="D812" s="1" t="s">
        <v>70</v>
      </c>
      <c r="E812">
        <v>1</v>
      </c>
      <c r="F812" s="1" t="s">
        <v>142</v>
      </c>
      <c r="G812">
        <v>3</v>
      </c>
      <c r="H812" s="1" t="s">
        <v>18</v>
      </c>
      <c r="I812">
        <v>23</v>
      </c>
      <c r="J812">
        <v>3</v>
      </c>
      <c r="K812">
        <v>12</v>
      </c>
      <c r="L812">
        <v>9</v>
      </c>
      <c r="M812">
        <v>4</v>
      </c>
      <c r="N812">
        <v>9</v>
      </c>
      <c r="O812" s="1" t="s">
        <v>19</v>
      </c>
      <c r="P812" s="1" t="s">
        <v>135</v>
      </c>
      <c r="Q812">
        <v>406</v>
      </c>
      <c r="R812" s="1" t="s">
        <v>64</v>
      </c>
      <c r="S812">
        <v>3</v>
      </c>
      <c r="T812">
        <v>1</v>
      </c>
      <c r="U812">
        <v>1</v>
      </c>
      <c r="V812">
        <v>52</v>
      </c>
      <c r="W812">
        <v>3</v>
      </c>
      <c r="X812">
        <v>4</v>
      </c>
      <c r="Y812" s="1" t="s">
        <v>9</v>
      </c>
      <c r="Z812">
        <v>3</v>
      </c>
      <c r="AA812">
        <v>17465</v>
      </c>
      <c r="AB812">
        <v>15596</v>
      </c>
      <c r="AC812" s="1" t="s">
        <v>19</v>
      </c>
      <c r="AD812">
        <v>12</v>
      </c>
      <c r="AE812">
        <v>3</v>
      </c>
      <c r="AF812">
        <v>4</v>
      </c>
      <c r="AG812">
        <v>80</v>
      </c>
      <c r="AH812">
        <v>1</v>
      </c>
      <c r="AI812">
        <v>3</v>
      </c>
      <c r="AJ812">
        <v>0</v>
      </c>
      <c r="AK812" s="1" t="s">
        <v>136</v>
      </c>
    </row>
    <row r="813" spans="1:37" x14ac:dyDescent="0.25">
      <c r="A813">
        <v>1125</v>
      </c>
      <c r="B813">
        <v>38</v>
      </c>
      <c r="C813" s="1" t="s">
        <v>25</v>
      </c>
      <c r="D813" s="1" t="s">
        <v>71</v>
      </c>
      <c r="E813">
        <v>2</v>
      </c>
      <c r="F813" s="1" t="s">
        <v>142</v>
      </c>
      <c r="G813">
        <v>7</v>
      </c>
      <c r="H813" s="1" t="s">
        <v>18</v>
      </c>
      <c r="I813">
        <v>10</v>
      </c>
      <c r="J813">
        <v>2</v>
      </c>
      <c r="K813">
        <v>1</v>
      </c>
      <c r="L813">
        <v>0</v>
      </c>
      <c r="M813">
        <v>0</v>
      </c>
      <c r="N813">
        <v>0</v>
      </c>
      <c r="O813" s="1" t="s">
        <v>19</v>
      </c>
      <c r="P813" s="1" t="s">
        <v>135</v>
      </c>
      <c r="Q813">
        <v>130</v>
      </c>
      <c r="R813" s="1" t="s">
        <v>64</v>
      </c>
      <c r="S813">
        <v>2</v>
      </c>
      <c r="T813">
        <v>1</v>
      </c>
      <c r="U813">
        <v>4</v>
      </c>
      <c r="V813">
        <v>32</v>
      </c>
      <c r="W813">
        <v>3</v>
      </c>
      <c r="X813">
        <v>3</v>
      </c>
      <c r="Y813" s="1" t="s">
        <v>4</v>
      </c>
      <c r="Z813">
        <v>2</v>
      </c>
      <c r="AA813">
        <v>7351</v>
      </c>
      <c r="AB813">
        <v>20619</v>
      </c>
      <c r="AC813" s="1" t="s">
        <v>19</v>
      </c>
      <c r="AD813">
        <v>16</v>
      </c>
      <c r="AE813">
        <v>3</v>
      </c>
      <c r="AF813">
        <v>3</v>
      </c>
      <c r="AG813">
        <v>80</v>
      </c>
      <c r="AH813">
        <v>0</v>
      </c>
      <c r="AI813">
        <v>3</v>
      </c>
      <c r="AJ813">
        <v>0</v>
      </c>
      <c r="AK813" s="1" t="s">
        <v>136</v>
      </c>
    </row>
    <row r="814" spans="1:37" x14ac:dyDescent="0.25">
      <c r="A814">
        <v>1126</v>
      </c>
      <c r="B814">
        <v>43</v>
      </c>
      <c r="C814" s="1" t="s">
        <v>24</v>
      </c>
      <c r="D814" s="1" t="s">
        <v>70</v>
      </c>
      <c r="E814">
        <v>3</v>
      </c>
      <c r="F814" s="1" t="s">
        <v>134</v>
      </c>
      <c r="G814">
        <v>8</v>
      </c>
      <c r="H814" s="1" t="s">
        <v>18</v>
      </c>
      <c r="I814">
        <v>18</v>
      </c>
      <c r="J814">
        <v>1</v>
      </c>
      <c r="K814">
        <v>8</v>
      </c>
      <c r="L814">
        <v>7</v>
      </c>
      <c r="M814">
        <v>0</v>
      </c>
      <c r="N814">
        <v>1</v>
      </c>
      <c r="O814" s="1" t="s">
        <v>19</v>
      </c>
      <c r="P814" s="1" t="s">
        <v>137</v>
      </c>
      <c r="Q814">
        <v>1082</v>
      </c>
      <c r="R814" s="1" t="s">
        <v>63</v>
      </c>
      <c r="S814">
        <v>27</v>
      </c>
      <c r="T814">
        <v>1</v>
      </c>
      <c r="U814">
        <v>3</v>
      </c>
      <c r="V814">
        <v>83</v>
      </c>
      <c r="W814">
        <v>3</v>
      </c>
      <c r="X814">
        <v>3</v>
      </c>
      <c r="Y814" s="1" t="s">
        <v>7</v>
      </c>
      <c r="Z814">
        <v>1</v>
      </c>
      <c r="AA814">
        <v>10820</v>
      </c>
      <c r="AB814">
        <v>11535</v>
      </c>
      <c r="AC814" s="1" t="s">
        <v>19</v>
      </c>
      <c r="AD814">
        <v>11</v>
      </c>
      <c r="AE814">
        <v>3</v>
      </c>
      <c r="AF814">
        <v>3</v>
      </c>
      <c r="AG814">
        <v>80</v>
      </c>
      <c r="AH814">
        <v>1</v>
      </c>
      <c r="AI814">
        <v>3</v>
      </c>
      <c r="AJ814">
        <v>0</v>
      </c>
      <c r="AK814" s="1" t="s">
        <v>136</v>
      </c>
    </row>
    <row r="815" spans="1:37" x14ac:dyDescent="0.25">
      <c r="A815">
        <v>1127</v>
      </c>
      <c r="B815">
        <v>39</v>
      </c>
      <c r="C815" s="1" t="s">
        <v>25</v>
      </c>
      <c r="D815" s="1" t="s">
        <v>69</v>
      </c>
      <c r="E815">
        <v>3</v>
      </c>
      <c r="F815" s="1" t="s">
        <v>134</v>
      </c>
      <c r="G815">
        <v>7</v>
      </c>
      <c r="H815" s="1" t="s">
        <v>18</v>
      </c>
      <c r="I815">
        <v>21</v>
      </c>
      <c r="J815">
        <v>4</v>
      </c>
      <c r="K815">
        <v>18</v>
      </c>
      <c r="L815">
        <v>7</v>
      </c>
      <c r="M815">
        <v>11</v>
      </c>
      <c r="N815">
        <v>5</v>
      </c>
      <c r="O815" s="1" t="s">
        <v>18</v>
      </c>
      <c r="P815" s="1" t="s">
        <v>137</v>
      </c>
      <c r="Q815">
        <v>203</v>
      </c>
      <c r="R815" s="1" t="s">
        <v>63</v>
      </c>
      <c r="S815">
        <v>2</v>
      </c>
      <c r="T815">
        <v>1</v>
      </c>
      <c r="U815">
        <v>1</v>
      </c>
      <c r="V815">
        <v>84</v>
      </c>
      <c r="W815">
        <v>3</v>
      </c>
      <c r="X815">
        <v>4</v>
      </c>
      <c r="Y815" s="1" t="s">
        <v>8</v>
      </c>
      <c r="Z815">
        <v>4</v>
      </c>
      <c r="AA815">
        <v>12169</v>
      </c>
      <c r="AB815">
        <v>13547</v>
      </c>
      <c r="AC815" s="1" t="s">
        <v>19</v>
      </c>
      <c r="AD815">
        <v>11</v>
      </c>
      <c r="AE815">
        <v>3</v>
      </c>
      <c r="AF815">
        <v>4</v>
      </c>
      <c r="AG815">
        <v>80</v>
      </c>
      <c r="AH815">
        <v>3</v>
      </c>
      <c r="AI815">
        <v>3</v>
      </c>
      <c r="AJ815">
        <v>1</v>
      </c>
      <c r="AK815" s="1" t="s">
        <v>136</v>
      </c>
    </row>
    <row r="816" spans="1:37" x14ac:dyDescent="0.25">
      <c r="A816">
        <v>1128</v>
      </c>
      <c r="B816">
        <v>40</v>
      </c>
      <c r="C816" s="1" t="s">
        <v>25</v>
      </c>
      <c r="D816" s="1" t="s">
        <v>71</v>
      </c>
      <c r="E816">
        <v>3</v>
      </c>
      <c r="F816" s="1" t="s">
        <v>139</v>
      </c>
      <c r="G816">
        <v>1</v>
      </c>
      <c r="H816" s="1" t="s">
        <v>18</v>
      </c>
      <c r="I816">
        <v>21</v>
      </c>
      <c r="J816">
        <v>2</v>
      </c>
      <c r="K816">
        <v>20</v>
      </c>
      <c r="L816">
        <v>7</v>
      </c>
      <c r="M816">
        <v>4</v>
      </c>
      <c r="N816">
        <v>9</v>
      </c>
      <c r="O816" s="1" t="s">
        <v>19</v>
      </c>
      <c r="P816" s="1" t="s">
        <v>135</v>
      </c>
      <c r="Q816">
        <v>1308</v>
      </c>
      <c r="R816" s="1" t="s">
        <v>63</v>
      </c>
      <c r="S816">
        <v>14</v>
      </c>
      <c r="T816">
        <v>1</v>
      </c>
      <c r="U816">
        <v>3</v>
      </c>
      <c r="V816">
        <v>44</v>
      </c>
      <c r="W816">
        <v>2</v>
      </c>
      <c r="X816">
        <v>5</v>
      </c>
      <c r="Y816" s="1" t="s">
        <v>11</v>
      </c>
      <c r="Z816">
        <v>3</v>
      </c>
      <c r="AA816">
        <v>19626</v>
      </c>
      <c r="AB816">
        <v>17544</v>
      </c>
      <c r="AC816" s="1" t="s">
        <v>19</v>
      </c>
      <c r="AD816">
        <v>14</v>
      </c>
      <c r="AE816">
        <v>3</v>
      </c>
      <c r="AF816">
        <v>1</v>
      </c>
      <c r="AG816">
        <v>80</v>
      </c>
      <c r="AH816">
        <v>0</v>
      </c>
      <c r="AI816">
        <v>4</v>
      </c>
      <c r="AJ816">
        <v>0</v>
      </c>
      <c r="AK816" s="1" t="s">
        <v>136</v>
      </c>
    </row>
    <row r="817" spans="1:37" x14ac:dyDescent="0.25">
      <c r="A817">
        <v>1131</v>
      </c>
      <c r="B817">
        <v>21</v>
      </c>
      <c r="C817" s="1" t="s">
        <v>24</v>
      </c>
      <c r="D817" s="1" t="s">
        <v>71</v>
      </c>
      <c r="E817">
        <v>1</v>
      </c>
      <c r="F817" s="1" t="s">
        <v>143</v>
      </c>
      <c r="G817">
        <v>1</v>
      </c>
      <c r="H817" s="1" t="s">
        <v>18</v>
      </c>
      <c r="I817">
        <v>2</v>
      </c>
      <c r="J817">
        <v>6</v>
      </c>
      <c r="K817">
        <v>2</v>
      </c>
      <c r="L817">
        <v>2</v>
      </c>
      <c r="M817">
        <v>2</v>
      </c>
      <c r="N817">
        <v>2</v>
      </c>
      <c r="O817" s="1" t="s">
        <v>19</v>
      </c>
      <c r="P817" s="1" t="s">
        <v>135</v>
      </c>
      <c r="Q817">
        <v>984</v>
      </c>
      <c r="R817" s="1" t="s">
        <v>63</v>
      </c>
      <c r="S817">
        <v>1</v>
      </c>
      <c r="T817">
        <v>1</v>
      </c>
      <c r="U817">
        <v>4</v>
      </c>
      <c r="V817">
        <v>70</v>
      </c>
      <c r="W817">
        <v>2</v>
      </c>
      <c r="X817">
        <v>1</v>
      </c>
      <c r="Y817" s="1" t="s">
        <v>5</v>
      </c>
      <c r="Z817">
        <v>2</v>
      </c>
      <c r="AA817">
        <v>2070</v>
      </c>
      <c r="AB817">
        <v>25326</v>
      </c>
      <c r="AC817" s="1" t="s">
        <v>18</v>
      </c>
      <c r="AD817">
        <v>11</v>
      </c>
      <c r="AE817">
        <v>3</v>
      </c>
      <c r="AF817">
        <v>3</v>
      </c>
      <c r="AG817">
        <v>80</v>
      </c>
      <c r="AH817">
        <v>0</v>
      </c>
      <c r="AI817">
        <v>4</v>
      </c>
      <c r="AJ817">
        <v>0</v>
      </c>
      <c r="AK817" s="1" t="s">
        <v>136</v>
      </c>
    </row>
    <row r="818" spans="1:37" x14ac:dyDescent="0.25">
      <c r="A818">
        <v>1132</v>
      </c>
      <c r="B818">
        <v>39</v>
      </c>
      <c r="C818" s="1" t="s">
        <v>25</v>
      </c>
      <c r="D818" s="1" t="s">
        <v>71</v>
      </c>
      <c r="E818">
        <v>3</v>
      </c>
      <c r="F818" s="1" t="s">
        <v>134</v>
      </c>
      <c r="G818">
        <v>9</v>
      </c>
      <c r="H818" s="1" t="s">
        <v>18</v>
      </c>
      <c r="I818">
        <v>9</v>
      </c>
      <c r="J818">
        <v>2</v>
      </c>
      <c r="K818">
        <v>5</v>
      </c>
      <c r="L818">
        <v>4</v>
      </c>
      <c r="M818">
        <v>0</v>
      </c>
      <c r="N818">
        <v>3</v>
      </c>
      <c r="O818" s="1" t="s">
        <v>19</v>
      </c>
      <c r="P818" s="1" t="s">
        <v>141</v>
      </c>
      <c r="Q818">
        <v>439</v>
      </c>
      <c r="R818" s="1" t="s">
        <v>63</v>
      </c>
      <c r="S818">
        <v>9</v>
      </c>
      <c r="T818">
        <v>1</v>
      </c>
      <c r="U818">
        <v>3</v>
      </c>
      <c r="V818">
        <v>70</v>
      </c>
      <c r="W818">
        <v>3</v>
      </c>
      <c r="X818">
        <v>2</v>
      </c>
      <c r="Y818" s="1" t="s">
        <v>6</v>
      </c>
      <c r="Z818">
        <v>2</v>
      </c>
      <c r="AA818">
        <v>6782</v>
      </c>
      <c r="AB818">
        <v>8770</v>
      </c>
      <c r="AC818" s="1" t="s">
        <v>19</v>
      </c>
      <c r="AD818">
        <v>15</v>
      </c>
      <c r="AE818">
        <v>3</v>
      </c>
      <c r="AF818">
        <v>3</v>
      </c>
      <c r="AG818">
        <v>80</v>
      </c>
      <c r="AH818">
        <v>0</v>
      </c>
      <c r="AI818">
        <v>2</v>
      </c>
      <c r="AJ818">
        <v>0</v>
      </c>
      <c r="AK818" s="1" t="s">
        <v>136</v>
      </c>
    </row>
    <row r="819" spans="1:37" x14ac:dyDescent="0.25">
      <c r="A819">
        <v>1133</v>
      </c>
      <c r="B819">
        <v>36</v>
      </c>
      <c r="C819" s="1" t="s">
        <v>25</v>
      </c>
      <c r="D819" s="1" t="s">
        <v>71</v>
      </c>
      <c r="E819">
        <v>4</v>
      </c>
      <c r="F819" s="1" t="s">
        <v>134</v>
      </c>
      <c r="G819">
        <v>2</v>
      </c>
      <c r="H819" s="1" t="s">
        <v>18</v>
      </c>
      <c r="I819">
        <v>18</v>
      </c>
      <c r="J819">
        <v>0</v>
      </c>
      <c r="K819">
        <v>11</v>
      </c>
      <c r="L819">
        <v>9</v>
      </c>
      <c r="M819">
        <v>0</v>
      </c>
      <c r="N819">
        <v>9</v>
      </c>
      <c r="O819" s="1" t="s">
        <v>19</v>
      </c>
      <c r="P819" s="1" t="s">
        <v>141</v>
      </c>
      <c r="Q819">
        <v>217</v>
      </c>
      <c r="R819" s="1" t="s">
        <v>63</v>
      </c>
      <c r="S819">
        <v>18</v>
      </c>
      <c r="T819">
        <v>1</v>
      </c>
      <c r="U819">
        <v>1</v>
      </c>
      <c r="V819">
        <v>78</v>
      </c>
      <c r="W819">
        <v>3</v>
      </c>
      <c r="X819">
        <v>2</v>
      </c>
      <c r="Y819" s="1" t="s">
        <v>7</v>
      </c>
      <c r="Z819">
        <v>4</v>
      </c>
      <c r="AA819">
        <v>7779</v>
      </c>
      <c r="AB819">
        <v>23238</v>
      </c>
      <c r="AC819" s="1" t="s">
        <v>19</v>
      </c>
      <c r="AD819">
        <v>20</v>
      </c>
      <c r="AE819">
        <v>4</v>
      </c>
      <c r="AF819">
        <v>1</v>
      </c>
      <c r="AG819">
        <v>80</v>
      </c>
      <c r="AH819">
        <v>0</v>
      </c>
      <c r="AI819">
        <v>3</v>
      </c>
      <c r="AJ819">
        <v>0</v>
      </c>
      <c r="AK819" s="1" t="s">
        <v>136</v>
      </c>
    </row>
    <row r="820" spans="1:37" x14ac:dyDescent="0.25">
      <c r="A820">
        <v>1135</v>
      </c>
      <c r="B820">
        <v>31</v>
      </c>
      <c r="C820" s="1" t="s">
        <v>25</v>
      </c>
      <c r="D820" s="1" t="s">
        <v>70</v>
      </c>
      <c r="E820">
        <v>3</v>
      </c>
      <c r="F820" s="1" t="s">
        <v>134</v>
      </c>
      <c r="G820">
        <v>0</v>
      </c>
      <c r="H820" s="1" t="s">
        <v>18</v>
      </c>
      <c r="I820">
        <v>3</v>
      </c>
      <c r="J820">
        <v>4</v>
      </c>
      <c r="K820">
        <v>2</v>
      </c>
      <c r="L820">
        <v>2</v>
      </c>
      <c r="M820">
        <v>2</v>
      </c>
      <c r="N820">
        <v>2</v>
      </c>
      <c r="O820" s="1" t="s">
        <v>19</v>
      </c>
      <c r="P820" s="1" t="s">
        <v>137</v>
      </c>
      <c r="Q820">
        <v>793</v>
      </c>
      <c r="R820" s="1" t="s">
        <v>64</v>
      </c>
      <c r="S820">
        <v>20</v>
      </c>
      <c r="T820">
        <v>1</v>
      </c>
      <c r="U820">
        <v>3</v>
      </c>
      <c r="V820">
        <v>67</v>
      </c>
      <c r="W820">
        <v>4</v>
      </c>
      <c r="X820">
        <v>1</v>
      </c>
      <c r="Y820" s="1" t="s">
        <v>10</v>
      </c>
      <c r="Z820">
        <v>4</v>
      </c>
      <c r="AA820">
        <v>2791</v>
      </c>
      <c r="AB820">
        <v>21981</v>
      </c>
      <c r="AC820" s="1" t="s">
        <v>19</v>
      </c>
      <c r="AD820">
        <v>12</v>
      </c>
      <c r="AE820">
        <v>3</v>
      </c>
      <c r="AF820">
        <v>1</v>
      </c>
      <c r="AG820">
        <v>80</v>
      </c>
      <c r="AH820">
        <v>1</v>
      </c>
      <c r="AI820">
        <v>3</v>
      </c>
      <c r="AJ820">
        <v>0</v>
      </c>
      <c r="AK820" s="1" t="s">
        <v>136</v>
      </c>
    </row>
    <row r="821" spans="1:37" x14ac:dyDescent="0.25">
      <c r="A821">
        <v>1136</v>
      </c>
      <c r="B821">
        <v>28</v>
      </c>
      <c r="C821" s="1" t="s">
        <v>25</v>
      </c>
      <c r="D821" s="1" t="s">
        <v>70</v>
      </c>
      <c r="E821">
        <v>1</v>
      </c>
      <c r="F821" s="1" t="s">
        <v>134</v>
      </c>
      <c r="G821">
        <v>0</v>
      </c>
      <c r="H821" s="1" t="s">
        <v>18</v>
      </c>
      <c r="I821">
        <v>6</v>
      </c>
      <c r="J821">
        <v>2</v>
      </c>
      <c r="K821">
        <v>5</v>
      </c>
      <c r="L821">
        <v>3</v>
      </c>
      <c r="M821">
        <v>0</v>
      </c>
      <c r="N821">
        <v>4</v>
      </c>
      <c r="O821" s="1" t="s">
        <v>19</v>
      </c>
      <c r="P821" s="1" t="s">
        <v>135</v>
      </c>
      <c r="Q821">
        <v>1451</v>
      </c>
      <c r="R821" s="1" t="s">
        <v>63</v>
      </c>
      <c r="S821">
        <v>2</v>
      </c>
      <c r="T821">
        <v>1</v>
      </c>
      <c r="U821">
        <v>1</v>
      </c>
      <c r="V821">
        <v>67</v>
      </c>
      <c r="W821">
        <v>2</v>
      </c>
      <c r="X821">
        <v>1</v>
      </c>
      <c r="Y821" s="1" t="s">
        <v>5</v>
      </c>
      <c r="Z821">
        <v>2</v>
      </c>
      <c r="AA821">
        <v>3201</v>
      </c>
      <c r="AB821">
        <v>19911</v>
      </c>
      <c r="AC821" s="1" t="s">
        <v>19</v>
      </c>
      <c r="AD821">
        <v>17</v>
      </c>
      <c r="AE821">
        <v>3</v>
      </c>
      <c r="AF821">
        <v>1</v>
      </c>
      <c r="AG821">
        <v>80</v>
      </c>
      <c r="AH821">
        <v>0</v>
      </c>
      <c r="AI821">
        <v>1</v>
      </c>
      <c r="AJ821">
        <v>0</v>
      </c>
      <c r="AK821" s="1" t="s">
        <v>136</v>
      </c>
    </row>
    <row r="822" spans="1:37" x14ac:dyDescent="0.25">
      <c r="A822">
        <v>1137</v>
      </c>
      <c r="B822">
        <v>35</v>
      </c>
      <c r="C822" s="1" t="s">
        <v>25</v>
      </c>
      <c r="D822" s="1" t="s">
        <v>69</v>
      </c>
      <c r="E822">
        <v>2</v>
      </c>
      <c r="F822" s="1" t="s">
        <v>142</v>
      </c>
      <c r="G822">
        <v>1</v>
      </c>
      <c r="H822" s="1" t="s">
        <v>18</v>
      </c>
      <c r="I822">
        <v>5</v>
      </c>
      <c r="J822">
        <v>3</v>
      </c>
      <c r="K822">
        <v>5</v>
      </c>
      <c r="L822">
        <v>2</v>
      </c>
      <c r="M822">
        <v>0</v>
      </c>
      <c r="N822">
        <v>2</v>
      </c>
      <c r="O822" s="1" t="s">
        <v>19</v>
      </c>
      <c r="P822" s="1" t="s">
        <v>137</v>
      </c>
      <c r="Q822">
        <v>1182</v>
      </c>
      <c r="R822" s="1" t="s">
        <v>64</v>
      </c>
      <c r="S822">
        <v>11</v>
      </c>
      <c r="T822">
        <v>1</v>
      </c>
      <c r="U822">
        <v>4</v>
      </c>
      <c r="V822">
        <v>54</v>
      </c>
      <c r="W822">
        <v>3</v>
      </c>
      <c r="X822">
        <v>2</v>
      </c>
      <c r="Y822" s="1" t="s">
        <v>4</v>
      </c>
      <c r="Z822">
        <v>4</v>
      </c>
      <c r="AA822">
        <v>4968</v>
      </c>
      <c r="AB822">
        <v>18500</v>
      </c>
      <c r="AC822" s="1" t="s">
        <v>19</v>
      </c>
      <c r="AD822">
        <v>11</v>
      </c>
      <c r="AE822">
        <v>3</v>
      </c>
      <c r="AF822">
        <v>4</v>
      </c>
      <c r="AG822">
        <v>80</v>
      </c>
      <c r="AH822">
        <v>1</v>
      </c>
      <c r="AI822">
        <v>3</v>
      </c>
      <c r="AJ822">
        <v>0</v>
      </c>
      <c r="AK822" s="1" t="s">
        <v>136</v>
      </c>
    </row>
    <row r="823" spans="1:37" x14ac:dyDescent="0.25">
      <c r="A823">
        <v>1138</v>
      </c>
      <c r="B823">
        <v>49</v>
      </c>
      <c r="C823" s="1" t="s">
        <v>25</v>
      </c>
      <c r="D823" s="1" t="s">
        <v>70</v>
      </c>
      <c r="E823">
        <v>4</v>
      </c>
      <c r="F823" s="1" t="s">
        <v>143</v>
      </c>
      <c r="G823">
        <v>6</v>
      </c>
      <c r="H823" s="1" t="s">
        <v>18</v>
      </c>
      <c r="I823">
        <v>22</v>
      </c>
      <c r="J823">
        <v>3</v>
      </c>
      <c r="K823">
        <v>9</v>
      </c>
      <c r="L823">
        <v>8</v>
      </c>
      <c r="M823">
        <v>2</v>
      </c>
      <c r="N823">
        <v>3</v>
      </c>
      <c r="O823" s="1" t="s">
        <v>19</v>
      </c>
      <c r="P823" s="1" t="s">
        <v>135</v>
      </c>
      <c r="Q823">
        <v>174</v>
      </c>
      <c r="R823" s="1" t="s">
        <v>64</v>
      </c>
      <c r="S823">
        <v>8</v>
      </c>
      <c r="T823">
        <v>1</v>
      </c>
      <c r="U823">
        <v>4</v>
      </c>
      <c r="V823">
        <v>56</v>
      </c>
      <c r="W823">
        <v>2</v>
      </c>
      <c r="X823">
        <v>4</v>
      </c>
      <c r="Y823" s="1" t="s">
        <v>4</v>
      </c>
      <c r="Z823">
        <v>2</v>
      </c>
      <c r="AA823">
        <v>13120</v>
      </c>
      <c r="AB823">
        <v>11879</v>
      </c>
      <c r="AC823" s="1" t="s">
        <v>19</v>
      </c>
      <c r="AD823">
        <v>17</v>
      </c>
      <c r="AE823">
        <v>3</v>
      </c>
      <c r="AF823">
        <v>2</v>
      </c>
      <c r="AG823">
        <v>80</v>
      </c>
      <c r="AH823">
        <v>1</v>
      </c>
      <c r="AI823">
        <v>3</v>
      </c>
      <c r="AJ823">
        <v>0</v>
      </c>
      <c r="AK823" s="1" t="s">
        <v>136</v>
      </c>
    </row>
    <row r="824" spans="1:37" x14ac:dyDescent="0.25">
      <c r="A824">
        <v>1140</v>
      </c>
      <c r="B824">
        <v>34</v>
      </c>
      <c r="C824" s="1" t="s">
        <v>25</v>
      </c>
      <c r="D824" s="1" t="s">
        <v>71</v>
      </c>
      <c r="E824">
        <v>2</v>
      </c>
      <c r="F824" s="1" t="s">
        <v>134</v>
      </c>
      <c r="G824">
        <v>2</v>
      </c>
      <c r="H824" s="1" t="s">
        <v>18</v>
      </c>
      <c r="I824">
        <v>5</v>
      </c>
      <c r="J824">
        <v>3</v>
      </c>
      <c r="K824">
        <v>3</v>
      </c>
      <c r="L824">
        <v>2</v>
      </c>
      <c r="M824">
        <v>0</v>
      </c>
      <c r="N824">
        <v>2</v>
      </c>
      <c r="O824" s="1" t="s">
        <v>19</v>
      </c>
      <c r="P824" s="1" t="s">
        <v>137</v>
      </c>
      <c r="Q824">
        <v>1003</v>
      </c>
      <c r="R824" s="1" t="s">
        <v>63</v>
      </c>
      <c r="S824">
        <v>2</v>
      </c>
      <c r="T824">
        <v>1</v>
      </c>
      <c r="U824">
        <v>4</v>
      </c>
      <c r="V824">
        <v>95</v>
      </c>
      <c r="W824">
        <v>3</v>
      </c>
      <c r="X824">
        <v>2</v>
      </c>
      <c r="Y824" s="1" t="s">
        <v>7</v>
      </c>
      <c r="Z824">
        <v>3</v>
      </c>
      <c r="AA824">
        <v>4033</v>
      </c>
      <c r="AB824">
        <v>15834</v>
      </c>
      <c r="AC824" s="1" t="s">
        <v>19</v>
      </c>
      <c r="AD824">
        <v>11</v>
      </c>
      <c r="AE824">
        <v>3</v>
      </c>
      <c r="AF824">
        <v>4</v>
      </c>
      <c r="AG824">
        <v>80</v>
      </c>
      <c r="AH824">
        <v>0</v>
      </c>
      <c r="AI824">
        <v>2</v>
      </c>
      <c r="AJ824">
        <v>0</v>
      </c>
      <c r="AK824" s="1" t="s">
        <v>136</v>
      </c>
    </row>
    <row r="825" spans="1:37" x14ac:dyDescent="0.25">
      <c r="A825">
        <v>1143</v>
      </c>
      <c r="B825">
        <v>29</v>
      </c>
      <c r="C825" s="1" t="s">
        <v>24</v>
      </c>
      <c r="D825" s="1" t="s">
        <v>69</v>
      </c>
      <c r="E825">
        <v>3</v>
      </c>
      <c r="F825" s="1" t="s">
        <v>134</v>
      </c>
      <c r="G825">
        <v>0</v>
      </c>
      <c r="H825" s="1" t="s">
        <v>18</v>
      </c>
      <c r="I825">
        <v>8</v>
      </c>
      <c r="J825">
        <v>2</v>
      </c>
      <c r="K825">
        <v>7</v>
      </c>
      <c r="L825">
        <v>5</v>
      </c>
      <c r="M825">
        <v>1</v>
      </c>
      <c r="N825">
        <v>1</v>
      </c>
      <c r="O825" s="1" t="s">
        <v>19</v>
      </c>
      <c r="P825" s="1" t="s">
        <v>137</v>
      </c>
      <c r="Q825">
        <v>490</v>
      </c>
      <c r="R825" s="1" t="s">
        <v>63</v>
      </c>
      <c r="S825">
        <v>10</v>
      </c>
      <c r="T825">
        <v>1</v>
      </c>
      <c r="U825">
        <v>4</v>
      </c>
      <c r="V825">
        <v>61</v>
      </c>
      <c r="W825">
        <v>3</v>
      </c>
      <c r="X825">
        <v>1</v>
      </c>
      <c r="Y825" s="1" t="s">
        <v>5</v>
      </c>
      <c r="Z825">
        <v>2</v>
      </c>
      <c r="AA825">
        <v>3291</v>
      </c>
      <c r="AB825">
        <v>17940</v>
      </c>
      <c r="AC825" s="1" t="s">
        <v>19</v>
      </c>
      <c r="AD825">
        <v>14</v>
      </c>
      <c r="AE825">
        <v>3</v>
      </c>
      <c r="AF825">
        <v>4</v>
      </c>
      <c r="AG825">
        <v>80</v>
      </c>
      <c r="AH825">
        <v>2</v>
      </c>
      <c r="AI825">
        <v>2</v>
      </c>
      <c r="AJ825">
        <v>0</v>
      </c>
      <c r="AK825" s="1" t="s">
        <v>136</v>
      </c>
    </row>
    <row r="826" spans="1:37" x14ac:dyDescent="0.25">
      <c r="A826">
        <v>1148</v>
      </c>
      <c r="B826">
        <v>42</v>
      </c>
      <c r="C826" s="1" t="s">
        <v>25</v>
      </c>
      <c r="D826" s="1" t="s">
        <v>71</v>
      </c>
      <c r="E826">
        <v>3</v>
      </c>
      <c r="F826" s="1" t="s">
        <v>139</v>
      </c>
      <c r="G826">
        <v>4</v>
      </c>
      <c r="H826" s="1" t="s">
        <v>18</v>
      </c>
      <c r="I826">
        <v>16</v>
      </c>
      <c r="J826">
        <v>3</v>
      </c>
      <c r="K826">
        <v>1</v>
      </c>
      <c r="L826">
        <v>0</v>
      </c>
      <c r="M826">
        <v>0</v>
      </c>
      <c r="N826">
        <v>0</v>
      </c>
      <c r="O826" s="1" t="s">
        <v>19</v>
      </c>
      <c r="P826" s="1" t="s">
        <v>135</v>
      </c>
      <c r="Q826">
        <v>188</v>
      </c>
      <c r="R826" s="1" t="s">
        <v>63</v>
      </c>
      <c r="S826">
        <v>29</v>
      </c>
      <c r="T826">
        <v>1</v>
      </c>
      <c r="U826">
        <v>2</v>
      </c>
      <c r="V826">
        <v>56</v>
      </c>
      <c r="W826">
        <v>1</v>
      </c>
      <c r="X826">
        <v>2</v>
      </c>
      <c r="Y826" s="1" t="s">
        <v>6</v>
      </c>
      <c r="Z826">
        <v>4</v>
      </c>
      <c r="AA826">
        <v>4272</v>
      </c>
      <c r="AB826">
        <v>9558</v>
      </c>
      <c r="AC826" s="1" t="s">
        <v>19</v>
      </c>
      <c r="AD826">
        <v>19</v>
      </c>
      <c r="AE826">
        <v>3</v>
      </c>
      <c r="AF826">
        <v>1</v>
      </c>
      <c r="AG826">
        <v>80</v>
      </c>
      <c r="AH826">
        <v>0</v>
      </c>
      <c r="AI826">
        <v>3</v>
      </c>
      <c r="AJ826">
        <v>0</v>
      </c>
      <c r="AK826" s="1" t="s">
        <v>136</v>
      </c>
    </row>
    <row r="827" spans="1:37" x14ac:dyDescent="0.25">
      <c r="A827">
        <v>1150</v>
      </c>
      <c r="B827">
        <v>29</v>
      </c>
      <c r="C827" s="1" t="s">
        <v>25</v>
      </c>
      <c r="D827" s="1" t="s">
        <v>70</v>
      </c>
      <c r="E827">
        <v>1</v>
      </c>
      <c r="F827" s="1" t="s">
        <v>139</v>
      </c>
      <c r="G827">
        <v>1</v>
      </c>
      <c r="H827" s="1" t="s">
        <v>18</v>
      </c>
      <c r="I827">
        <v>10</v>
      </c>
      <c r="J827">
        <v>2</v>
      </c>
      <c r="K827">
        <v>10</v>
      </c>
      <c r="L827">
        <v>7</v>
      </c>
      <c r="M827">
        <v>1</v>
      </c>
      <c r="N827">
        <v>2</v>
      </c>
      <c r="O827" s="1" t="s">
        <v>19</v>
      </c>
      <c r="P827" s="1" t="s">
        <v>135</v>
      </c>
      <c r="Q827">
        <v>718</v>
      </c>
      <c r="R827" s="1" t="s">
        <v>63</v>
      </c>
      <c r="S827">
        <v>8</v>
      </c>
      <c r="T827">
        <v>1</v>
      </c>
      <c r="U827">
        <v>2</v>
      </c>
      <c r="V827">
        <v>79</v>
      </c>
      <c r="W827">
        <v>2</v>
      </c>
      <c r="X827">
        <v>2</v>
      </c>
      <c r="Y827" s="1" t="s">
        <v>7</v>
      </c>
      <c r="Z827">
        <v>4</v>
      </c>
      <c r="AA827">
        <v>5056</v>
      </c>
      <c r="AB827">
        <v>17689</v>
      </c>
      <c r="AC827" s="1" t="s">
        <v>18</v>
      </c>
      <c r="AD827">
        <v>15</v>
      </c>
      <c r="AE827">
        <v>3</v>
      </c>
      <c r="AF827">
        <v>3</v>
      </c>
      <c r="AG827">
        <v>80</v>
      </c>
      <c r="AH827">
        <v>1</v>
      </c>
      <c r="AI827">
        <v>2</v>
      </c>
      <c r="AJ827">
        <v>0</v>
      </c>
      <c r="AK827" s="1" t="s">
        <v>136</v>
      </c>
    </row>
    <row r="828" spans="1:37" x14ac:dyDescent="0.25">
      <c r="A828">
        <v>1152</v>
      </c>
      <c r="B828">
        <v>38</v>
      </c>
      <c r="C828" s="1" t="s">
        <v>25</v>
      </c>
      <c r="D828" s="1" t="s">
        <v>70</v>
      </c>
      <c r="E828">
        <v>3</v>
      </c>
      <c r="F828" s="1" t="s">
        <v>12</v>
      </c>
      <c r="G828">
        <v>1</v>
      </c>
      <c r="H828" s="1" t="s">
        <v>18</v>
      </c>
      <c r="I828">
        <v>7</v>
      </c>
      <c r="J828">
        <v>2</v>
      </c>
      <c r="K828">
        <v>7</v>
      </c>
      <c r="L828">
        <v>6</v>
      </c>
      <c r="M828">
        <v>5</v>
      </c>
      <c r="N828">
        <v>0</v>
      </c>
      <c r="O828" s="1" t="s">
        <v>19</v>
      </c>
      <c r="P828" s="1" t="s">
        <v>135</v>
      </c>
      <c r="Q828">
        <v>433</v>
      </c>
      <c r="R828" s="1" t="s">
        <v>12</v>
      </c>
      <c r="S828">
        <v>1</v>
      </c>
      <c r="T828">
        <v>1</v>
      </c>
      <c r="U828">
        <v>3</v>
      </c>
      <c r="V828">
        <v>37</v>
      </c>
      <c r="W828">
        <v>4</v>
      </c>
      <c r="X828">
        <v>1</v>
      </c>
      <c r="Y828" s="1" t="s">
        <v>12</v>
      </c>
      <c r="Z828">
        <v>3</v>
      </c>
      <c r="AA828">
        <v>2844</v>
      </c>
      <c r="AB828">
        <v>6004</v>
      </c>
      <c r="AC828" s="1" t="s">
        <v>19</v>
      </c>
      <c r="AD828">
        <v>13</v>
      </c>
      <c r="AE828">
        <v>3</v>
      </c>
      <c r="AF828">
        <v>4</v>
      </c>
      <c r="AG828">
        <v>80</v>
      </c>
      <c r="AH828">
        <v>1</v>
      </c>
      <c r="AI828">
        <v>4</v>
      </c>
      <c r="AJ828">
        <v>0</v>
      </c>
      <c r="AK828" s="1" t="s">
        <v>136</v>
      </c>
    </row>
    <row r="829" spans="1:37" x14ac:dyDescent="0.25">
      <c r="A829">
        <v>1154</v>
      </c>
      <c r="B829">
        <v>28</v>
      </c>
      <c r="C829" s="1" t="s">
        <v>25</v>
      </c>
      <c r="D829" s="1" t="s">
        <v>69</v>
      </c>
      <c r="E829">
        <v>3</v>
      </c>
      <c r="F829" s="1" t="s">
        <v>134</v>
      </c>
      <c r="G829">
        <v>1</v>
      </c>
      <c r="H829" s="1" t="s">
        <v>18</v>
      </c>
      <c r="I829">
        <v>3</v>
      </c>
      <c r="J829">
        <v>2</v>
      </c>
      <c r="K829">
        <v>3</v>
      </c>
      <c r="L829">
        <v>1</v>
      </c>
      <c r="M829">
        <v>0</v>
      </c>
      <c r="N829">
        <v>2</v>
      </c>
      <c r="O829" s="1" t="s">
        <v>19</v>
      </c>
      <c r="P829" s="1" t="s">
        <v>137</v>
      </c>
      <c r="Q829">
        <v>773</v>
      </c>
      <c r="R829" s="1" t="s">
        <v>63</v>
      </c>
      <c r="S829">
        <v>6</v>
      </c>
      <c r="T829">
        <v>1</v>
      </c>
      <c r="U829">
        <v>3</v>
      </c>
      <c r="V829">
        <v>39</v>
      </c>
      <c r="W829">
        <v>2</v>
      </c>
      <c r="X829">
        <v>1</v>
      </c>
      <c r="Y829" s="1" t="s">
        <v>5</v>
      </c>
      <c r="Z829">
        <v>3</v>
      </c>
      <c r="AA829">
        <v>2703</v>
      </c>
      <c r="AB829">
        <v>22088</v>
      </c>
      <c r="AC829" s="1" t="s">
        <v>18</v>
      </c>
      <c r="AD829">
        <v>14</v>
      </c>
      <c r="AE829">
        <v>3</v>
      </c>
      <c r="AF829">
        <v>4</v>
      </c>
      <c r="AG829">
        <v>80</v>
      </c>
      <c r="AH829">
        <v>1</v>
      </c>
      <c r="AI829">
        <v>3</v>
      </c>
      <c r="AJ829">
        <v>0</v>
      </c>
      <c r="AK829" s="1" t="s">
        <v>136</v>
      </c>
    </row>
    <row r="830" spans="1:37" x14ac:dyDescent="0.25">
      <c r="A830">
        <v>1156</v>
      </c>
      <c r="B830">
        <v>18</v>
      </c>
      <c r="C830" s="1" t="s">
        <v>25</v>
      </c>
      <c r="D830" s="1" t="s">
        <v>71</v>
      </c>
      <c r="E830">
        <v>1</v>
      </c>
      <c r="F830" s="1" t="s">
        <v>139</v>
      </c>
      <c r="G830">
        <v>1</v>
      </c>
      <c r="H830" s="1" t="s">
        <v>18</v>
      </c>
      <c r="I830">
        <v>0</v>
      </c>
      <c r="J830">
        <v>0</v>
      </c>
      <c r="K830">
        <v>0</v>
      </c>
      <c r="L830">
        <v>0</v>
      </c>
      <c r="M830">
        <v>0</v>
      </c>
      <c r="N830">
        <v>0</v>
      </c>
      <c r="O830" s="1" t="s">
        <v>18</v>
      </c>
      <c r="P830" s="1" t="s">
        <v>141</v>
      </c>
      <c r="Q830">
        <v>247</v>
      </c>
      <c r="R830" s="1" t="s">
        <v>63</v>
      </c>
      <c r="S830">
        <v>8</v>
      </c>
      <c r="T830">
        <v>1</v>
      </c>
      <c r="U830">
        <v>3</v>
      </c>
      <c r="V830">
        <v>80</v>
      </c>
      <c r="W830">
        <v>3</v>
      </c>
      <c r="X830">
        <v>1</v>
      </c>
      <c r="Y830" s="1" t="s">
        <v>6</v>
      </c>
      <c r="Z830">
        <v>3</v>
      </c>
      <c r="AA830">
        <v>1904</v>
      </c>
      <c r="AB830">
        <v>13556</v>
      </c>
      <c r="AC830" s="1" t="s">
        <v>19</v>
      </c>
      <c r="AD830">
        <v>12</v>
      </c>
      <c r="AE830">
        <v>3</v>
      </c>
      <c r="AF830">
        <v>4</v>
      </c>
      <c r="AG830">
        <v>80</v>
      </c>
      <c r="AH830">
        <v>0</v>
      </c>
      <c r="AI830">
        <v>3</v>
      </c>
      <c r="AJ830">
        <v>1</v>
      </c>
      <c r="AK830" s="1" t="s">
        <v>136</v>
      </c>
    </row>
    <row r="831" spans="1:37" x14ac:dyDescent="0.25">
      <c r="A831">
        <v>1157</v>
      </c>
      <c r="B831">
        <v>33</v>
      </c>
      <c r="C831" s="1" t="s">
        <v>24</v>
      </c>
      <c r="D831" s="1" t="s">
        <v>71</v>
      </c>
      <c r="E831">
        <v>4</v>
      </c>
      <c r="F831" s="1" t="s">
        <v>142</v>
      </c>
      <c r="G831">
        <v>0</v>
      </c>
      <c r="H831" s="1" t="s">
        <v>18</v>
      </c>
      <c r="I831">
        <v>6</v>
      </c>
      <c r="J831">
        <v>3</v>
      </c>
      <c r="K831">
        <v>5</v>
      </c>
      <c r="L831">
        <v>2</v>
      </c>
      <c r="M831">
        <v>0</v>
      </c>
      <c r="N831">
        <v>3</v>
      </c>
      <c r="O831" s="1" t="s">
        <v>18</v>
      </c>
      <c r="P831" s="1" t="s">
        <v>135</v>
      </c>
      <c r="Q831">
        <v>603</v>
      </c>
      <c r="R831" s="1" t="s">
        <v>64</v>
      </c>
      <c r="S831">
        <v>9</v>
      </c>
      <c r="T831">
        <v>1</v>
      </c>
      <c r="U831">
        <v>1</v>
      </c>
      <c r="V831">
        <v>77</v>
      </c>
      <c r="W831">
        <v>3</v>
      </c>
      <c r="X831">
        <v>2</v>
      </c>
      <c r="Y831" s="1" t="s">
        <v>4</v>
      </c>
      <c r="Z831">
        <v>1</v>
      </c>
      <c r="AA831">
        <v>8224</v>
      </c>
      <c r="AB831">
        <v>18385</v>
      </c>
      <c r="AC831" s="1" t="s">
        <v>18</v>
      </c>
      <c r="AD831">
        <v>17</v>
      </c>
      <c r="AE831">
        <v>3</v>
      </c>
      <c r="AF831">
        <v>1</v>
      </c>
      <c r="AG831">
        <v>80</v>
      </c>
      <c r="AH831">
        <v>0</v>
      </c>
      <c r="AI831">
        <v>3</v>
      </c>
      <c r="AJ831">
        <v>1</v>
      </c>
      <c r="AK831" s="1" t="s">
        <v>136</v>
      </c>
    </row>
    <row r="832" spans="1:37" x14ac:dyDescent="0.25">
      <c r="A832">
        <v>1158</v>
      </c>
      <c r="B832">
        <v>41</v>
      </c>
      <c r="C832" s="1" t="s">
        <v>25</v>
      </c>
      <c r="D832" s="1" t="s">
        <v>70</v>
      </c>
      <c r="E832">
        <v>4</v>
      </c>
      <c r="F832" s="1" t="s">
        <v>134</v>
      </c>
      <c r="G832">
        <v>3</v>
      </c>
      <c r="H832" s="1" t="s">
        <v>18</v>
      </c>
      <c r="I832">
        <v>6</v>
      </c>
      <c r="J832">
        <v>4</v>
      </c>
      <c r="K832">
        <v>1</v>
      </c>
      <c r="L832">
        <v>0</v>
      </c>
      <c r="M832">
        <v>0</v>
      </c>
      <c r="N832">
        <v>0</v>
      </c>
      <c r="O832" s="1" t="s">
        <v>19</v>
      </c>
      <c r="P832" s="1" t="s">
        <v>135</v>
      </c>
      <c r="Q832">
        <v>167</v>
      </c>
      <c r="R832" s="1" t="s">
        <v>63</v>
      </c>
      <c r="S832">
        <v>12</v>
      </c>
      <c r="T832">
        <v>1</v>
      </c>
      <c r="U832">
        <v>2</v>
      </c>
      <c r="V832">
        <v>46</v>
      </c>
      <c r="W832">
        <v>3</v>
      </c>
      <c r="X832">
        <v>1</v>
      </c>
      <c r="Y832" s="1" t="s">
        <v>6</v>
      </c>
      <c r="Z832">
        <v>4</v>
      </c>
      <c r="AA832">
        <v>4766</v>
      </c>
      <c r="AB832">
        <v>9051</v>
      </c>
      <c r="AC832" s="1" t="s">
        <v>18</v>
      </c>
      <c r="AD832">
        <v>11</v>
      </c>
      <c r="AE832">
        <v>3</v>
      </c>
      <c r="AF832">
        <v>1</v>
      </c>
      <c r="AG832">
        <v>80</v>
      </c>
      <c r="AH832">
        <v>1</v>
      </c>
      <c r="AI832">
        <v>3</v>
      </c>
      <c r="AJ832">
        <v>0</v>
      </c>
      <c r="AK832" s="1" t="s">
        <v>136</v>
      </c>
    </row>
    <row r="833" spans="1:37" x14ac:dyDescent="0.25">
      <c r="A833">
        <v>1160</v>
      </c>
      <c r="B833">
        <v>31</v>
      </c>
      <c r="C833" s="1" t="s">
        <v>25</v>
      </c>
      <c r="D833" s="1" t="s">
        <v>70</v>
      </c>
      <c r="E833">
        <v>3</v>
      </c>
      <c r="F833" s="1" t="s">
        <v>139</v>
      </c>
      <c r="G833">
        <v>1</v>
      </c>
      <c r="H833" s="1" t="s">
        <v>18</v>
      </c>
      <c r="I833">
        <v>2</v>
      </c>
      <c r="J833">
        <v>5</v>
      </c>
      <c r="K833">
        <v>2</v>
      </c>
      <c r="L833">
        <v>2</v>
      </c>
      <c r="M833">
        <v>2</v>
      </c>
      <c r="N833">
        <v>2</v>
      </c>
      <c r="O833" s="1" t="s">
        <v>18</v>
      </c>
      <c r="P833" s="1" t="s">
        <v>137</v>
      </c>
      <c r="Q833">
        <v>874</v>
      </c>
      <c r="R833" s="1" t="s">
        <v>63</v>
      </c>
      <c r="S833">
        <v>15</v>
      </c>
      <c r="T833">
        <v>1</v>
      </c>
      <c r="U833">
        <v>3</v>
      </c>
      <c r="V833">
        <v>72</v>
      </c>
      <c r="W833">
        <v>3</v>
      </c>
      <c r="X833">
        <v>1</v>
      </c>
      <c r="Y833" s="1" t="s">
        <v>6</v>
      </c>
      <c r="Z833">
        <v>3</v>
      </c>
      <c r="AA833">
        <v>2610</v>
      </c>
      <c r="AB833">
        <v>6233</v>
      </c>
      <c r="AC833" s="1" t="s">
        <v>19</v>
      </c>
      <c r="AD833">
        <v>12</v>
      </c>
      <c r="AE833">
        <v>3</v>
      </c>
      <c r="AF833">
        <v>3</v>
      </c>
      <c r="AG833">
        <v>80</v>
      </c>
      <c r="AH833">
        <v>1</v>
      </c>
      <c r="AI833">
        <v>2</v>
      </c>
      <c r="AJ833">
        <v>1</v>
      </c>
      <c r="AK833" s="1" t="s">
        <v>136</v>
      </c>
    </row>
    <row r="834" spans="1:37" x14ac:dyDescent="0.25">
      <c r="A834">
        <v>1161</v>
      </c>
      <c r="B834">
        <v>37</v>
      </c>
      <c r="C834" s="1" t="s">
        <v>24</v>
      </c>
      <c r="D834" s="1" t="s">
        <v>69</v>
      </c>
      <c r="E834">
        <v>2</v>
      </c>
      <c r="F834" s="1" t="s">
        <v>139</v>
      </c>
      <c r="G834">
        <v>7</v>
      </c>
      <c r="H834" s="1" t="s">
        <v>18</v>
      </c>
      <c r="I834">
        <v>9</v>
      </c>
      <c r="J834">
        <v>2</v>
      </c>
      <c r="K834">
        <v>6</v>
      </c>
      <c r="L834">
        <v>2</v>
      </c>
      <c r="M834">
        <v>1</v>
      </c>
      <c r="N834">
        <v>3</v>
      </c>
      <c r="O834" s="1" t="s">
        <v>19</v>
      </c>
      <c r="P834" s="1" t="s">
        <v>135</v>
      </c>
      <c r="Q834">
        <v>367</v>
      </c>
      <c r="R834" s="1" t="s">
        <v>63</v>
      </c>
      <c r="S834">
        <v>25</v>
      </c>
      <c r="T834">
        <v>1</v>
      </c>
      <c r="U834">
        <v>3</v>
      </c>
      <c r="V834">
        <v>52</v>
      </c>
      <c r="W834">
        <v>2</v>
      </c>
      <c r="X834">
        <v>2</v>
      </c>
      <c r="Y834" s="1" t="s">
        <v>8</v>
      </c>
      <c r="Z834">
        <v>4</v>
      </c>
      <c r="AA834">
        <v>5731</v>
      </c>
      <c r="AB834">
        <v>17171</v>
      </c>
      <c r="AC834" s="1" t="s">
        <v>19</v>
      </c>
      <c r="AD834">
        <v>13</v>
      </c>
      <c r="AE834">
        <v>3</v>
      </c>
      <c r="AF834">
        <v>3</v>
      </c>
      <c r="AG834">
        <v>80</v>
      </c>
      <c r="AH834">
        <v>2</v>
      </c>
      <c r="AI834">
        <v>3</v>
      </c>
      <c r="AJ834">
        <v>0</v>
      </c>
      <c r="AK834" s="1" t="s">
        <v>136</v>
      </c>
    </row>
    <row r="835" spans="1:37" x14ac:dyDescent="0.25">
      <c r="A835">
        <v>1162</v>
      </c>
      <c r="B835">
        <v>27</v>
      </c>
      <c r="C835" s="1" t="s">
        <v>25</v>
      </c>
      <c r="D835" s="1" t="s">
        <v>70</v>
      </c>
      <c r="E835">
        <v>3</v>
      </c>
      <c r="F835" s="1" t="s">
        <v>134</v>
      </c>
      <c r="G835">
        <v>1</v>
      </c>
      <c r="H835" s="1" t="s">
        <v>18</v>
      </c>
      <c r="I835">
        <v>4</v>
      </c>
      <c r="J835">
        <v>0</v>
      </c>
      <c r="K835">
        <v>4</v>
      </c>
      <c r="L835">
        <v>2</v>
      </c>
      <c r="M835">
        <v>2</v>
      </c>
      <c r="N835">
        <v>2</v>
      </c>
      <c r="O835" s="1" t="s">
        <v>19</v>
      </c>
      <c r="P835" s="1" t="s">
        <v>135</v>
      </c>
      <c r="Q835">
        <v>199</v>
      </c>
      <c r="R835" s="1" t="s">
        <v>63</v>
      </c>
      <c r="S835">
        <v>6</v>
      </c>
      <c r="T835">
        <v>1</v>
      </c>
      <c r="U835">
        <v>4</v>
      </c>
      <c r="V835">
        <v>55</v>
      </c>
      <c r="W835">
        <v>2</v>
      </c>
      <c r="X835">
        <v>1</v>
      </c>
      <c r="Y835" s="1" t="s">
        <v>5</v>
      </c>
      <c r="Z835">
        <v>3</v>
      </c>
      <c r="AA835">
        <v>2539</v>
      </c>
      <c r="AB835">
        <v>7950</v>
      </c>
      <c r="AC835" s="1" t="s">
        <v>19</v>
      </c>
      <c r="AD835">
        <v>13</v>
      </c>
      <c r="AE835">
        <v>3</v>
      </c>
      <c r="AF835">
        <v>3</v>
      </c>
      <c r="AG835">
        <v>80</v>
      </c>
      <c r="AH835">
        <v>1</v>
      </c>
      <c r="AI835">
        <v>3</v>
      </c>
      <c r="AJ835">
        <v>0</v>
      </c>
      <c r="AK835" s="1" t="s">
        <v>136</v>
      </c>
    </row>
    <row r="836" spans="1:37" x14ac:dyDescent="0.25">
      <c r="A836">
        <v>1163</v>
      </c>
      <c r="B836">
        <v>34</v>
      </c>
      <c r="C836" s="1" t="s">
        <v>24</v>
      </c>
      <c r="D836" s="1" t="s">
        <v>70</v>
      </c>
      <c r="E836">
        <v>1</v>
      </c>
      <c r="F836" s="1" t="s">
        <v>134</v>
      </c>
      <c r="G836">
        <v>1</v>
      </c>
      <c r="H836" s="1" t="s">
        <v>18</v>
      </c>
      <c r="I836">
        <v>6</v>
      </c>
      <c r="J836">
        <v>3</v>
      </c>
      <c r="K836">
        <v>6</v>
      </c>
      <c r="L836">
        <v>5</v>
      </c>
      <c r="M836">
        <v>1</v>
      </c>
      <c r="N836">
        <v>3</v>
      </c>
      <c r="O836" s="1" t="s">
        <v>19</v>
      </c>
      <c r="P836" s="1" t="s">
        <v>135</v>
      </c>
      <c r="Q836">
        <v>1400</v>
      </c>
      <c r="R836" s="1" t="s">
        <v>64</v>
      </c>
      <c r="S836">
        <v>9</v>
      </c>
      <c r="T836">
        <v>1</v>
      </c>
      <c r="U836">
        <v>2</v>
      </c>
      <c r="V836">
        <v>70</v>
      </c>
      <c r="W836">
        <v>3</v>
      </c>
      <c r="X836">
        <v>2</v>
      </c>
      <c r="Y836" s="1" t="s">
        <v>4</v>
      </c>
      <c r="Z836">
        <v>3</v>
      </c>
      <c r="AA836">
        <v>5714</v>
      </c>
      <c r="AB836">
        <v>5829</v>
      </c>
      <c r="AC836" s="1" t="s">
        <v>19</v>
      </c>
      <c r="AD836">
        <v>20</v>
      </c>
      <c r="AE836">
        <v>4</v>
      </c>
      <c r="AF836">
        <v>1</v>
      </c>
      <c r="AG836">
        <v>80</v>
      </c>
      <c r="AH836">
        <v>0</v>
      </c>
      <c r="AI836">
        <v>2</v>
      </c>
      <c r="AJ836">
        <v>0</v>
      </c>
      <c r="AK836" s="1" t="s">
        <v>136</v>
      </c>
    </row>
    <row r="837" spans="1:37" x14ac:dyDescent="0.25">
      <c r="A837">
        <v>1164</v>
      </c>
      <c r="B837">
        <v>35</v>
      </c>
      <c r="C837" s="1" t="s">
        <v>25</v>
      </c>
      <c r="D837" s="1" t="s">
        <v>71</v>
      </c>
      <c r="E837">
        <v>4</v>
      </c>
      <c r="F837" s="1" t="s">
        <v>143</v>
      </c>
      <c r="G837">
        <v>1</v>
      </c>
      <c r="H837" s="1" t="s">
        <v>18</v>
      </c>
      <c r="I837">
        <v>6</v>
      </c>
      <c r="J837">
        <v>2</v>
      </c>
      <c r="K837">
        <v>5</v>
      </c>
      <c r="L837">
        <v>4</v>
      </c>
      <c r="M837">
        <v>1</v>
      </c>
      <c r="N837">
        <v>4</v>
      </c>
      <c r="O837" s="1" t="s">
        <v>19</v>
      </c>
      <c r="P837" s="1" t="s">
        <v>135</v>
      </c>
      <c r="Q837">
        <v>528</v>
      </c>
      <c r="R837" s="1" t="s">
        <v>12</v>
      </c>
      <c r="S837">
        <v>8</v>
      </c>
      <c r="T837">
        <v>1</v>
      </c>
      <c r="U837">
        <v>3</v>
      </c>
      <c r="V837">
        <v>100</v>
      </c>
      <c r="W837">
        <v>3</v>
      </c>
      <c r="X837">
        <v>1</v>
      </c>
      <c r="Y837" s="1" t="s">
        <v>12</v>
      </c>
      <c r="Z837">
        <v>3</v>
      </c>
      <c r="AA837">
        <v>4323</v>
      </c>
      <c r="AB837">
        <v>7108</v>
      </c>
      <c r="AC837" s="1" t="s">
        <v>19</v>
      </c>
      <c r="AD837">
        <v>17</v>
      </c>
      <c r="AE837">
        <v>3</v>
      </c>
      <c r="AF837">
        <v>2</v>
      </c>
      <c r="AG837">
        <v>80</v>
      </c>
      <c r="AH837">
        <v>0</v>
      </c>
      <c r="AI837">
        <v>1</v>
      </c>
      <c r="AJ837">
        <v>0</v>
      </c>
      <c r="AK837" s="1" t="s">
        <v>136</v>
      </c>
    </row>
    <row r="838" spans="1:37" x14ac:dyDescent="0.25">
      <c r="A838">
        <v>1165</v>
      </c>
      <c r="B838">
        <v>29</v>
      </c>
      <c r="C838" s="1" t="s">
        <v>24</v>
      </c>
      <c r="D838" s="1" t="s">
        <v>70</v>
      </c>
      <c r="E838">
        <v>1</v>
      </c>
      <c r="F838" s="1" t="s">
        <v>134</v>
      </c>
      <c r="G838">
        <v>1</v>
      </c>
      <c r="H838" s="1" t="s">
        <v>18</v>
      </c>
      <c r="I838">
        <v>11</v>
      </c>
      <c r="J838">
        <v>3</v>
      </c>
      <c r="K838">
        <v>11</v>
      </c>
      <c r="L838">
        <v>8</v>
      </c>
      <c r="M838">
        <v>3</v>
      </c>
      <c r="N838">
        <v>10</v>
      </c>
      <c r="O838" s="1" t="s">
        <v>18</v>
      </c>
      <c r="P838" s="1" t="s">
        <v>135</v>
      </c>
      <c r="Q838">
        <v>408</v>
      </c>
      <c r="R838" s="1" t="s">
        <v>64</v>
      </c>
      <c r="S838">
        <v>23</v>
      </c>
      <c r="T838">
        <v>1</v>
      </c>
      <c r="U838">
        <v>4</v>
      </c>
      <c r="V838">
        <v>45</v>
      </c>
      <c r="W838">
        <v>2</v>
      </c>
      <c r="X838">
        <v>3</v>
      </c>
      <c r="Y838" s="1" t="s">
        <v>4</v>
      </c>
      <c r="Z838">
        <v>1</v>
      </c>
      <c r="AA838">
        <v>7336</v>
      </c>
      <c r="AB838">
        <v>11162</v>
      </c>
      <c r="AC838" s="1" t="s">
        <v>19</v>
      </c>
      <c r="AD838">
        <v>13</v>
      </c>
      <c r="AE838">
        <v>3</v>
      </c>
      <c r="AF838">
        <v>1</v>
      </c>
      <c r="AG838">
        <v>80</v>
      </c>
      <c r="AH838">
        <v>1</v>
      </c>
      <c r="AI838">
        <v>1</v>
      </c>
      <c r="AJ838">
        <v>1</v>
      </c>
      <c r="AK838" s="1" t="s">
        <v>136</v>
      </c>
    </row>
    <row r="839" spans="1:37" x14ac:dyDescent="0.25">
      <c r="A839">
        <v>1166</v>
      </c>
      <c r="B839">
        <v>40</v>
      </c>
      <c r="C839" s="1" t="s">
        <v>24</v>
      </c>
      <c r="D839" s="1" t="s">
        <v>71</v>
      </c>
      <c r="E839">
        <v>4</v>
      </c>
      <c r="F839" s="1" t="s">
        <v>139</v>
      </c>
      <c r="G839">
        <v>9</v>
      </c>
      <c r="H839" s="1" t="s">
        <v>18</v>
      </c>
      <c r="I839">
        <v>20</v>
      </c>
      <c r="J839">
        <v>3</v>
      </c>
      <c r="K839">
        <v>18</v>
      </c>
      <c r="L839">
        <v>7</v>
      </c>
      <c r="M839">
        <v>2</v>
      </c>
      <c r="N839">
        <v>13</v>
      </c>
      <c r="O839" s="1" t="s">
        <v>19</v>
      </c>
      <c r="P839" s="1" t="s">
        <v>137</v>
      </c>
      <c r="Q839">
        <v>593</v>
      </c>
      <c r="R839" s="1" t="s">
        <v>63</v>
      </c>
      <c r="S839">
        <v>9</v>
      </c>
      <c r="T839">
        <v>1</v>
      </c>
      <c r="U839">
        <v>2</v>
      </c>
      <c r="V839">
        <v>88</v>
      </c>
      <c r="W839">
        <v>3</v>
      </c>
      <c r="X839">
        <v>3</v>
      </c>
      <c r="Y839" s="1" t="s">
        <v>11</v>
      </c>
      <c r="Z839">
        <v>3</v>
      </c>
      <c r="AA839">
        <v>13499</v>
      </c>
      <c r="AB839">
        <v>13782</v>
      </c>
      <c r="AC839" s="1" t="s">
        <v>19</v>
      </c>
      <c r="AD839">
        <v>17</v>
      </c>
      <c r="AE839">
        <v>3</v>
      </c>
      <c r="AF839">
        <v>3</v>
      </c>
      <c r="AG839">
        <v>80</v>
      </c>
      <c r="AH839">
        <v>0</v>
      </c>
      <c r="AI839">
        <v>2</v>
      </c>
      <c r="AJ839">
        <v>0</v>
      </c>
      <c r="AK839" s="1" t="s">
        <v>136</v>
      </c>
    </row>
    <row r="840" spans="1:37" x14ac:dyDescent="0.25">
      <c r="A840">
        <v>1167</v>
      </c>
      <c r="B840">
        <v>42</v>
      </c>
      <c r="C840" s="1" t="s">
        <v>25</v>
      </c>
      <c r="D840" s="1" t="s">
        <v>71</v>
      </c>
      <c r="E840">
        <v>3</v>
      </c>
      <c r="F840" s="1" t="s">
        <v>134</v>
      </c>
      <c r="G840">
        <v>0</v>
      </c>
      <c r="H840" s="1" t="s">
        <v>18</v>
      </c>
      <c r="I840">
        <v>22</v>
      </c>
      <c r="J840">
        <v>2</v>
      </c>
      <c r="K840">
        <v>21</v>
      </c>
      <c r="L840">
        <v>9</v>
      </c>
      <c r="M840">
        <v>13</v>
      </c>
      <c r="N840">
        <v>14</v>
      </c>
      <c r="O840" s="1" t="s">
        <v>18</v>
      </c>
      <c r="P840" s="1" t="s">
        <v>137</v>
      </c>
      <c r="Q840">
        <v>481</v>
      </c>
      <c r="R840" s="1" t="s">
        <v>64</v>
      </c>
      <c r="S840">
        <v>12</v>
      </c>
      <c r="T840">
        <v>1</v>
      </c>
      <c r="U840">
        <v>3</v>
      </c>
      <c r="V840">
        <v>44</v>
      </c>
      <c r="W840">
        <v>3</v>
      </c>
      <c r="X840">
        <v>4</v>
      </c>
      <c r="Y840" s="1" t="s">
        <v>4</v>
      </c>
      <c r="Z840">
        <v>1</v>
      </c>
      <c r="AA840">
        <v>13758</v>
      </c>
      <c r="AB840">
        <v>2447</v>
      </c>
      <c r="AC840" s="1" t="s">
        <v>18</v>
      </c>
      <c r="AD840">
        <v>12</v>
      </c>
      <c r="AE840">
        <v>3</v>
      </c>
      <c r="AF840">
        <v>2</v>
      </c>
      <c r="AG840">
        <v>80</v>
      </c>
      <c r="AH840">
        <v>0</v>
      </c>
      <c r="AI840">
        <v>2</v>
      </c>
      <c r="AJ840">
        <v>1</v>
      </c>
      <c r="AK840" s="1" t="s">
        <v>136</v>
      </c>
    </row>
    <row r="841" spans="1:37" x14ac:dyDescent="0.25">
      <c r="A841">
        <v>1171</v>
      </c>
      <c r="B841">
        <v>42</v>
      </c>
      <c r="C841" s="1" t="s">
        <v>25</v>
      </c>
      <c r="D841" s="1" t="s">
        <v>71</v>
      </c>
      <c r="E841">
        <v>4</v>
      </c>
      <c r="F841" s="1" t="s">
        <v>142</v>
      </c>
      <c r="G841">
        <v>7</v>
      </c>
      <c r="H841" s="1" t="s">
        <v>18</v>
      </c>
      <c r="I841">
        <v>9</v>
      </c>
      <c r="J841">
        <v>3</v>
      </c>
      <c r="K841">
        <v>6</v>
      </c>
      <c r="L841">
        <v>4</v>
      </c>
      <c r="M841">
        <v>1</v>
      </c>
      <c r="N841">
        <v>5</v>
      </c>
      <c r="O841" s="1" t="s">
        <v>19</v>
      </c>
      <c r="P841" s="1" t="s">
        <v>135</v>
      </c>
      <c r="Q841">
        <v>647</v>
      </c>
      <c r="R841" s="1" t="s">
        <v>64</v>
      </c>
      <c r="S841">
        <v>4</v>
      </c>
      <c r="T841">
        <v>1</v>
      </c>
      <c r="U841">
        <v>2</v>
      </c>
      <c r="V841">
        <v>45</v>
      </c>
      <c r="W841">
        <v>3</v>
      </c>
      <c r="X841">
        <v>2</v>
      </c>
      <c r="Y841" s="1" t="s">
        <v>4</v>
      </c>
      <c r="Z841">
        <v>1</v>
      </c>
      <c r="AA841">
        <v>5155</v>
      </c>
      <c r="AB841">
        <v>2253</v>
      </c>
      <c r="AC841" s="1" t="s">
        <v>19</v>
      </c>
      <c r="AD841">
        <v>13</v>
      </c>
      <c r="AE841">
        <v>3</v>
      </c>
      <c r="AF841">
        <v>4</v>
      </c>
      <c r="AG841">
        <v>80</v>
      </c>
      <c r="AH841">
        <v>0</v>
      </c>
      <c r="AI841">
        <v>4</v>
      </c>
      <c r="AJ841">
        <v>0</v>
      </c>
      <c r="AK841" s="1" t="s">
        <v>136</v>
      </c>
    </row>
    <row r="842" spans="1:37" x14ac:dyDescent="0.25">
      <c r="A842">
        <v>1172</v>
      </c>
      <c r="B842">
        <v>35</v>
      </c>
      <c r="C842" s="1" t="s">
        <v>25</v>
      </c>
      <c r="D842" s="1" t="s">
        <v>70</v>
      </c>
      <c r="E842">
        <v>4</v>
      </c>
      <c r="F842" s="1" t="s">
        <v>139</v>
      </c>
      <c r="G842">
        <v>6</v>
      </c>
      <c r="H842" s="1" t="s">
        <v>18</v>
      </c>
      <c r="I842">
        <v>10</v>
      </c>
      <c r="J842">
        <v>2</v>
      </c>
      <c r="K842">
        <v>8</v>
      </c>
      <c r="L842">
        <v>0</v>
      </c>
      <c r="M842">
        <v>1</v>
      </c>
      <c r="N842">
        <v>7</v>
      </c>
      <c r="O842" s="1" t="s">
        <v>19</v>
      </c>
      <c r="P842" s="1" t="s">
        <v>135</v>
      </c>
      <c r="Q842">
        <v>982</v>
      </c>
      <c r="R842" s="1" t="s">
        <v>63</v>
      </c>
      <c r="S842">
        <v>1</v>
      </c>
      <c r="T842">
        <v>1</v>
      </c>
      <c r="U842">
        <v>4</v>
      </c>
      <c r="V842">
        <v>58</v>
      </c>
      <c r="W842">
        <v>2</v>
      </c>
      <c r="X842">
        <v>1</v>
      </c>
      <c r="Y842" s="1" t="s">
        <v>6</v>
      </c>
      <c r="Z842">
        <v>3</v>
      </c>
      <c r="AA842">
        <v>2258</v>
      </c>
      <c r="AB842">
        <v>16340</v>
      </c>
      <c r="AC842" s="1" t="s">
        <v>19</v>
      </c>
      <c r="AD842">
        <v>12</v>
      </c>
      <c r="AE842">
        <v>3</v>
      </c>
      <c r="AF842">
        <v>2</v>
      </c>
      <c r="AG842">
        <v>80</v>
      </c>
      <c r="AH842">
        <v>1</v>
      </c>
      <c r="AI842">
        <v>3</v>
      </c>
      <c r="AJ842">
        <v>0</v>
      </c>
      <c r="AK842" s="1" t="s">
        <v>136</v>
      </c>
    </row>
    <row r="843" spans="1:37" x14ac:dyDescent="0.25">
      <c r="A843">
        <v>1173</v>
      </c>
      <c r="B843">
        <v>24</v>
      </c>
      <c r="C843" s="1" t="s">
        <v>25</v>
      </c>
      <c r="D843" s="1" t="s">
        <v>71</v>
      </c>
      <c r="E843">
        <v>3</v>
      </c>
      <c r="F843" s="1" t="s">
        <v>139</v>
      </c>
      <c r="G843">
        <v>8</v>
      </c>
      <c r="H843" s="1" t="s">
        <v>18</v>
      </c>
      <c r="I843">
        <v>6</v>
      </c>
      <c r="J843">
        <v>2</v>
      </c>
      <c r="K843">
        <v>4</v>
      </c>
      <c r="L843">
        <v>3</v>
      </c>
      <c r="M843">
        <v>1</v>
      </c>
      <c r="N843">
        <v>2</v>
      </c>
      <c r="O843" s="1" t="s">
        <v>19</v>
      </c>
      <c r="P843" s="1" t="s">
        <v>135</v>
      </c>
      <c r="Q843">
        <v>477</v>
      </c>
      <c r="R843" s="1" t="s">
        <v>63</v>
      </c>
      <c r="S843">
        <v>24</v>
      </c>
      <c r="T843">
        <v>1</v>
      </c>
      <c r="U843">
        <v>4</v>
      </c>
      <c r="V843">
        <v>49</v>
      </c>
      <c r="W843">
        <v>3</v>
      </c>
      <c r="X843">
        <v>1</v>
      </c>
      <c r="Y843" s="1" t="s">
        <v>6</v>
      </c>
      <c r="Z843">
        <v>2</v>
      </c>
      <c r="AA843">
        <v>3597</v>
      </c>
      <c r="AB843">
        <v>6409</v>
      </c>
      <c r="AC843" s="1" t="s">
        <v>19</v>
      </c>
      <c r="AD843">
        <v>22</v>
      </c>
      <c r="AE843">
        <v>4</v>
      </c>
      <c r="AF843">
        <v>4</v>
      </c>
      <c r="AG843">
        <v>80</v>
      </c>
      <c r="AH843">
        <v>0</v>
      </c>
      <c r="AI843">
        <v>3</v>
      </c>
      <c r="AJ843">
        <v>0</v>
      </c>
      <c r="AK843" s="1" t="s">
        <v>136</v>
      </c>
    </row>
    <row r="844" spans="1:37" x14ac:dyDescent="0.25">
      <c r="A844">
        <v>1175</v>
      </c>
      <c r="B844">
        <v>28</v>
      </c>
      <c r="C844" s="1" t="s">
        <v>24</v>
      </c>
      <c r="D844" s="1" t="s">
        <v>70</v>
      </c>
      <c r="E844">
        <v>1</v>
      </c>
      <c r="F844" s="1" t="s">
        <v>134</v>
      </c>
      <c r="G844">
        <v>1</v>
      </c>
      <c r="H844" s="1" t="s">
        <v>18</v>
      </c>
      <c r="I844">
        <v>1</v>
      </c>
      <c r="J844">
        <v>4</v>
      </c>
      <c r="K844">
        <v>1</v>
      </c>
      <c r="L844">
        <v>1</v>
      </c>
      <c r="M844">
        <v>0</v>
      </c>
      <c r="N844">
        <v>0</v>
      </c>
      <c r="O844" s="1" t="s">
        <v>18</v>
      </c>
      <c r="P844" s="1" t="s">
        <v>135</v>
      </c>
      <c r="Q844">
        <v>1485</v>
      </c>
      <c r="R844" s="1" t="s">
        <v>63</v>
      </c>
      <c r="S844">
        <v>12</v>
      </c>
      <c r="T844">
        <v>1</v>
      </c>
      <c r="U844">
        <v>3</v>
      </c>
      <c r="V844">
        <v>79</v>
      </c>
      <c r="W844">
        <v>3</v>
      </c>
      <c r="X844">
        <v>1</v>
      </c>
      <c r="Y844" s="1" t="s">
        <v>6</v>
      </c>
      <c r="Z844">
        <v>4</v>
      </c>
      <c r="AA844">
        <v>2515</v>
      </c>
      <c r="AB844">
        <v>22955</v>
      </c>
      <c r="AC844" s="1" t="s">
        <v>18</v>
      </c>
      <c r="AD844">
        <v>11</v>
      </c>
      <c r="AE844">
        <v>3</v>
      </c>
      <c r="AF844">
        <v>4</v>
      </c>
      <c r="AG844">
        <v>80</v>
      </c>
      <c r="AH844">
        <v>0</v>
      </c>
      <c r="AI844">
        <v>2</v>
      </c>
      <c r="AJ844">
        <v>1</v>
      </c>
      <c r="AK844" s="1" t="s">
        <v>136</v>
      </c>
    </row>
    <row r="845" spans="1:37" x14ac:dyDescent="0.25">
      <c r="A845">
        <v>1177</v>
      </c>
      <c r="B845">
        <v>26</v>
      </c>
      <c r="C845" s="1" t="s">
        <v>25</v>
      </c>
      <c r="D845" s="1" t="s">
        <v>70</v>
      </c>
      <c r="E845">
        <v>4</v>
      </c>
      <c r="F845" s="1" t="s">
        <v>139</v>
      </c>
      <c r="G845">
        <v>1</v>
      </c>
      <c r="H845" s="1" t="s">
        <v>18</v>
      </c>
      <c r="I845">
        <v>8</v>
      </c>
      <c r="J845">
        <v>2</v>
      </c>
      <c r="K845">
        <v>8</v>
      </c>
      <c r="L845">
        <v>7</v>
      </c>
      <c r="M845">
        <v>0</v>
      </c>
      <c r="N845">
        <v>7</v>
      </c>
      <c r="O845" s="1" t="s">
        <v>19</v>
      </c>
      <c r="P845" s="1" t="s">
        <v>135</v>
      </c>
      <c r="Q845">
        <v>1384</v>
      </c>
      <c r="R845" s="1" t="s">
        <v>63</v>
      </c>
      <c r="S845">
        <v>3</v>
      </c>
      <c r="T845">
        <v>1</v>
      </c>
      <c r="U845">
        <v>1</v>
      </c>
      <c r="V845">
        <v>82</v>
      </c>
      <c r="W845">
        <v>4</v>
      </c>
      <c r="X845">
        <v>1</v>
      </c>
      <c r="Y845" s="1" t="s">
        <v>6</v>
      </c>
      <c r="Z845">
        <v>4</v>
      </c>
      <c r="AA845">
        <v>4420</v>
      </c>
      <c r="AB845">
        <v>13421</v>
      </c>
      <c r="AC845" s="1" t="s">
        <v>19</v>
      </c>
      <c r="AD845">
        <v>22</v>
      </c>
      <c r="AE845">
        <v>4</v>
      </c>
      <c r="AF845">
        <v>2</v>
      </c>
      <c r="AG845">
        <v>80</v>
      </c>
      <c r="AH845">
        <v>1</v>
      </c>
      <c r="AI845">
        <v>3</v>
      </c>
      <c r="AJ845">
        <v>0</v>
      </c>
      <c r="AK845" s="1" t="s">
        <v>136</v>
      </c>
    </row>
    <row r="846" spans="1:37" x14ac:dyDescent="0.25">
      <c r="A846">
        <v>1179</v>
      </c>
      <c r="B846">
        <v>30</v>
      </c>
      <c r="C846" s="1" t="s">
        <v>25</v>
      </c>
      <c r="D846" s="1" t="s">
        <v>70</v>
      </c>
      <c r="E846">
        <v>3</v>
      </c>
      <c r="F846" s="1" t="s">
        <v>142</v>
      </c>
      <c r="G846">
        <v>1</v>
      </c>
      <c r="H846" s="1" t="s">
        <v>18</v>
      </c>
      <c r="I846">
        <v>10</v>
      </c>
      <c r="J846">
        <v>3</v>
      </c>
      <c r="K846">
        <v>10</v>
      </c>
      <c r="L846">
        <v>3</v>
      </c>
      <c r="M846">
        <v>1</v>
      </c>
      <c r="N846">
        <v>4</v>
      </c>
      <c r="O846" s="1" t="s">
        <v>19</v>
      </c>
      <c r="P846" s="1" t="s">
        <v>135</v>
      </c>
      <c r="Q846">
        <v>852</v>
      </c>
      <c r="R846" s="1" t="s">
        <v>64</v>
      </c>
      <c r="S846">
        <v>10</v>
      </c>
      <c r="T846">
        <v>1</v>
      </c>
      <c r="U846">
        <v>3</v>
      </c>
      <c r="V846">
        <v>72</v>
      </c>
      <c r="W846">
        <v>2</v>
      </c>
      <c r="X846">
        <v>2</v>
      </c>
      <c r="Y846" s="1" t="s">
        <v>4</v>
      </c>
      <c r="Z846">
        <v>3</v>
      </c>
      <c r="AA846">
        <v>6578</v>
      </c>
      <c r="AB846">
        <v>2706</v>
      </c>
      <c r="AC846" s="1" t="s">
        <v>19</v>
      </c>
      <c r="AD846">
        <v>18</v>
      </c>
      <c r="AE846">
        <v>3</v>
      </c>
      <c r="AF846">
        <v>1</v>
      </c>
      <c r="AG846">
        <v>80</v>
      </c>
      <c r="AH846">
        <v>1</v>
      </c>
      <c r="AI846">
        <v>3</v>
      </c>
      <c r="AJ846">
        <v>0</v>
      </c>
      <c r="AK846" s="1" t="s">
        <v>136</v>
      </c>
    </row>
    <row r="847" spans="1:37" x14ac:dyDescent="0.25">
      <c r="A847">
        <v>1180</v>
      </c>
      <c r="B847">
        <v>40</v>
      </c>
      <c r="C847" s="1" t="s">
        <v>24</v>
      </c>
      <c r="D847" s="1" t="s">
        <v>70</v>
      </c>
      <c r="E847">
        <v>2</v>
      </c>
      <c r="F847" s="1" t="s">
        <v>139</v>
      </c>
      <c r="G847">
        <v>3</v>
      </c>
      <c r="H847" s="1" t="s">
        <v>18</v>
      </c>
      <c r="I847">
        <v>16</v>
      </c>
      <c r="J847">
        <v>3</v>
      </c>
      <c r="K847">
        <v>1</v>
      </c>
      <c r="L847">
        <v>1</v>
      </c>
      <c r="M847">
        <v>0</v>
      </c>
      <c r="N847">
        <v>0</v>
      </c>
      <c r="O847" s="1" t="s">
        <v>19</v>
      </c>
      <c r="P847" s="1" t="s">
        <v>137</v>
      </c>
      <c r="Q847">
        <v>902</v>
      </c>
      <c r="R847" s="1" t="s">
        <v>63</v>
      </c>
      <c r="S847">
        <v>26</v>
      </c>
      <c r="T847">
        <v>1</v>
      </c>
      <c r="U847">
        <v>3</v>
      </c>
      <c r="V847">
        <v>92</v>
      </c>
      <c r="W847">
        <v>2</v>
      </c>
      <c r="X847">
        <v>2</v>
      </c>
      <c r="Y847" s="1" t="s">
        <v>5</v>
      </c>
      <c r="Z847">
        <v>4</v>
      </c>
      <c r="AA847">
        <v>4422</v>
      </c>
      <c r="AB847">
        <v>21203</v>
      </c>
      <c r="AC847" s="1" t="s">
        <v>18</v>
      </c>
      <c r="AD847">
        <v>13</v>
      </c>
      <c r="AE847">
        <v>3</v>
      </c>
      <c r="AF847">
        <v>4</v>
      </c>
      <c r="AG847">
        <v>80</v>
      </c>
      <c r="AH847">
        <v>1</v>
      </c>
      <c r="AI847">
        <v>1</v>
      </c>
      <c r="AJ847">
        <v>0</v>
      </c>
      <c r="AK847" s="1" t="s">
        <v>136</v>
      </c>
    </row>
    <row r="848" spans="1:37" x14ac:dyDescent="0.25">
      <c r="A848">
        <v>1182</v>
      </c>
      <c r="B848">
        <v>35</v>
      </c>
      <c r="C848" s="1" t="s">
        <v>25</v>
      </c>
      <c r="D848" s="1" t="s">
        <v>69</v>
      </c>
      <c r="E848">
        <v>3</v>
      </c>
      <c r="F848" s="1" t="s">
        <v>134</v>
      </c>
      <c r="G848">
        <v>2</v>
      </c>
      <c r="H848" s="1" t="s">
        <v>18</v>
      </c>
      <c r="I848">
        <v>15</v>
      </c>
      <c r="J848">
        <v>2</v>
      </c>
      <c r="K848">
        <v>7</v>
      </c>
      <c r="L848">
        <v>7</v>
      </c>
      <c r="M848">
        <v>6</v>
      </c>
      <c r="N848">
        <v>4</v>
      </c>
      <c r="O848" s="1" t="s">
        <v>19</v>
      </c>
      <c r="P848" s="1" t="s">
        <v>135</v>
      </c>
      <c r="Q848">
        <v>819</v>
      </c>
      <c r="R848" s="1" t="s">
        <v>63</v>
      </c>
      <c r="S848">
        <v>2</v>
      </c>
      <c r="T848">
        <v>1</v>
      </c>
      <c r="U848">
        <v>3</v>
      </c>
      <c r="V848">
        <v>44</v>
      </c>
      <c r="W848">
        <v>2</v>
      </c>
      <c r="X848">
        <v>3</v>
      </c>
      <c r="Y848" s="1" t="s">
        <v>7</v>
      </c>
      <c r="Z848">
        <v>2</v>
      </c>
      <c r="AA848">
        <v>10274</v>
      </c>
      <c r="AB848">
        <v>19588</v>
      </c>
      <c r="AC848" s="1" t="s">
        <v>19</v>
      </c>
      <c r="AD848">
        <v>18</v>
      </c>
      <c r="AE848">
        <v>3</v>
      </c>
      <c r="AF848">
        <v>2</v>
      </c>
      <c r="AG848">
        <v>80</v>
      </c>
      <c r="AH848">
        <v>1</v>
      </c>
      <c r="AI848">
        <v>4</v>
      </c>
      <c r="AJ848">
        <v>0</v>
      </c>
      <c r="AK848" s="1" t="s">
        <v>136</v>
      </c>
    </row>
    <row r="849" spans="1:37" x14ac:dyDescent="0.25">
      <c r="A849">
        <v>1184</v>
      </c>
      <c r="B849">
        <v>34</v>
      </c>
      <c r="C849" s="1" t="s">
        <v>25</v>
      </c>
      <c r="D849" s="1" t="s">
        <v>71</v>
      </c>
      <c r="E849">
        <v>3</v>
      </c>
      <c r="F849" s="1" t="s">
        <v>139</v>
      </c>
      <c r="G849">
        <v>0</v>
      </c>
      <c r="H849" s="1" t="s">
        <v>18</v>
      </c>
      <c r="I849">
        <v>14</v>
      </c>
      <c r="J849">
        <v>3</v>
      </c>
      <c r="K849">
        <v>13</v>
      </c>
      <c r="L849">
        <v>9</v>
      </c>
      <c r="M849">
        <v>4</v>
      </c>
      <c r="N849">
        <v>9</v>
      </c>
      <c r="O849" s="1" t="s">
        <v>19</v>
      </c>
      <c r="P849" s="1" t="s">
        <v>137</v>
      </c>
      <c r="Q849">
        <v>669</v>
      </c>
      <c r="R849" s="1" t="s">
        <v>63</v>
      </c>
      <c r="S849">
        <v>1</v>
      </c>
      <c r="T849">
        <v>1</v>
      </c>
      <c r="U849">
        <v>4</v>
      </c>
      <c r="V849">
        <v>97</v>
      </c>
      <c r="W849">
        <v>2</v>
      </c>
      <c r="X849">
        <v>2</v>
      </c>
      <c r="Y849" s="1" t="s">
        <v>8</v>
      </c>
      <c r="Z849">
        <v>1</v>
      </c>
      <c r="AA849">
        <v>5343</v>
      </c>
      <c r="AB849">
        <v>25755</v>
      </c>
      <c r="AC849" s="1" t="s">
        <v>19</v>
      </c>
      <c r="AD849">
        <v>20</v>
      </c>
      <c r="AE849">
        <v>4</v>
      </c>
      <c r="AF849">
        <v>3</v>
      </c>
      <c r="AG849">
        <v>80</v>
      </c>
      <c r="AH849">
        <v>0</v>
      </c>
      <c r="AI849">
        <v>3</v>
      </c>
      <c r="AJ849">
        <v>0</v>
      </c>
      <c r="AK849" s="1" t="s">
        <v>136</v>
      </c>
    </row>
    <row r="850" spans="1:37" x14ac:dyDescent="0.25">
      <c r="A850">
        <v>1185</v>
      </c>
      <c r="B850">
        <v>35</v>
      </c>
      <c r="C850" s="1" t="s">
        <v>25</v>
      </c>
      <c r="D850" s="1" t="s">
        <v>70</v>
      </c>
      <c r="E850">
        <v>4</v>
      </c>
      <c r="F850" s="1" t="s">
        <v>138</v>
      </c>
      <c r="G850">
        <v>1</v>
      </c>
      <c r="H850" s="1" t="s">
        <v>18</v>
      </c>
      <c r="I850">
        <v>2</v>
      </c>
      <c r="J850">
        <v>2</v>
      </c>
      <c r="K850">
        <v>2</v>
      </c>
      <c r="L850">
        <v>2</v>
      </c>
      <c r="M850">
        <v>2</v>
      </c>
      <c r="N850">
        <v>2</v>
      </c>
      <c r="O850" s="1" t="s">
        <v>19</v>
      </c>
      <c r="P850" s="1" t="s">
        <v>137</v>
      </c>
      <c r="Q850">
        <v>636</v>
      </c>
      <c r="R850" s="1" t="s">
        <v>63</v>
      </c>
      <c r="S850">
        <v>4</v>
      </c>
      <c r="T850">
        <v>1</v>
      </c>
      <c r="U850">
        <v>4</v>
      </c>
      <c r="V850">
        <v>47</v>
      </c>
      <c r="W850">
        <v>2</v>
      </c>
      <c r="X850">
        <v>1</v>
      </c>
      <c r="Y850" s="1" t="s">
        <v>6</v>
      </c>
      <c r="Z850">
        <v>4</v>
      </c>
      <c r="AA850">
        <v>2376</v>
      </c>
      <c r="AB850">
        <v>26537</v>
      </c>
      <c r="AC850" s="1" t="s">
        <v>19</v>
      </c>
      <c r="AD850">
        <v>13</v>
      </c>
      <c r="AE850">
        <v>3</v>
      </c>
      <c r="AF850">
        <v>2</v>
      </c>
      <c r="AG850">
        <v>80</v>
      </c>
      <c r="AH850">
        <v>1</v>
      </c>
      <c r="AI850">
        <v>4</v>
      </c>
      <c r="AJ850">
        <v>0</v>
      </c>
      <c r="AK850" s="1" t="s">
        <v>136</v>
      </c>
    </row>
    <row r="851" spans="1:37" x14ac:dyDescent="0.25">
      <c r="A851">
        <v>1188</v>
      </c>
      <c r="B851">
        <v>43</v>
      </c>
      <c r="C851" s="1" t="s">
        <v>24</v>
      </c>
      <c r="D851" s="1" t="s">
        <v>71</v>
      </c>
      <c r="E851">
        <v>3</v>
      </c>
      <c r="F851" s="1" t="s">
        <v>142</v>
      </c>
      <c r="G851">
        <v>8</v>
      </c>
      <c r="H851" s="1" t="s">
        <v>18</v>
      </c>
      <c r="I851">
        <v>7</v>
      </c>
      <c r="J851">
        <v>2</v>
      </c>
      <c r="K851">
        <v>4</v>
      </c>
      <c r="L851">
        <v>3</v>
      </c>
      <c r="M851">
        <v>1</v>
      </c>
      <c r="N851">
        <v>3</v>
      </c>
      <c r="O851" s="1" t="s">
        <v>18</v>
      </c>
      <c r="P851" s="1" t="s">
        <v>135</v>
      </c>
      <c r="Q851">
        <v>1372</v>
      </c>
      <c r="R851" s="1" t="s">
        <v>64</v>
      </c>
      <c r="S851">
        <v>9</v>
      </c>
      <c r="T851">
        <v>1</v>
      </c>
      <c r="U851">
        <v>1</v>
      </c>
      <c r="V851">
        <v>85</v>
      </c>
      <c r="W851">
        <v>1</v>
      </c>
      <c r="X851">
        <v>2</v>
      </c>
      <c r="Y851" s="1" t="s">
        <v>4</v>
      </c>
      <c r="Z851">
        <v>3</v>
      </c>
      <c r="AA851">
        <v>5346</v>
      </c>
      <c r="AB851">
        <v>9489</v>
      </c>
      <c r="AC851" s="1" t="s">
        <v>19</v>
      </c>
      <c r="AD851">
        <v>13</v>
      </c>
      <c r="AE851">
        <v>3</v>
      </c>
      <c r="AF851">
        <v>2</v>
      </c>
      <c r="AG851">
        <v>80</v>
      </c>
      <c r="AH851">
        <v>0</v>
      </c>
      <c r="AI851">
        <v>2</v>
      </c>
      <c r="AJ851">
        <v>1</v>
      </c>
      <c r="AK851" s="1" t="s">
        <v>136</v>
      </c>
    </row>
    <row r="852" spans="1:37" x14ac:dyDescent="0.25">
      <c r="A852">
        <v>1190</v>
      </c>
      <c r="B852">
        <v>32</v>
      </c>
      <c r="C852" s="1" t="s">
        <v>24</v>
      </c>
      <c r="D852" s="1" t="s">
        <v>69</v>
      </c>
      <c r="E852">
        <v>1</v>
      </c>
      <c r="F852" s="1" t="s">
        <v>134</v>
      </c>
      <c r="G852">
        <v>1</v>
      </c>
      <c r="H852" s="1" t="s">
        <v>18</v>
      </c>
      <c r="I852">
        <v>1</v>
      </c>
      <c r="J852">
        <v>3</v>
      </c>
      <c r="K852">
        <v>1</v>
      </c>
      <c r="L852">
        <v>0</v>
      </c>
      <c r="M852">
        <v>0</v>
      </c>
      <c r="N852">
        <v>0</v>
      </c>
      <c r="O852" s="1" t="s">
        <v>19</v>
      </c>
      <c r="P852" s="1" t="s">
        <v>141</v>
      </c>
      <c r="Q852">
        <v>862</v>
      </c>
      <c r="R852" s="1" t="s">
        <v>64</v>
      </c>
      <c r="S852">
        <v>2</v>
      </c>
      <c r="T852">
        <v>1</v>
      </c>
      <c r="U852">
        <v>3</v>
      </c>
      <c r="V852">
        <v>76</v>
      </c>
      <c r="W852">
        <v>3</v>
      </c>
      <c r="X852">
        <v>1</v>
      </c>
      <c r="Y852" s="1" t="s">
        <v>10</v>
      </c>
      <c r="Z852">
        <v>1</v>
      </c>
      <c r="AA852">
        <v>2827</v>
      </c>
      <c r="AB852">
        <v>14947</v>
      </c>
      <c r="AC852" s="1" t="s">
        <v>19</v>
      </c>
      <c r="AD852">
        <v>12</v>
      </c>
      <c r="AE852">
        <v>3</v>
      </c>
      <c r="AF852">
        <v>3</v>
      </c>
      <c r="AG852">
        <v>80</v>
      </c>
      <c r="AH852">
        <v>3</v>
      </c>
      <c r="AI852">
        <v>3</v>
      </c>
      <c r="AJ852">
        <v>0</v>
      </c>
      <c r="AK852" s="1" t="s">
        <v>136</v>
      </c>
    </row>
    <row r="853" spans="1:37" x14ac:dyDescent="0.25">
      <c r="A853">
        <v>1191</v>
      </c>
      <c r="B853">
        <v>56</v>
      </c>
      <c r="C853" s="1" t="s">
        <v>24</v>
      </c>
      <c r="D853" s="1" t="s">
        <v>69</v>
      </c>
      <c r="E853">
        <v>4</v>
      </c>
      <c r="F853" s="1" t="s">
        <v>143</v>
      </c>
      <c r="G853">
        <v>4</v>
      </c>
      <c r="H853" s="1" t="s">
        <v>18</v>
      </c>
      <c r="I853">
        <v>28</v>
      </c>
      <c r="J853">
        <v>2</v>
      </c>
      <c r="K853">
        <v>5</v>
      </c>
      <c r="L853">
        <v>2</v>
      </c>
      <c r="M853">
        <v>4</v>
      </c>
      <c r="N853">
        <v>2</v>
      </c>
      <c r="O853" s="1" t="s">
        <v>19</v>
      </c>
      <c r="P853" s="1" t="s">
        <v>135</v>
      </c>
      <c r="Q853">
        <v>718</v>
      </c>
      <c r="R853" s="1" t="s">
        <v>63</v>
      </c>
      <c r="S853">
        <v>4</v>
      </c>
      <c r="T853">
        <v>1</v>
      </c>
      <c r="U853">
        <v>4</v>
      </c>
      <c r="V853">
        <v>92</v>
      </c>
      <c r="W853">
        <v>3</v>
      </c>
      <c r="X853">
        <v>5</v>
      </c>
      <c r="Y853" s="1" t="s">
        <v>9</v>
      </c>
      <c r="Z853">
        <v>1</v>
      </c>
      <c r="AA853">
        <v>19943</v>
      </c>
      <c r="AB853">
        <v>18575</v>
      </c>
      <c r="AC853" s="1" t="s">
        <v>19</v>
      </c>
      <c r="AD853">
        <v>13</v>
      </c>
      <c r="AE853">
        <v>3</v>
      </c>
      <c r="AF853">
        <v>4</v>
      </c>
      <c r="AG853">
        <v>80</v>
      </c>
      <c r="AH853">
        <v>1</v>
      </c>
      <c r="AI853">
        <v>3</v>
      </c>
      <c r="AJ853">
        <v>0</v>
      </c>
      <c r="AK853" s="1" t="s">
        <v>140</v>
      </c>
    </row>
    <row r="854" spans="1:37" x14ac:dyDescent="0.25">
      <c r="A854">
        <v>1192</v>
      </c>
      <c r="B854">
        <v>29</v>
      </c>
      <c r="C854" s="1" t="s">
        <v>24</v>
      </c>
      <c r="D854" s="1" t="s">
        <v>70</v>
      </c>
      <c r="E854">
        <v>1</v>
      </c>
      <c r="F854" s="1" t="s">
        <v>139</v>
      </c>
      <c r="G854">
        <v>1</v>
      </c>
      <c r="H854" s="1" t="s">
        <v>18</v>
      </c>
      <c r="I854">
        <v>10</v>
      </c>
      <c r="J854">
        <v>5</v>
      </c>
      <c r="K854">
        <v>10</v>
      </c>
      <c r="L854">
        <v>8</v>
      </c>
      <c r="M854">
        <v>0</v>
      </c>
      <c r="N854">
        <v>8</v>
      </c>
      <c r="O854" s="1" t="s">
        <v>19</v>
      </c>
      <c r="P854" s="1" t="s">
        <v>135</v>
      </c>
      <c r="Q854">
        <v>1401</v>
      </c>
      <c r="R854" s="1" t="s">
        <v>63</v>
      </c>
      <c r="S854">
        <v>6</v>
      </c>
      <c r="T854">
        <v>1</v>
      </c>
      <c r="U854">
        <v>2</v>
      </c>
      <c r="V854">
        <v>54</v>
      </c>
      <c r="W854">
        <v>3</v>
      </c>
      <c r="X854">
        <v>1</v>
      </c>
      <c r="Y854" s="1" t="s">
        <v>6</v>
      </c>
      <c r="Z854">
        <v>4</v>
      </c>
      <c r="AA854">
        <v>3131</v>
      </c>
      <c r="AB854">
        <v>26342</v>
      </c>
      <c r="AC854" s="1" t="s">
        <v>19</v>
      </c>
      <c r="AD854">
        <v>13</v>
      </c>
      <c r="AE854">
        <v>3</v>
      </c>
      <c r="AF854">
        <v>1</v>
      </c>
      <c r="AG854">
        <v>80</v>
      </c>
      <c r="AH854">
        <v>1</v>
      </c>
      <c r="AI854">
        <v>3</v>
      </c>
      <c r="AJ854">
        <v>0</v>
      </c>
      <c r="AK854" s="1" t="s">
        <v>136</v>
      </c>
    </row>
    <row r="855" spans="1:37" x14ac:dyDescent="0.25">
      <c r="A855">
        <v>1193</v>
      </c>
      <c r="B855">
        <v>19</v>
      </c>
      <c r="C855" s="1" t="s">
        <v>25</v>
      </c>
      <c r="D855" s="1" t="s">
        <v>71</v>
      </c>
      <c r="E855">
        <v>2</v>
      </c>
      <c r="F855" s="1" t="s">
        <v>134</v>
      </c>
      <c r="G855">
        <v>1</v>
      </c>
      <c r="H855" s="1" t="s">
        <v>18</v>
      </c>
      <c r="I855">
        <v>1</v>
      </c>
      <c r="J855">
        <v>4</v>
      </c>
      <c r="K855">
        <v>1</v>
      </c>
      <c r="L855">
        <v>1</v>
      </c>
      <c r="M855">
        <v>0</v>
      </c>
      <c r="N855">
        <v>0</v>
      </c>
      <c r="O855" s="1" t="s">
        <v>19</v>
      </c>
      <c r="P855" s="1" t="s">
        <v>135</v>
      </c>
      <c r="Q855">
        <v>645</v>
      </c>
      <c r="R855" s="1" t="s">
        <v>63</v>
      </c>
      <c r="S855">
        <v>9</v>
      </c>
      <c r="T855">
        <v>1</v>
      </c>
      <c r="U855">
        <v>3</v>
      </c>
      <c r="V855">
        <v>54</v>
      </c>
      <c r="W855">
        <v>3</v>
      </c>
      <c r="X855">
        <v>1</v>
      </c>
      <c r="Y855" s="1" t="s">
        <v>5</v>
      </c>
      <c r="Z855">
        <v>1</v>
      </c>
      <c r="AA855">
        <v>2552</v>
      </c>
      <c r="AB855">
        <v>7172</v>
      </c>
      <c r="AC855" s="1" t="s">
        <v>19</v>
      </c>
      <c r="AD855">
        <v>25</v>
      </c>
      <c r="AE855">
        <v>4</v>
      </c>
      <c r="AF855">
        <v>3</v>
      </c>
      <c r="AG855">
        <v>80</v>
      </c>
      <c r="AH855">
        <v>0</v>
      </c>
      <c r="AI855">
        <v>3</v>
      </c>
      <c r="AJ855">
        <v>0</v>
      </c>
      <c r="AK855" s="1" t="s">
        <v>136</v>
      </c>
    </row>
    <row r="856" spans="1:37" x14ac:dyDescent="0.25">
      <c r="A856">
        <v>1195</v>
      </c>
      <c r="B856">
        <v>45</v>
      </c>
      <c r="C856" s="1" t="s">
        <v>24</v>
      </c>
      <c r="D856" s="1" t="s">
        <v>70</v>
      </c>
      <c r="E856">
        <v>3</v>
      </c>
      <c r="F856" s="1" t="s">
        <v>139</v>
      </c>
      <c r="G856">
        <v>4</v>
      </c>
      <c r="H856" s="1" t="s">
        <v>18</v>
      </c>
      <c r="I856">
        <v>7</v>
      </c>
      <c r="J856">
        <v>2</v>
      </c>
      <c r="K856">
        <v>3</v>
      </c>
      <c r="L856">
        <v>2</v>
      </c>
      <c r="M856">
        <v>0</v>
      </c>
      <c r="N856">
        <v>2</v>
      </c>
      <c r="O856" s="1" t="s">
        <v>19</v>
      </c>
      <c r="P856" s="1" t="s">
        <v>135</v>
      </c>
      <c r="Q856">
        <v>1457</v>
      </c>
      <c r="R856" s="1" t="s">
        <v>63</v>
      </c>
      <c r="S856">
        <v>7</v>
      </c>
      <c r="T856">
        <v>1</v>
      </c>
      <c r="U856">
        <v>1</v>
      </c>
      <c r="V856">
        <v>83</v>
      </c>
      <c r="W856">
        <v>3</v>
      </c>
      <c r="X856">
        <v>1</v>
      </c>
      <c r="Y856" s="1" t="s">
        <v>5</v>
      </c>
      <c r="Z856">
        <v>3</v>
      </c>
      <c r="AA856">
        <v>4477</v>
      </c>
      <c r="AB856">
        <v>20100</v>
      </c>
      <c r="AC856" s="1" t="s">
        <v>18</v>
      </c>
      <c r="AD856">
        <v>19</v>
      </c>
      <c r="AE856">
        <v>3</v>
      </c>
      <c r="AF856">
        <v>3</v>
      </c>
      <c r="AG856">
        <v>80</v>
      </c>
      <c r="AH856">
        <v>1</v>
      </c>
      <c r="AI856">
        <v>2</v>
      </c>
      <c r="AJ856">
        <v>0</v>
      </c>
      <c r="AK856" s="1" t="s">
        <v>136</v>
      </c>
    </row>
    <row r="857" spans="1:37" x14ac:dyDescent="0.25">
      <c r="A857">
        <v>1196</v>
      </c>
      <c r="B857">
        <v>37</v>
      </c>
      <c r="C857" s="1" t="s">
        <v>24</v>
      </c>
      <c r="D857" s="1" t="s">
        <v>70</v>
      </c>
      <c r="E857">
        <v>3</v>
      </c>
      <c r="F857" s="1" t="s">
        <v>134</v>
      </c>
      <c r="G857">
        <v>1</v>
      </c>
      <c r="H857" s="1" t="s">
        <v>18</v>
      </c>
      <c r="I857">
        <v>14</v>
      </c>
      <c r="J857">
        <v>2</v>
      </c>
      <c r="K857">
        <v>14</v>
      </c>
      <c r="L857">
        <v>8</v>
      </c>
      <c r="M857">
        <v>3</v>
      </c>
      <c r="N857">
        <v>11</v>
      </c>
      <c r="O857" s="1" t="s">
        <v>19</v>
      </c>
      <c r="P857" s="1" t="s">
        <v>135</v>
      </c>
      <c r="Q857">
        <v>977</v>
      </c>
      <c r="R857" s="1" t="s">
        <v>63</v>
      </c>
      <c r="S857">
        <v>1</v>
      </c>
      <c r="T857">
        <v>1</v>
      </c>
      <c r="U857">
        <v>4</v>
      </c>
      <c r="V857">
        <v>56</v>
      </c>
      <c r="W857">
        <v>2</v>
      </c>
      <c r="X857">
        <v>2</v>
      </c>
      <c r="Y857" s="1" t="s">
        <v>7</v>
      </c>
      <c r="Z857">
        <v>4</v>
      </c>
      <c r="AA857">
        <v>6474</v>
      </c>
      <c r="AB857">
        <v>9961</v>
      </c>
      <c r="AC857" s="1" t="s">
        <v>19</v>
      </c>
      <c r="AD857">
        <v>13</v>
      </c>
      <c r="AE857">
        <v>3</v>
      </c>
      <c r="AF857">
        <v>2</v>
      </c>
      <c r="AG857">
        <v>80</v>
      </c>
      <c r="AH857">
        <v>1</v>
      </c>
      <c r="AI857">
        <v>2</v>
      </c>
      <c r="AJ857">
        <v>0</v>
      </c>
      <c r="AK857" s="1" t="s">
        <v>136</v>
      </c>
    </row>
    <row r="858" spans="1:37" x14ac:dyDescent="0.25">
      <c r="A858">
        <v>1198</v>
      </c>
      <c r="B858">
        <v>20</v>
      </c>
      <c r="C858" s="1" t="s">
        <v>25</v>
      </c>
      <c r="D858" s="1" t="s">
        <v>71</v>
      </c>
      <c r="E858">
        <v>3</v>
      </c>
      <c r="F858" s="1" t="s">
        <v>134</v>
      </c>
      <c r="G858">
        <v>1</v>
      </c>
      <c r="H858" s="1" t="s">
        <v>18</v>
      </c>
      <c r="I858">
        <v>2</v>
      </c>
      <c r="J858">
        <v>2</v>
      </c>
      <c r="K858">
        <v>2</v>
      </c>
      <c r="L858">
        <v>2</v>
      </c>
      <c r="M858">
        <v>1</v>
      </c>
      <c r="N858">
        <v>2</v>
      </c>
      <c r="O858" s="1" t="s">
        <v>19</v>
      </c>
      <c r="P858" s="1" t="s">
        <v>135</v>
      </c>
      <c r="Q858">
        <v>805</v>
      </c>
      <c r="R858" s="1" t="s">
        <v>63</v>
      </c>
      <c r="S858">
        <v>3</v>
      </c>
      <c r="T858">
        <v>1</v>
      </c>
      <c r="U858">
        <v>1</v>
      </c>
      <c r="V858">
        <v>87</v>
      </c>
      <c r="W858">
        <v>2</v>
      </c>
      <c r="X858">
        <v>1</v>
      </c>
      <c r="Y858" s="1" t="s">
        <v>6</v>
      </c>
      <c r="Z858">
        <v>3</v>
      </c>
      <c r="AA858">
        <v>3033</v>
      </c>
      <c r="AB858">
        <v>12828</v>
      </c>
      <c r="AC858" s="1" t="s">
        <v>19</v>
      </c>
      <c r="AD858">
        <v>12</v>
      </c>
      <c r="AE858">
        <v>3</v>
      </c>
      <c r="AF858">
        <v>1</v>
      </c>
      <c r="AG858">
        <v>80</v>
      </c>
      <c r="AH858">
        <v>0</v>
      </c>
      <c r="AI858">
        <v>2</v>
      </c>
      <c r="AJ858">
        <v>0</v>
      </c>
      <c r="AK858" s="1" t="s">
        <v>136</v>
      </c>
    </row>
    <row r="859" spans="1:37" x14ac:dyDescent="0.25">
      <c r="A859">
        <v>1200</v>
      </c>
      <c r="B859">
        <v>44</v>
      </c>
      <c r="C859" s="1" t="s">
        <v>25</v>
      </c>
      <c r="D859" s="1" t="s">
        <v>71</v>
      </c>
      <c r="E859">
        <v>4</v>
      </c>
      <c r="F859" s="1" t="s">
        <v>134</v>
      </c>
      <c r="G859">
        <v>1</v>
      </c>
      <c r="H859" s="1" t="s">
        <v>18</v>
      </c>
      <c r="I859">
        <v>6</v>
      </c>
      <c r="J859">
        <v>4</v>
      </c>
      <c r="K859">
        <v>6</v>
      </c>
      <c r="L859">
        <v>4</v>
      </c>
      <c r="M859">
        <v>0</v>
      </c>
      <c r="N859">
        <v>2</v>
      </c>
      <c r="O859" s="1" t="s">
        <v>18</v>
      </c>
      <c r="P859" s="1" t="s">
        <v>135</v>
      </c>
      <c r="Q859">
        <v>1097</v>
      </c>
      <c r="R859" s="1" t="s">
        <v>63</v>
      </c>
      <c r="S859">
        <v>10</v>
      </c>
      <c r="T859">
        <v>1</v>
      </c>
      <c r="U859">
        <v>3</v>
      </c>
      <c r="V859">
        <v>96</v>
      </c>
      <c r="W859">
        <v>3</v>
      </c>
      <c r="X859">
        <v>1</v>
      </c>
      <c r="Y859" s="1" t="s">
        <v>5</v>
      </c>
      <c r="Z859">
        <v>3</v>
      </c>
      <c r="AA859">
        <v>2936</v>
      </c>
      <c r="AB859">
        <v>10826</v>
      </c>
      <c r="AC859" s="1" t="s">
        <v>18</v>
      </c>
      <c r="AD859">
        <v>11</v>
      </c>
      <c r="AE859">
        <v>3</v>
      </c>
      <c r="AF859">
        <v>3</v>
      </c>
      <c r="AG859">
        <v>80</v>
      </c>
      <c r="AH859">
        <v>0</v>
      </c>
      <c r="AI859">
        <v>3</v>
      </c>
      <c r="AJ859">
        <v>1</v>
      </c>
      <c r="AK859" s="1" t="s">
        <v>136</v>
      </c>
    </row>
    <row r="860" spans="1:37" x14ac:dyDescent="0.25">
      <c r="A860">
        <v>1201</v>
      </c>
      <c r="B860">
        <v>53</v>
      </c>
      <c r="C860" s="1" t="s">
        <v>24</v>
      </c>
      <c r="D860" s="1" t="s">
        <v>69</v>
      </c>
      <c r="E860">
        <v>2</v>
      </c>
      <c r="F860" s="1" t="s">
        <v>139</v>
      </c>
      <c r="G860">
        <v>3</v>
      </c>
      <c r="H860" s="1" t="s">
        <v>18</v>
      </c>
      <c r="I860">
        <v>26</v>
      </c>
      <c r="J860">
        <v>6</v>
      </c>
      <c r="K860">
        <v>7</v>
      </c>
      <c r="L860">
        <v>7</v>
      </c>
      <c r="M860">
        <v>4</v>
      </c>
      <c r="N860">
        <v>7</v>
      </c>
      <c r="O860" s="1" t="s">
        <v>19</v>
      </c>
      <c r="P860" s="1" t="s">
        <v>135</v>
      </c>
      <c r="Q860">
        <v>1223</v>
      </c>
      <c r="R860" s="1" t="s">
        <v>63</v>
      </c>
      <c r="S860">
        <v>7</v>
      </c>
      <c r="T860">
        <v>1</v>
      </c>
      <c r="U860">
        <v>4</v>
      </c>
      <c r="V860">
        <v>50</v>
      </c>
      <c r="W860">
        <v>3</v>
      </c>
      <c r="X860">
        <v>5</v>
      </c>
      <c r="Y860" s="1" t="s">
        <v>9</v>
      </c>
      <c r="Z860">
        <v>3</v>
      </c>
      <c r="AA860">
        <v>18606</v>
      </c>
      <c r="AB860">
        <v>18640</v>
      </c>
      <c r="AC860" s="1" t="s">
        <v>19</v>
      </c>
      <c r="AD860">
        <v>18</v>
      </c>
      <c r="AE860">
        <v>3</v>
      </c>
      <c r="AF860">
        <v>2</v>
      </c>
      <c r="AG860">
        <v>80</v>
      </c>
      <c r="AH860">
        <v>1</v>
      </c>
      <c r="AI860">
        <v>3</v>
      </c>
      <c r="AJ860">
        <v>0</v>
      </c>
      <c r="AK860" s="1" t="s">
        <v>140</v>
      </c>
    </row>
    <row r="861" spans="1:37" x14ac:dyDescent="0.25">
      <c r="A861">
        <v>1202</v>
      </c>
      <c r="B861">
        <v>29</v>
      </c>
      <c r="C861" s="1" t="s">
        <v>24</v>
      </c>
      <c r="D861" s="1" t="s">
        <v>70</v>
      </c>
      <c r="E861">
        <v>1</v>
      </c>
      <c r="F861" s="1" t="s">
        <v>134</v>
      </c>
      <c r="G861">
        <v>0</v>
      </c>
      <c r="H861" s="1" t="s">
        <v>18</v>
      </c>
      <c r="I861">
        <v>6</v>
      </c>
      <c r="J861">
        <v>2</v>
      </c>
      <c r="K861">
        <v>5</v>
      </c>
      <c r="L861">
        <v>4</v>
      </c>
      <c r="M861">
        <v>1</v>
      </c>
      <c r="N861">
        <v>3</v>
      </c>
      <c r="O861" s="1" t="s">
        <v>19</v>
      </c>
      <c r="P861" s="1" t="s">
        <v>135</v>
      </c>
      <c r="Q861">
        <v>942</v>
      </c>
      <c r="R861" s="1" t="s">
        <v>63</v>
      </c>
      <c r="S861">
        <v>15</v>
      </c>
      <c r="T861">
        <v>1</v>
      </c>
      <c r="U861">
        <v>2</v>
      </c>
      <c r="V861">
        <v>69</v>
      </c>
      <c r="W861">
        <v>1</v>
      </c>
      <c r="X861">
        <v>1</v>
      </c>
      <c r="Y861" s="1" t="s">
        <v>5</v>
      </c>
      <c r="Z861">
        <v>4</v>
      </c>
      <c r="AA861">
        <v>2168</v>
      </c>
      <c r="AB861">
        <v>26933</v>
      </c>
      <c r="AC861" s="1" t="s">
        <v>18</v>
      </c>
      <c r="AD861">
        <v>18</v>
      </c>
      <c r="AE861">
        <v>3</v>
      </c>
      <c r="AF861">
        <v>1</v>
      </c>
      <c r="AG861">
        <v>80</v>
      </c>
      <c r="AH861">
        <v>1</v>
      </c>
      <c r="AI861">
        <v>2</v>
      </c>
      <c r="AJ861">
        <v>0</v>
      </c>
      <c r="AK861" s="1" t="s">
        <v>136</v>
      </c>
    </row>
    <row r="862" spans="1:37" x14ac:dyDescent="0.25">
      <c r="A862">
        <v>1203</v>
      </c>
      <c r="B862">
        <v>22</v>
      </c>
      <c r="C862" s="1" t="s">
        <v>25</v>
      </c>
      <c r="D862" s="1" t="s">
        <v>70</v>
      </c>
      <c r="E862">
        <v>4</v>
      </c>
      <c r="F862" s="1" t="s">
        <v>134</v>
      </c>
      <c r="G862">
        <v>0</v>
      </c>
      <c r="H862" s="1" t="s">
        <v>18</v>
      </c>
      <c r="I862">
        <v>1</v>
      </c>
      <c r="J862">
        <v>5</v>
      </c>
      <c r="K862">
        <v>0</v>
      </c>
      <c r="L862">
        <v>0</v>
      </c>
      <c r="M862">
        <v>0</v>
      </c>
      <c r="N862">
        <v>0</v>
      </c>
      <c r="O862" s="1" t="s">
        <v>18</v>
      </c>
      <c r="P862" s="1" t="s">
        <v>137</v>
      </c>
      <c r="Q862">
        <v>1256</v>
      </c>
      <c r="R862" s="1" t="s">
        <v>63</v>
      </c>
      <c r="S862">
        <v>3</v>
      </c>
      <c r="T862">
        <v>1</v>
      </c>
      <c r="U862">
        <v>3</v>
      </c>
      <c r="V862">
        <v>48</v>
      </c>
      <c r="W862">
        <v>2</v>
      </c>
      <c r="X862">
        <v>1</v>
      </c>
      <c r="Y862" s="1" t="s">
        <v>5</v>
      </c>
      <c r="Z862">
        <v>4</v>
      </c>
      <c r="AA862">
        <v>2853</v>
      </c>
      <c r="AB862">
        <v>4223</v>
      </c>
      <c r="AC862" s="1" t="s">
        <v>18</v>
      </c>
      <c r="AD862">
        <v>11</v>
      </c>
      <c r="AE862">
        <v>3</v>
      </c>
      <c r="AF862">
        <v>2</v>
      </c>
      <c r="AG862">
        <v>80</v>
      </c>
      <c r="AH862">
        <v>1</v>
      </c>
      <c r="AI862">
        <v>3</v>
      </c>
      <c r="AJ862">
        <v>1</v>
      </c>
      <c r="AK862" s="1" t="s">
        <v>136</v>
      </c>
    </row>
    <row r="863" spans="1:37" x14ac:dyDescent="0.25">
      <c r="A863">
        <v>1204</v>
      </c>
      <c r="B863">
        <v>46</v>
      </c>
      <c r="C863" s="1" t="s">
        <v>24</v>
      </c>
      <c r="D863" s="1" t="s">
        <v>70</v>
      </c>
      <c r="E863">
        <v>3</v>
      </c>
      <c r="F863" s="1" t="s">
        <v>142</v>
      </c>
      <c r="G863">
        <v>8</v>
      </c>
      <c r="H863" s="1" t="s">
        <v>18</v>
      </c>
      <c r="I863">
        <v>28</v>
      </c>
      <c r="J863">
        <v>2</v>
      </c>
      <c r="K863">
        <v>26</v>
      </c>
      <c r="L863">
        <v>15</v>
      </c>
      <c r="M863">
        <v>15</v>
      </c>
      <c r="N863">
        <v>9</v>
      </c>
      <c r="O863" s="1" t="s">
        <v>19</v>
      </c>
      <c r="P863" s="1" t="s">
        <v>135</v>
      </c>
      <c r="Q863">
        <v>1402</v>
      </c>
      <c r="R863" s="1" t="s">
        <v>64</v>
      </c>
      <c r="S863">
        <v>2</v>
      </c>
      <c r="T863">
        <v>1</v>
      </c>
      <c r="U863">
        <v>3</v>
      </c>
      <c r="V863">
        <v>69</v>
      </c>
      <c r="W863">
        <v>3</v>
      </c>
      <c r="X863">
        <v>4</v>
      </c>
      <c r="Y863" s="1" t="s">
        <v>9</v>
      </c>
      <c r="Z863">
        <v>1</v>
      </c>
      <c r="AA863">
        <v>17048</v>
      </c>
      <c r="AB863">
        <v>24097</v>
      </c>
      <c r="AC863" s="1" t="s">
        <v>19</v>
      </c>
      <c r="AD863">
        <v>23</v>
      </c>
      <c r="AE863">
        <v>4</v>
      </c>
      <c r="AF863">
        <v>1</v>
      </c>
      <c r="AG863">
        <v>80</v>
      </c>
      <c r="AH863">
        <v>0</v>
      </c>
      <c r="AI863">
        <v>3</v>
      </c>
      <c r="AJ863">
        <v>0</v>
      </c>
      <c r="AK863" s="1" t="s">
        <v>136</v>
      </c>
    </row>
    <row r="864" spans="1:37" x14ac:dyDescent="0.25">
      <c r="A864">
        <v>1206</v>
      </c>
      <c r="B864">
        <v>44</v>
      </c>
      <c r="C864" s="1" t="s">
        <v>25</v>
      </c>
      <c r="D864" s="1" t="s">
        <v>71</v>
      </c>
      <c r="E864">
        <v>3</v>
      </c>
      <c r="F864" s="1" t="s">
        <v>134</v>
      </c>
      <c r="G864">
        <v>2</v>
      </c>
      <c r="H864" s="1" t="s">
        <v>18</v>
      </c>
      <c r="I864">
        <v>6</v>
      </c>
      <c r="J864">
        <v>3</v>
      </c>
      <c r="K864">
        <v>0</v>
      </c>
      <c r="L864">
        <v>0</v>
      </c>
      <c r="M864">
        <v>0</v>
      </c>
      <c r="N864">
        <v>0</v>
      </c>
      <c r="O864" s="1" t="s">
        <v>19</v>
      </c>
      <c r="P864" s="1" t="s">
        <v>141</v>
      </c>
      <c r="Q864">
        <v>111</v>
      </c>
      <c r="R864" s="1" t="s">
        <v>63</v>
      </c>
      <c r="S864">
        <v>17</v>
      </c>
      <c r="T864">
        <v>1</v>
      </c>
      <c r="U864">
        <v>4</v>
      </c>
      <c r="V864">
        <v>74</v>
      </c>
      <c r="W864">
        <v>1</v>
      </c>
      <c r="X864">
        <v>1</v>
      </c>
      <c r="Y864" s="1" t="s">
        <v>5</v>
      </c>
      <c r="Z864">
        <v>3</v>
      </c>
      <c r="AA864">
        <v>2290</v>
      </c>
      <c r="AB864">
        <v>4279</v>
      </c>
      <c r="AC864" s="1" t="s">
        <v>19</v>
      </c>
      <c r="AD864">
        <v>13</v>
      </c>
      <c r="AE864">
        <v>3</v>
      </c>
      <c r="AF864">
        <v>4</v>
      </c>
      <c r="AG864">
        <v>80</v>
      </c>
      <c r="AH864">
        <v>0</v>
      </c>
      <c r="AI864">
        <v>3</v>
      </c>
      <c r="AJ864">
        <v>0</v>
      </c>
      <c r="AK864" s="1" t="s">
        <v>136</v>
      </c>
    </row>
    <row r="865" spans="1:37" x14ac:dyDescent="0.25">
      <c r="A865">
        <v>1207</v>
      </c>
      <c r="B865">
        <v>33</v>
      </c>
      <c r="C865" s="1" t="s">
        <v>25</v>
      </c>
      <c r="D865" s="1" t="s">
        <v>70</v>
      </c>
      <c r="E865">
        <v>3</v>
      </c>
      <c r="F865" s="1" t="s">
        <v>12</v>
      </c>
      <c r="G865">
        <v>1</v>
      </c>
      <c r="H865" s="1" t="s">
        <v>18</v>
      </c>
      <c r="I865">
        <v>5</v>
      </c>
      <c r="J865">
        <v>2</v>
      </c>
      <c r="K865">
        <v>5</v>
      </c>
      <c r="L865">
        <v>4</v>
      </c>
      <c r="M865">
        <v>1</v>
      </c>
      <c r="N865">
        <v>4</v>
      </c>
      <c r="O865" s="1" t="s">
        <v>19</v>
      </c>
      <c r="P865" s="1" t="s">
        <v>135</v>
      </c>
      <c r="Q865">
        <v>147</v>
      </c>
      <c r="R865" s="1" t="s">
        <v>12</v>
      </c>
      <c r="S865">
        <v>2</v>
      </c>
      <c r="T865">
        <v>1</v>
      </c>
      <c r="U865">
        <v>2</v>
      </c>
      <c r="V865">
        <v>99</v>
      </c>
      <c r="W865">
        <v>3</v>
      </c>
      <c r="X865">
        <v>1</v>
      </c>
      <c r="Y865" s="1" t="s">
        <v>12</v>
      </c>
      <c r="Z865">
        <v>3</v>
      </c>
      <c r="AA865">
        <v>3600</v>
      </c>
      <c r="AB865">
        <v>8429</v>
      </c>
      <c r="AC865" s="1" t="s">
        <v>19</v>
      </c>
      <c r="AD865">
        <v>13</v>
      </c>
      <c r="AE865">
        <v>3</v>
      </c>
      <c r="AF865">
        <v>4</v>
      </c>
      <c r="AG865">
        <v>80</v>
      </c>
      <c r="AH865">
        <v>1</v>
      </c>
      <c r="AI865">
        <v>3</v>
      </c>
      <c r="AJ865">
        <v>0</v>
      </c>
      <c r="AK865" s="1" t="s">
        <v>136</v>
      </c>
    </row>
    <row r="866" spans="1:37" x14ac:dyDescent="0.25">
      <c r="A866">
        <v>1210</v>
      </c>
      <c r="B866">
        <v>41</v>
      </c>
      <c r="C866" s="1" t="s">
        <v>25</v>
      </c>
      <c r="D866" s="1" t="s">
        <v>69</v>
      </c>
      <c r="E866">
        <v>2</v>
      </c>
      <c r="F866" s="1" t="s">
        <v>134</v>
      </c>
      <c r="G866">
        <v>6</v>
      </c>
      <c r="H866" s="1" t="s">
        <v>18</v>
      </c>
      <c r="I866">
        <v>5</v>
      </c>
      <c r="J866">
        <v>2</v>
      </c>
      <c r="K866">
        <v>1</v>
      </c>
      <c r="L866">
        <v>0</v>
      </c>
      <c r="M866">
        <v>0</v>
      </c>
      <c r="N866">
        <v>0</v>
      </c>
      <c r="O866" s="1" t="s">
        <v>18</v>
      </c>
      <c r="P866" s="1" t="s">
        <v>141</v>
      </c>
      <c r="Q866">
        <v>906</v>
      </c>
      <c r="R866" s="1" t="s">
        <v>63</v>
      </c>
      <c r="S866">
        <v>5</v>
      </c>
      <c r="T866">
        <v>1</v>
      </c>
      <c r="U866">
        <v>1</v>
      </c>
      <c r="V866">
        <v>95</v>
      </c>
      <c r="W866">
        <v>2</v>
      </c>
      <c r="X866">
        <v>1</v>
      </c>
      <c r="Y866" s="1" t="s">
        <v>5</v>
      </c>
      <c r="Z866">
        <v>1</v>
      </c>
      <c r="AA866">
        <v>2107</v>
      </c>
      <c r="AB866">
        <v>20293</v>
      </c>
      <c r="AC866" s="1" t="s">
        <v>19</v>
      </c>
      <c r="AD866">
        <v>17</v>
      </c>
      <c r="AE866">
        <v>3</v>
      </c>
      <c r="AF866">
        <v>1</v>
      </c>
      <c r="AG866">
        <v>80</v>
      </c>
      <c r="AH866">
        <v>1</v>
      </c>
      <c r="AI866">
        <v>1</v>
      </c>
      <c r="AJ866">
        <v>1</v>
      </c>
      <c r="AK866" s="1" t="s">
        <v>136</v>
      </c>
    </row>
    <row r="867" spans="1:37" x14ac:dyDescent="0.25">
      <c r="A867">
        <v>1211</v>
      </c>
      <c r="B867">
        <v>30</v>
      </c>
      <c r="C867" s="1" t="s">
        <v>25</v>
      </c>
      <c r="D867" s="1" t="s">
        <v>69</v>
      </c>
      <c r="E867">
        <v>4</v>
      </c>
      <c r="F867" s="1" t="s">
        <v>134</v>
      </c>
      <c r="G867">
        <v>8</v>
      </c>
      <c r="H867" s="1" t="s">
        <v>18</v>
      </c>
      <c r="I867">
        <v>8</v>
      </c>
      <c r="J867">
        <v>3</v>
      </c>
      <c r="K867">
        <v>4</v>
      </c>
      <c r="L867">
        <v>3</v>
      </c>
      <c r="M867">
        <v>0</v>
      </c>
      <c r="N867">
        <v>3</v>
      </c>
      <c r="O867" s="1" t="s">
        <v>19</v>
      </c>
      <c r="P867" s="1" t="s">
        <v>135</v>
      </c>
      <c r="Q867">
        <v>1329</v>
      </c>
      <c r="R867" s="1" t="s">
        <v>64</v>
      </c>
      <c r="S867">
        <v>29</v>
      </c>
      <c r="T867">
        <v>1</v>
      </c>
      <c r="U867">
        <v>3</v>
      </c>
      <c r="V867">
        <v>61</v>
      </c>
      <c r="W867">
        <v>3</v>
      </c>
      <c r="X867">
        <v>2</v>
      </c>
      <c r="Y867" s="1" t="s">
        <v>4</v>
      </c>
      <c r="Z867">
        <v>1</v>
      </c>
      <c r="AA867">
        <v>4115</v>
      </c>
      <c r="AB867">
        <v>13192</v>
      </c>
      <c r="AC867" s="1" t="s">
        <v>19</v>
      </c>
      <c r="AD867">
        <v>19</v>
      </c>
      <c r="AE867">
        <v>3</v>
      </c>
      <c r="AF867">
        <v>3</v>
      </c>
      <c r="AG867">
        <v>80</v>
      </c>
      <c r="AH867">
        <v>3</v>
      </c>
      <c r="AI867">
        <v>3</v>
      </c>
      <c r="AJ867">
        <v>0</v>
      </c>
      <c r="AK867" s="1" t="s">
        <v>136</v>
      </c>
    </row>
    <row r="868" spans="1:37" x14ac:dyDescent="0.25">
      <c r="A868">
        <v>1212</v>
      </c>
      <c r="B868">
        <v>40</v>
      </c>
      <c r="C868" s="1" t="s">
        <v>25</v>
      </c>
      <c r="D868" s="1" t="s">
        <v>70</v>
      </c>
      <c r="E868">
        <v>4</v>
      </c>
      <c r="F868" s="1" t="s">
        <v>139</v>
      </c>
      <c r="G868">
        <v>5</v>
      </c>
      <c r="H868" s="1" t="s">
        <v>18</v>
      </c>
      <c r="I868">
        <v>5</v>
      </c>
      <c r="J868">
        <v>2</v>
      </c>
      <c r="K868">
        <v>0</v>
      </c>
      <c r="L868">
        <v>0</v>
      </c>
      <c r="M868">
        <v>0</v>
      </c>
      <c r="N868">
        <v>0</v>
      </c>
      <c r="O868" s="1" t="s">
        <v>19</v>
      </c>
      <c r="P868" s="1" t="s">
        <v>137</v>
      </c>
      <c r="Q868">
        <v>1184</v>
      </c>
      <c r="R868" s="1" t="s">
        <v>64</v>
      </c>
      <c r="S868">
        <v>2</v>
      </c>
      <c r="T868">
        <v>1</v>
      </c>
      <c r="U868">
        <v>2</v>
      </c>
      <c r="V868">
        <v>62</v>
      </c>
      <c r="W868">
        <v>3</v>
      </c>
      <c r="X868">
        <v>2</v>
      </c>
      <c r="Y868" s="1" t="s">
        <v>4</v>
      </c>
      <c r="Z868">
        <v>2</v>
      </c>
      <c r="AA868">
        <v>4327</v>
      </c>
      <c r="AB868">
        <v>25440</v>
      </c>
      <c r="AC868" s="1" t="s">
        <v>19</v>
      </c>
      <c r="AD868">
        <v>12</v>
      </c>
      <c r="AE868">
        <v>3</v>
      </c>
      <c r="AF868">
        <v>4</v>
      </c>
      <c r="AG868">
        <v>80</v>
      </c>
      <c r="AH868">
        <v>3</v>
      </c>
      <c r="AI868">
        <v>3</v>
      </c>
      <c r="AJ868">
        <v>0</v>
      </c>
      <c r="AK868" s="1" t="s">
        <v>136</v>
      </c>
    </row>
    <row r="869" spans="1:37" x14ac:dyDescent="0.25">
      <c r="A869">
        <v>1215</v>
      </c>
      <c r="B869">
        <v>50</v>
      </c>
      <c r="C869" s="1" t="s">
        <v>24</v>
      </c>
      <c r="D869" s="1" t="s">
        <v>70</v>
      </c>
      <c r="E869">
        <v>3</v>
      </c>
      <c r="F869" s="1" t="s">
        <v>139</v>
      </c>
      <c r="G869">
        <v>2</v>
      </c>
      <c r="H869" s="1" t="s">
        <v>18</v>
      </c>
      <c r="I869">
        <v>32</v>
      </c>
      <c r="J869">
        <v>3</v>
      </c>
      <c r="K869">
        <v>2</v>
      </c>
      <c r="L869">
        <v>2</v>
      </c>
      <c r="M869">
        <v>2</v>
      </c>
      <c r="N869">
        <v>2</v>
      </c>
      <c r="O869" s="1" t="s">
        <v>19</v>
      </c>
      <c r="P869" s="1" t="s">
        <v>137</v>
      </c>
      <c r="Q869">
        <v>1421</v>
      </c>
      <c r="R869" s="1" t="s">
        <v>63</v>
      </c>
      <c r="S869">
        <v>2</v>
      </c>
      <c r="T869">
        <v>1</v>
      </c>
      <c r="U869">
        <v>4</v>
      </c>
      <c r="V869">
        <v>30</v>
      </c>
      <c r="W869">
        <v>3</v>
      </c>
      <c r="X869">
        <v>4</v>
      </c>
      <c r="Y869" s="1" t="s">
        <v>9</v>
      </c>
      <c r="Z869">
        <v>1</v>
      </c>
      <c r="AA869">
        <v>17856</v>
      </c>
      <c r="AB869">
        <v>9490</v>
      </c>
      <c r="AC869" s="1" t="s">
        <v>19</v>
      </c>
      <c r="AD869">
        <v>22</v>
      </c>
      <c r="AE869">
        <v>4</v>
      </c>
      <c r="AF869">
        <v>3</v>
      </c>
      <c r="AG869">
        <v>80</v>
      </c>
      <c r="AH869">
        <v>1</v>
      </c>
      <c r="AI869">
        <v>3</v>
      </c>
      <c r="AJ869">
        <v>0</v>
      </c>
      <c r="AK869" s="1" t="s">
        <v>140</v>
      </c>
    </row>
    <row r="870" spans="1:37" x14ac:dyDescent="0.25">
      <c r="A870">
        <v>1216</v>
      </c>
      <c r="B870">
        <v>28</v>
      </c>
      <c r="C870" s="1" t="s">
        <v>25</v>
      </c>
      <c r="D870" s="1" t="s">
        <v>70</v>
      </c>
      <c r="E870">
        <v>4</v>
      </c>
      <c r="F870" s="1" t="s">
        <v>139</v>
      </c>
      <c r="G870">
        <v>1</v>
      </c>
      <c r="H870" s="1" t="s">
        <v>18</v>
      </c>
      <c r="I870">
        <v>6</v>
      </c>
      <c r="J870">
        <v>2</v>
      </c>
      <c r="K870">
        <v>6</v>
      </c>
      <c r="L870">
        <v>5</v>
      </c>
      <c r="M870">
        <v>3</v>
      </c>
      <c r="N870">
        <v>3</v>
      </c>
      <c r="O870" s="1" t="s">
        <v>19</v>
      </c>
      <c r="P870" s="1" t="s">
        <v>135</v>
      </c>
      <c r="Q870">
        <v>1179</v>
      </c>
      <c r="R870" s="1" t="s">
        <v>63</v>
      </c>
      <c r="S870">
        <v>19</v>
      </c>
      <c r="T870">
        <v>1</v>
      </c>
      <c r="U870">
        <v>4</v>
      </c>
      <c r="V870">
        <v>78</v>
      </c>
      <c r="W870">
        <v>2</v>
      </c>
      <c r="X870">
        <v>1</v>
      </c>
      <c r="Y870" s="1" t="s">
        <v>6</v>
      </c>
      <c r="Z870">
        <v>1</v>
      </c>
      <c r="AA870">
        <v>3196</v>
      </c>
      <c r="AB870">
        <v>12449</v>
      </c>
      <c r="AC870" s="1" t="s">
        <v>19</v>
      </c>
      <c r="AD870">
        <v>12</v>
      </c>
      <c r="AE870">
        <v>3</v>
      </c>
      <c r="AF870">
        <v>3</v>
      </c>
      <c r="AG870">
        <v>80</v>
      </c>
      <c r="AH870">
        <v>3</v>
      </c>
      <c r="AI870">
        <v>3</v>
      </c>
      <c r="AJ870">
        <v>0</v>
      </c>
      <c r="AK870" s="1" t="s">
        <v>136</v>
      </c>
    </row>
    <row r="871" spans="1:37" x14ac:dyDescent="0.25">
      <c r="A871">
        <v>1217</v>
      </c>
      <c r="B871">
        <v>46</v>
      </c>
      <c r="C871" s="1" t="s">
        <v>25</v>
      </c>
      <c r="D871" s="1" t="s">
        <v>70</v>
      </c>
      <c r="E871">
        <v>2</v>
      </c>
      <c r="F871" s="1" t="s">
        <v>134</v>
      </c>
      <c r="G871">
        <v>5</v>
      </c>
      <c r="H871" s="1" t="s">
        <v>18</v>
      </c>
      <c r="I871">
        <v>25</v>
      </c>
      <c r="J871">
        <v>2</v>
      </c>
      <c r="K871">
        <v>4</v>
      </c>
      <c r="L871">
        <v>2</v>
      </c>
      <c r="M871">
        <v>0</v>
      </c>
      <c r="N871">
        <v>3</v>
      </c>
      <c r="O871" s="1" t="s">
        <v>19</v>
      </c>
      <c r="P871" s="1" t="s">
        <v>135</v>
      </c>
      <c r="Q871">
        <v>1450</v>
      </c>
      <c r="R871" s="1" t="s">
        <v>63</v>
      </c>
      <c r="S871">
        <v>15</v>
      </c>
      <c r="T871">
        <v>1</v>
      </c>
      <c r="U871">
        <v>4</v>
      </c>
      <c r="V871">
        <v>52</v>
      </c>
      <c r="W871">
        <v>3</v>
      </c>
      <c r="X871">
        <v>5</v>
      </c>
      <c r="Y871" s="1" t="s">
        <v>11</v>
      </c>
      <c r="Z871">
        <v>2</v>
      </c>
      <c r="AA871">
        <v>19081</v>
      </c>
      <c r="AB871">
        <v>10849</v>
      </c>
      <c r="AC871" s="1" t="s">
        <v>19</v>
      </c>
      <c r="AD871">
        <v>11</v>
      </c>
      <c r="AE871">
        <v>3</v>
      </c>
      <c r="AF871">
        <v>1</v>
      </c>
      <c r="AG871">
        <v>80</v>
      </c>
      <c r="AH871">
        <v>1</v>
      </c>
      <c r="AI871">
        <v>3</v>
      </c>
      <c r="AJ871">
        <v>0</v>
      </c>
      <c r="AK871" s="1" t="s">
        <v>136</v>
      </c>
    </row>
    <row r="872" spans="1:37" x14ac:dyDescent="0.25">
      <c r="A872">
        <v>1218</v>
      </c>
      <c r="B872">
        <v>35</v>
      </c>
      <c r="C872" s="1" t="s">
        <v>25</v>
      </c>
      <c r="D872" s="1" t="s">
        <v>70</v>
      </c>
      <c r="E872">
        <v>4</v>
      </c>
      <c r="F872" s="1" t="s">
        <v>134</v>
      </c>
      <c r="G872">
        <v>3</v>
      </c>
      <c r="H872" s="1" t="s">
        <v>18</v>
      </c>
      <c r="I872">
        <v>15</v>
      </c>
      <c r="J872">
        <v>2</v>
      </c>
      <c r="K872">
        <v>7</v>
      </c>
      <c r="L872">
        <v>7</v>
      </c>
      <c r="M872">
        <v>1</v>
      </c>
      <c r="N872">
        <v>7</v>
      </c>
      <c r="O872" s="1" t="s">
        <v>19</v>
      </c>
      <c r="P872" s="1" t="s">
        <v>135</v>
      </c>
      <c r="Q872">
        <v>1361</v>
      </c>
      <c r="R872" s="1" t="s">
        <v>64</v>
      </c>
      <c r="S872">
        <v>17</v>
      </c>
      <c r="T872">
        <v>1</v>
      </c>
      <c r="U872">
        <v>3</v>
      </c>
      <c r="V872">
        <v>94</v>
      </c>
      <c r="W872">
        <v>3</v>
      </c>
      <c r="X872">
        <v>2</v>
      </c>
      <c r="Y872" s="1" t="s">
        <v>4</v>
      </c>
      <c r="Z872">
        <v>1</v>
      </c>
      <c r="AA872">
        <v>8966</v>
      </c>
      <c r="AB872">
        <v>21026</v>
      </c>
      <c r="AC872" s="1" t="s">
        <v>18</v>
      </c>
      <c r="AD872">
        <v>15</v>
      </c>
      <c r="AE872">
        <v>3</v>
      </c>
      <c r="AF872">
        <v>4</v>
      </c>
      <c r="AG872">
        <v>80</v>
      </c>
      <c r="AH872">
        <v>3</v>
      </c>
      <c r="AI872">
        <v>3</v>
      </c>
      <c r="AJ872">
        <v>0</v>
      </c>
      <c r="AK872" s="1" t="s">
        <v>136</v>
      </c>
    </row>
    <row r="873" spans="1:37" x14ac:dyDescent="0.25">
      <c r="A873">
        <v>1219</v>
      </c>
      <c r="B873">
        <v>24</v>
      </c>
      <c r="C873" s="1" t="s">
        <v>24</v>
      </c>
      <c r="D873" s="1" t="s">
        <v>70</v>
      </c>
      <c r="E873">
        <v>2</v>
      </c>
      <c r="F873" s="1" t="s">
        <v>134</v>
      </c>
      <c r="G873">
        <v>1</v>
      </c>
      <c r="H873" s="1" t="s">
        <v>18</v>
      </c>
      <c r="I873">
        <v>1</v>
      </c>
      <c r="J873">
        <v>3</v>
      </c>
      <c r="K873">
        <v>1</v>
      </c>
      <c r="L873">
        <v>0</v>
      </c>
      <c r="M873">
        <v>0</v>
      </c>
      <c r="N873">
        <v>0</v>
      </c>
      <c r="O873" s="1" t="s">
        <v>18</v>
      </c>
      <c r="P873" s="1" t="s">
        <v>135</v>
      </c>
      <c r="Q873">
        <v>984</v>
      </c>
      <c r="R873" s="1" t="s">
        <v>63</v>
      </c>
      <c r="S873">
        <v>17</v>
      </c>
      <c r="T873">
        <v>1</v>
      </c>
      <c r="U873">
        <v>4</v>
      </c>
      <c r="V873">
        <v>97</v>
      </c>
      <c r="W873">
        <v>3</v>
      </c>
      <c r="X873">
        <v>1</v>
      </c>
      <c r="Y873" s="1" t="s">
        <v>6</v>
      </c>
      <c r="Z873">
        <v>2</v>
      </c>
      <c r="AA873">
        <v>2210</v>
      </c>
      <c r="AB873">
        <v>3372</v>
      </c>
      <c r="AC873" s="1" t="s">
        <v>19</v>
      </c>
      <c r="AD873">
        <v>13</v>
      </c>
      <c r="AE873">
        <v>3</v>
      </c>
      <c r="AF873">
        <v>1</v>
      </c>
      <c r="AG873">
        <v>80</v>
      </c>
      <c r="AH873">
        <v>1</v>
      </c>
      <c r="AI873">
        <v>1</v>
      </c>
      <c r="AJ873">
        <v>1</v>
      </c>
      <c r="AK873" s="1" t="s">
        <v>136</v>
      </c>
    </row>
    <row r="874" spans="1:37" x14ac:dyDescent="0.25">
      <c r="A874">
        <v>1220</v>
      </c>
      <c r="B874">
        <v>33</v>
      </c>
      <c r="C874" s="1" t="s">
        <v>24</v>
      </c>
      <c r="D874" s="1" t="s">
        <v>70</v>
      </c>
      <c r="E874">
        <v>3</v>
      </c>
      <c r="F874" s="1" t="s">
        <v>139</v>
      </c>
      <c r="G874">
        <v>1</v>
      </c>
      <c r="H874" s="1" t="s">
        <v>18</v>
      </c>
      <c r="I874">
        <v>10</v>
      </c>
      <c r="J874">
        <v>3</v>
      </c>
      <c r="K874">
        <v>10</v>
      </c>
      <c r="L874">
        <v>7</v>
      </c>
      <c r="M874">
        <v>0</v>
      </c>
      <c r="N874">
        <v>1</v>
      </c>
      <c r="O874" s="1" t="s">
        <v>19</v>
      </c>
      <c r="P874" s="1" t="s">
        <v>137</v>
      </c>
      <c r="Q874">
        <v>1146</v>
      </c>
      <c r="R874" s="1" t="s">
        <v>64</v>
      </c>
      <c r="S874">
        <v>25</v>
      </c>
      <c r="T874">
        <v>1</v>
      </c>
      <c r="U874">
        <v>2</v>
      </c>
      <c r="V874">
        <v>82</v>
      </c>
      <c r="W874">
        <v>3</v>
      </c>
      <c r="X874">
        <v>2</v>
      </c>
      <c r="Y874" s="1" t="s">
        <v>4</v>
      </c>
      <c r="Z874">
        <v>3</v>
      </c>
      <c r="AA874">
        <v>4539</v>
      </c>
      <c r="AB874">
        <v>4905</v>
      </c>
      <c r="AC874" s="1" t="s">
        <v>19</v>
      </c>
      <c r="AD874">
        <v>12</v>
      </c>
      <c r="AE874">
        <v>3</v>
      </c>
      <c r="AF874">
        <v>1</v>
      </c>
      <c r="AG874">
        <v>80</v>
      </c>
      <c r="AH874">
        <v>1</v>
      </c>
      <c r="AI874">
        <v>2</v>
      </c>
      <c r="AJ874">
        <v>0</v>
      </c>
      <c r="AK874" s="1" t="s">
        <v>136</v>
      </c>
    </row>
    <row r="875" spans="1:37" x14ac:dyDescent="0.25">
      <c r="A875">
        <v>1221</v>
      </c>
      <c r="B875">
        <v>36</v>
      </c>
      <c r="C875" s="1" t="s">
        <v>25</v>
      </c>
      <c r="D875" s="1" t="s">
        <v>69</v>
      </c>
      <c r="E875">
        <v>4</v>
      </c>
      <c r="F875" s="1" t="s">
        <v>134</v>
      </c>
      <c r="G875">
        <v>1</v>
      </c>
      <c r="H875" s="1" t="s">
        <v>18</v>
      </c>
      <c r="I875">
        <v>7</v>
      </c>
      <c r="J875">
        <v>4</v>
      </c>
      <c r="K875">
        <v>7</v>
      </c>
      <c r="L875">
        <v>7</v>
      </c>
      <c r="M875">
        <v>1</v>
      </c>
      <c r="N875">
        <v>7</v>
      </c>
      <c r="O875" s="1" t="s">
        <v>19</v>
      </c>
      <c r="P875" s="1" t="s">
        <v>135</v>
      </c>
      <c r="Q875">
        <v>917</v>
      </c>
      <c r="R875" s="1" t="s">
        <v>63</v>
      </c>
      <c r="S875">
        <v>6</v>
      </c>
      <c r="T875">
        <v>1</v>
      </c>
      <c r="U875">
        <v>3</v>
      </c>
      <c r="V875">
        <v>60</v>
      </c>
      <c r="W875">
        <v>1</v>
      </c>
      <c r="X875">
        <v>1</v>
      </c>
      <c r="Y875" s="1" t="s">
        <v>6</v>
      </c>
      <c r="Z875">
        <v>3</v>
      </c>
      <c r="AA875">
        <v>2741</v>
      </c>
      <c r="AB875">
        <v>6865</v>
      </c>
      <c r="AC875" s="1" t="s">
        <v>19</v>
      </c>
      <c r="AD875">
        <v>14</v>
      </c>
      <c r="AE875">
        <v>3</v>
      </c>
      <c r="AF875">
        <v>3</v>
      </c>
      <c r="AG875">
        <v>80</v>
      </c>
      <c r="AH875">
        <v>1</v>
      </c>
      <c r="AI875">
        <v>3</v>
      </c>
      <c r="AJ875">
        <v>0</v>
      </c>
      <c r="AK875" s="1" t="s">
        <v>136</v>
      </c>
    </row>
    <row r="876" spans="1:37" x14ac:dyDescent="0.25">
      <c r="A876">
        <v>1224</v>
      </c>
      <c r="B876">
        <v>30</v>
      </c>
      <c r="C876" s="1" t="s">
        <v>25</v>
      </c>
      <c r="D876" s="1" t="s">
        <v>69</v>
      </c>
      <c r="E876">
        <v>4</v>
      </c>
      <c r="F876" s="1" t="s">
        <v>134</v>
      </c>
      <c r="G876">
        <v>1</v>
      </c>
      <c r="H876" s="1" t="s">
        <v>18</v>
      </c>
      <c r="I876">
        <v>10</v>
      </c>
      <c r="J876">
        <v>4</v>
      </c>
      <c r="K876">
        <v>10</v>
      </c>
      <c r="L876">
        <v>7</v>
      </c>
      <c r="M876">
        <v>8</v>
      </c>
      <c r="N876">
        <v>9</v>
      </c>
      <c r="O876" s="1" t="s">
        <v>19</v>
      </c>
      <c r="P876" s="1" t="s">
        <v>135</v>
      </c>
      <c r="Q876">
        <v>853</v>
      </c>
      <c r="R876" s="1" t="s">
        <v>63</v>
      </c>
      <c r="S876">
        <v>7</v>
      </c>
      <c r="T876">
        <v>1</v>
      </c>
      <c r="U876">
        <v>3</v>
      </c>
      <c r="V876">
        <v>49</v>
      </c>
      <c r="W876">
        <v>3</v>
      </c>
      <c r="X876">
        <v>2</v>
      </c>
      <c r="Y876" s="1" t="s">
        <v>6</v>
      </c>
      <c r="Z876">
        <v>3</v>
      </c>
      <c r="AA876">
        <v>3491</v>
      </c>
      <c r="AB876">
        <v>11309</v>
      </c>
      <c r="AC876" s="1" t="s">
        <v>19</v>
      </c>
      <c r="AD876">
        <v>13</v>
      </c>
      <c r="AE876">
        <v>3</v>
      </c>
      <c r="AF876">
        <v>1</v>
      </c>
      <c r="AG876">
        <v>80</v>
      </c>
      <c r="AH876">
        <v>3</v>
      </c>
      <c r="AI876">
        <v>2</v>
      </c>
      <c r="AJ876">
        <v>0</v>
      </c>
      <c r="AK876" s="1" t="s">
        <v>136</v>
      </c>
    </row>
    <row r="877" spans="1:37" x14ac:dyDescent="0.25">
      <c r="A877">
        <v>1225</v>
      </c>
      <c r="B877">
        <v>44</v>
      </c>
      <c r="C877" s="1" t="s">
        <v>25</v>
      </c>
      <c r="D877" s="1" t="s">
        <v>71</v>
      </c>
      <c r="E877">
        <v>4</v>
      </c>
      <c r="F877" s="1" t="s">
        <v>138</v>
      </c>
      <c r="G877">
        <v>1</v>
      </c>
      <c r="H877" s="1" t="s">
        <v>18</v>
      </c>
      <c r="I877">
        <v>20</v>
      </c>
      <c r="J877">
        <v>3</v>
      </c>
      <c r="K877">
        <v>20</v>
      </c>
      <c r="L877">
        <v>11</v>
      </c>
      <c r="M877">
        <v>13</v>
      </c>
      <c r="N877">
        <v>17</v>
      </c>
      <c r="O877" s="1" t="s">
        <v>19</v>
      </c>
      <c r="P877" s="1" t="s">
        <v>135</v>
      </c>
      <c r="Q877">
        <v>200</v>
      </c>
      <c r="R877" s="1" t="s">
        <v>63</v>
      </c>
      <c r="S877">
        <v>29</v>
      </c>
      <c r="T877">
        <v>1</v>
      </c>
      <c r="U877">
        <v>4</v>
      </c>
      <c r="V877">
        <v>32</v>
      </c>
      <c r="W877">
        <v>3</v>
      </c>
      <c r="X877">
        <v>2</v>
      </c>
      <c r="Y877" s="1" t="s">
        <v>5</v>
      </c>
      <c r="Z877">
        <v>4</v>
      </c>
      <c r="AA877">
        <v>4541</v>
      </c>
      <c r="AB877">
        <v>7744</v>
      </c>
      <c r="AC877" s="1" t="s">
        <v>19</v>
      </c>
      <c r="AD877">
        <v>25</v>
      </c>
      <c r="AE877">
        <v>4</v>
      </c>
      <c r="AF877">
        <v>2</v>
      </c>
      <c r="AG877">
        <v>80</v>
      </c>
      <c r="AH877">
        <v>0</v>
      </c>
      <c r="AI877">
        <v>3</v>
      </c>
      <c r="AJ877">
        <v>0</v>
      </c>
      <c r="AK877" s="1" t="s">
        <v>136</v>
      </c>
    </row>
    <row r="878" spans="1:37" x14ac:dyDescent="0.25">
      <c r="A878">
        <v>1226</v>
      </c>
      <c r="B878">
        <v>20</v>
      </c>
      <c r="C878" s="1" t="s">
        <v>25</v>
      </c>
      <c r="D878" s="1" t="s">
        <v>71</v>
      </c>
      <c r="E878">
        <v>3</v>
      </c>
      <c r="F878" s="1" t="s">
        <v>142</v>
      </c>
      <c r="G878">
        <v>1</v>
      </c>
      <c r="H878" s="1" t="s">
        <v>18</v>
      </c>
      <c r="I878">
        <v>2</v>
      </c>
      <c r="J878">
        <v>2</v>
      </c>
      <c r="K878">
        <v>2</v>
      </c>
      <c r="L878">
        <v>1</v>
      </c>
      <c r="M878">
        <v>2</v>
      </c>
      <c r="N878">
        <v>2</v>
      </c>
      <c r="O878" s="1" t="s">
        <v>19</v>
      </c>
      <c r="P878" s="1" t="s">
        <v>135</v>
      </c>
      <c r="Q878">
        <v>654</v>
      </c>
      <c r="R878" s="1" t="s">
        <v>64</v>
      </c>
      <c r="S878">
        <v>21</v>
      </c>
      <c r="T878">
        <v>1</v>
      </c>
      <c r="U878">
        <v>3</v>
      </c>
      <c r="V878">
        <v>43</v>
      </c>
      <c r="W878">
        <v>4</v>
      </c>
      <c r="X878">
        <v>1</v>
      </c>
      <c r="Y878" s="1" t="s">
        <v>10</v>
      </c>
      <c r="Z878">
        <v>4</v>
      </c>
      <c r="AA878">
        <v>2678</v>
      </c>
      <c r="AB878">
        <v>5050</v>
      </c>
      <c r="AC878" s="1" t="s">
        <v>19</v>
      </c>
      <c r="AD878">
        <v>17</v>
      </c>
      <c r="AE878">
        <v>3</v>
      </c>
      <c r="AF878">
        <v>4</v>
      </c>
      <c r="AG878">
        <v>80</v>
      </c>
      <c r="AH878">
        <v>0</v>
      </c>
      <c r="AI878">
        <v>3</v>
      </c>
      <c r="AJ878">
        <v>0</v>
      </c>
      <c r="AK878" s="1" t="s">
        <v>136</v>
      </c>
    </row>
    <row r="879" spans="1:37" x14ac:dyDescent="0.25">
      <c r="A879">
        <v>1228</v>
      </c>
      <c r="B879">
        <v>46</v>
      </c>
      <c r="C879" s="1" t="s">
        <v>25</v>
      </c>
      <c r="D879" s="1" t="s">
        <v>69</v>
      </c>
      <c r="E879">
        <v>4</v>
      </c>
      <c r="F879" s="1" t="s">
        <v>143</v>
      </c>
      <c r="G879">
        <v>2</v>
      </c>
      <c r="H879" s="1" t="s">
        <v>18</v>
      </c>
      <c r="I879">
        <v>12</v>
      </c>
      <c r="J879">
        <v>3</v>
      </c>
      <c r="K879">
        <v>6</v>
      </c>
      <c r="L879">
        <v>3</v>
      </c>
      <c r="M879">
        <v>1</v>
      </c>
      <c r="N879">
        <v>4</v>
      </c>
      <c r="O879" s="1" t="s">
        <v>19</v>
      </c>
      <c r="P879" s="1" t="s">
        <v>135</v>
      </c>
      <c r="Q879">
        <v>150</v>
      </c>
      <c r="R879" s="1" t="s">
        <v>63</v>
      </c>
      <c r="S879">
        <v>2</v>
      </c>
      <c r="T879">
        <v>1</v>
      </c>
      <c r="U879">
        <v>4</v>
      </c>
      <c r="V879">
        <v>60</v>
      </c>
      <c r="W879">
        <v>3</v>
      </c>
      <c r="X879">
        <v>2</v>
      </c>
      <c r="Y879" s="1" t="s">
        <v>7</v>
      </c>
      <c r="Z879">
        <v>4</v>
      </c>
      <c r="AA879">
        <v>7379</v>
      </c>
      <c r="AB879">
        <v>17433</v>
      </c>
      <c r="AC879" s="1" t="s">
        <v>19</v>
      </c>
      <c r="AD879">
        <v>11</v>
      </c>
      <c r="AE879">
        <v>3</v>
      </c>
      <c r="AF879">
        <v>3</v>
      </c>
      <c r="AG879">
        <v>80</v>
      </c>
      <c r="AH879">
        <v>1</v>
      </c>
      <c r="AI879">
        <v>2</v>
      </c>
      <c r="AJ879">
        <v>0</v>
      </c>
      <c r="AK879" s="1" t="s">
        <v>136</v>
      </c>
    </row>
    <row r="880" spans="1:37" x14ac:dyDescent="0.25">
      <c r="A880">
        <v>1231</v>
      </c>
      <c r="B880">
        <v>42</v>
      </c>
      <c r="C880" s="1" t="s">
        <v>25</v>
      </c>
      <c r="D880" s="1" t="s">
        <v>70</v>
      </c>
      <c r="E880">
        <v>5</v>
      </c>
      <c r="F880" s="1" t="s">
        <v>139</v>
      </c>
      <c r="G880">
        <v>7</v>
      </c>
      <c r="H880" s="1" t="s">
        <v>18</v>
      </c>
      <c r="I880">
        <v>10</v>
      </c>
      <c r="J880">
        <v>3</v>
      </c>
      <c r="K880">
        <v>4</v>
      </c>
      <c r="L880">
        <v>3</v>
      </c>
      <c r="M880">
        <v>0</v>
      </c>
      <c r="N880">
        <v>3</v>
      </c>
      <c r="O880" s="1" t="s">
        <v>19</v>
      </c>
      <c r="P880" s="1" t="s">
        <v>141</v>
      </c>
      <c r="Q880">
        <v>179</v>
      </c>
      <c r="R880" s="1" t="s">
        <v>12</v>
      </c>
      <c r="S880">
        <v>2</v>
      </c>
      <c r="T880">
        <v>1</v>
      </c>
      <c r="U880">
        <v>4</v>
      </c>
      <c r="V880">
        <v>79</v>
      </c>
      <c r="W880">
        <v>4</v>
      </c>
      <c r="X880">
        <v>2</v>
      </c>
      <c r="Y880" s="1" t="s">
        <v>12</v>
      </c>
      <c r="Z880">
        <v>1</v>
      </c>
      <c r="AA880">
        <v>6272</v>
      </c>
      <c r="AB880">
        <v>12858</v>
      </c>
      <c r="AC880" s="1" t="s">
        <v>19</v>
      </c>
      <c r="AD880">
        <v>16</v>
      </c>
      <c r="AE880">
        <v>3</v>
      </c>
      <c r="AF880">
        <v>1</v>
      </c>
      <c r="AG880">
        <v>80</v>
      </c>
      <c r="AH880">
        <v>1</v>
      </c>
      <c r="AI880">
        <v>4</v>
      </c>
      <c r="AJ880">
        <v>0</v>
      </c>
      <c r="AK880" s="1" t="s">
        <v>136</v>
      </c>
    </row>
    <row r="881" spans="1:37" x14ac:dyDescent="0.25">
      <c r="A881">
        <v>1233</v>
      </c>
      <c r="B881">
        <v>60</v>
      </c>
      <c r="C881" s="1" t="s">
        <v>25</v>
      </c>
      <c r="D881" s="1" t="s">
        <v>69</v>
      </c>
      <c r="E881">
        <v>4</v>
      </c>
      <c r="F881" s="1" t="s">
        <v>142</v>
      </c>
      <c r="G881">
        <v>0</v>
      </c>
      <c r="H881" s="1" t="s">
        <v>18</v>
      </c>
      <c r="I881">
        <v>12</v>
      </c>
      <c r="J881">
        <v>3</v>
      </c>
      <c r="K881">
        <v>11</v>
      </c>
      <c r="L881">
        <v>7</v>
      </c>
      <c r="M881">
        <v>1</v>
      </c>
      <c r="N881">
        <v>9</v>
      </c>
      <c r="O881" s="1" t="s">
        <v>19</v>
      </c>
      <c r="P881" s="1" t="s">
        <v>135</v>
      </c>
      <c r="Q881">
        <v>696</v>
      </c>
      <c r="R881" s="1" t="s">
        <v>64</v>
      </c>
      <c r="S881">
        <v>7</v>
      </c>
      <c r="T881">
        <v>1</v>
      </c>
      <c r="U881">
        <v>2</v>
      </c>
      <c r="V881">
        <v>52</v>
      </c>
      <c r="W881">
        <v>4</v>
      </c>
      <c r="X881">
        <v>2</v>
      </c>
      <c r="Y881" s="1" t="s">
        <v>4</v>
      </c>
      <c r="Z881">
        <v>4</v>
      </c>
      <c r="AA881">
        <v>5220</v>
      </c>
      <c r="AB881">
        <v>10893</v>
      </c>
      <c r="AC881" s="1" t="s">
        <v>18</v>
      </c>
      <c r="AD881">
        <v>18</v>
      </c>
      <c r="AE881">
        <v>3</v>
      </c>
      <c r="AF881">
        <v>2</v>
      </c>
      <c r="AG881">
        <v>80</v>
      </c>
      <c r="AH881">
        <v>1</v>
      </c>
      <c r="AI881">
        <v>3</v>
      </c>
      <c r="AJ881">
        <v>0</v>
      </c>
      <c r="AK881" s="1" t="s">
        <v>140</v>
      </c>
    </row>
    <row r="882" spans="1:37" x14ac:dyDescent="0.25">
      <c r="A882">
        <v>1234</v>
      </c>
      <c r="B882">
        <v>32</v>
      </c>
      <c r="C882" s="1" t="s">
        <v>24</v>
      </c>
      <c r="D882" s="1" t="s">
        <v>70</v>
      </c>
      <c r="E882">
        <v>3</v>
      </c>
      <c r="F882" s="1" t="s">
        <v>138</v>
      </c>
      <c r="G882">
        <v>1</v>
      </c>
      <c r="H882" s="1" t="s">
        <v>18</v>
      </c>
      <c r="I882">
        <v>2</v>
      </c>
      <c r="J882">
        <v>2</v>
      </c>
      <c r="K882">
        <v>2</v>
      </c>
      <c r="L882">
        <v>2</v>
      </c>
      <c r="M882">
        <v>2</v>
      </c>
      <c r="N882">
        <v>2</v>
      </c>
      <c r="O882" s="1" t="s">
        <v>19</v>
      </c>
      <c r="P882" s="1" t="s">
        <v>137</v>
      </c>
      <c r="Q882">
        <v>116</v>
      </c>
      <c r="R882" s="1" t="s">
        <v>63</v>
      </c>
      <c r="S882">
        <v>13</v>
      </c>
      <c r="T882">
        <v>1</v>
      </c>
      <c r="U882">
        <v>3</v>
      </c>
      <c r="V882">
        <v>77</v>
      </c>
      <c r="W882">
        <v>2</v>
      </c>
      <c r="X882">
        <v>1</v>
      </c>
      <c r="Y882" s="1" t="s">
        <v>6</v>
      </c>
      <c r="Z882">
        <v>2</v>
      </c>
      <c r="AA882">
        <v>2743</v>
      </c>
      <c r="AB882">
        <v>7331</v>
      </c>
      <c r="AC882" s="1" t="s">
        <v>19</v>
      </c>
      <c r="AD882">
        <v>20</v>
      </c>
      <c r="AE882">
        <v>4</v>
      </c>
      <c r="AF882">
        <v>3</v>
      </c>
      <c r="AG882">
        <v>80</v>
      </c>
      <c r="AH882">
        <v>1</v>
      </c>
      <c r="AI882">
        <v>3</v>
      </c>
      <c r="AJ882">
        <v>0</v>
      </c>
      <c r="AK882" s="1" t="s">
        <v>136</v>
      </c>
    </row>
    <row r="883" spans="1:37" x14ac:dyDescent="0.25">
      <c r="A883">
        <v>1235</v>
      </c>
      <c r="B883">
        <v>32</v>
      </c>
      <c r="C883" s="1" t="s">
        <v>24</v>
      </c>
      <c r="D883" s="1" t="s">
        <v>71</v>
      </c>
      <c r="E883">
        <v>2</v>
      </c>
      <c r="F883" s="1" t="s">
        <v>134</v>
      </c>
      <c r="G883">
        <v>4</v>
      </c>
      <c r="H883" s="1" t="s">
        <v>18</v>
      </c>
      <c r="I883">
        <v>10</v>
      </c>
      <c r="J883">
        <v>2</v>
      </c>
      <c r="K883">
        <v>8</v>
      </c>
      <c r="L883">
        <v>7</v>
      </c>
      <c r="M883">
        <v>0</v>
      </c>
      <c r="N883">
        <v>7</v>
      </c>
      <c r="O883" s="1" t="s">
        <v>19</v>
      </c>
      <c r="P883" s="1" t="s">
        <v>137</v>
      </c>
      <c r="Q883">
        <v>1316</v>
      </c>
      <c r="R883" s="1" t="s">
        <v>63</v>
      </c>
      <c r="S883">
        <v>2</v>
      </c>
      <c r="T883">
        <v>1</v>
      </c>
      <c r="U883">
        <v>4</v>
      </c>
      <c r="V883">
        <v>38</v>
      </c>
      <c r="W883">
        <v>3</v>
      </c>
      <c r="X883">
        <v>2</v>
      </c>
      <c r="Y883" s="1" t="s">
        <v>5</v>
      </c>
      <c r="Z883">
        <v>3</v>
      </c>
      <c r="AA883">
        <v>4998</v>
      </c>
      <c r="AB883">
        <v>2338</v>
      </c>
      <c r="AC883" s="1" t="s">
        <v>18</v>
      </c>
      <c r="AD883">
        <v>14</v>
      </c>
      <c r="AE883">
        <v>3</v>
      </c>
      <c r="AF883">
        <v>4</v>
      </c>
      <c r="AG883">
        <v>80</v>
      </c>
      <c r="AH883">
        <v>0</v>
      </c>
      <c r="AI883">
        <v>3</v>
      </c>
      <c r="AJ883">
        <v>0</v>
      </c>
      <c r="AK883" s="1" t="s">
        <v>136</v>
      </c>
    </row>
    <row r="884" spans="1:37" x14ac:dyDescent="0.25">
      <c r="A884">
        <v>1237</v>
      </c>
      <c r="B884">
        <v>36</v>
      </c>
      <c r="C884" s="1" t="s">
        <v>24</v>
      </c>
      <c r="D884" s="1" t="s">
        <v>69</v>
      </c>
      <c r="E884">
        <v>3</v>
      </c>
      <c r="F884" s="1" t="s">
        <v>143</v>
      </c>
      <c r="G884">
        <v>2</v>
      </c>
      <c r="H884" s="1" t="s">
        <v>18</v>
      </c>
      <c r="I884">
        <v>17</v>
      </c>
      <c r="J884">
        <v>2</v>
      </c>
      <c r="K884">
        <v>7</v>
      </c>
      <c r="L884">
        <v>7</v>
      </c>
      <c r="M884">
        <v>7</v>
      </c>
      <c r="N884">
        <v>7</v>
      </c>
      <c r="O884" s="1" t="s">
        <v>19</v>
      </c>
      <c r="P884" s="1" t="s">
        <v>135</v>
      </c>
      <c r="Q884">
        <v>363</v>
      </c>
      <c r="R884" s="1" t="s">
        <v>63</v>
      </c>
      <c r="S884">
        <v>1</v>
      </c>
      <c r="T884">
        <v>1</v>
      </c>
      <c r="U884">
        <v>3</v>
      </c>
      <c r="V884">
        <v>77</v>
      </c>
      <c r="W884">
        <v>1</v>
      </c>
      <c r="X884">
        <v>3</v>
      </c>
      <c r="Y884" s="1" t="s">
        <v>7</v>
      </c>
      <c r="Z884">
        <v>1</v>
      </c>
      <c r="AA884">
        <v>10252</v>
      </c>
      <c r="AB884">
        <v>4235</v>
      </c>
      <c r="AC884" s="1" t="s">
        <v>18</v>
      </c>
      <c r="AD884">
        <v>21</v>
      </c>
      <c r="AE884">
        <v>4</v>
      </c>
      <c r="AF884">
        <v>3</v>
      </c>
      <c r="AG884">
        <v>80</v>
      </c>
      <c r="AH884">
        <v>1</v>
      </c>
      <c r="AI884">
        <v>3</v>
      </c>
      <c r="AJ884">
        <v>0</v>
      </c>
      <c r="AK884" s="1" t="s">
        <v>136</v>
      </c>
    </row>
    <row r="885" spans="1:37" x14ac:dyDescent="0.25">
      <c r="A885">
        <v>1238</v>
      </c>
      <c r="B885">
        <v>33</v>
      </c>
      <c r="C885" s="1" t="s">
        <v>25</v>
      </c>
      <c r="D885" s="1" t="s">
        <v>70</v>
      </c>
      <c r="E885">
        <v>3</v>
      </c>
      <c r="F885" s="1" t="s">
        <v>139</v>
      </c>
      <c r="G885">
        <v>0</v>
      </c>
      <c r="H885" s="1" t="s">
        <v>18</v>
      </c>
      <c r="I885">
        <v>15</v>
      </c>
      <c r="J885">
        <v>5</v>
      </c>
      <c r="K885">
        <v>14</v>
      </c>
      <c r="L885">
        <v>10</v>
      </c>
      <c r="M885">
        <v>4</v>
      </c>
      <c r="N885">
        <v>10</v>
      </c>
      <c r="O885" s="1" t="s">
        <v>19</v>
      </c>
      <c r="P885" s="1" t="s">
        <v>135</v>
      </c>
      <c r="Q885">
        <v>117</v>
      </c>
      <c r="R885" s="1" t="s">
        <v>63</v>
      </c>
      <c r="S885">
        <v>9</v>
      </c>
      <c r="T885">
        <v>1</v>
      </c>
      <c r="U885">
        <v>1</v>
      </c>
      <c r="V885">
        <v>60</v>
      </c>
      <c r="W885">
        <v>3</v>
      </c>
      <c r="X885">
        <v>1</v>
      </c>
      <c r="Y885" s="1" t="s">
        <v>5</v>
      </c>
      <c r="Z885">
        <v>4</v>
      </c>
      <c r="AA885">
        <v>2781</v>
      </c>
      <c r="AB885">
        <v>6311</v>
      </c>
      <c r="AC885" s="1" t="s">
        <v>19</v>
      </c>
      <c r="AD885">
        <v>13</v>
      </c>
      <c r="AE885">
        <v>3</v>
      </c>
      <c r="AF885">
        <v>2</v>
      </c>
      <c r="AG885">
        <v>80</v>
      </c>
      <c r="AH885">
        <v>1</v>
      </c>
      <c r="AI885">
        <v>3</v>
      </c>
      <c r="AJ885">
        <v>0</v>
      </c>
      <c r="AK885" s="1" t="s">
        <v>136</v>
      </c>
    </row>
    <row r="886" spans="1:37" x14ac:dyDescent="0.25">
      <c r="A886">
        <v>1239</v>
      </c>
      <c r="B886">
        <v>40</v>
      </c>
      <c r="C886" s="1" t="s">
        <v>24</v>
      </c>
      <c r="D886" s="1" t="s">
        <v>69</v>
      </c>
      <c r="E886">
        <v>3</v>
      </c>
      <c r="F886" s="1" t="s">
        <v>143</v>
      </c>
      <c r="G886">
        <v>7</v>
      </c>
      <c r="H886" s="1" t="s">
        <v>18</v>
      </c>
      <c r="I886">
        <v>7</v>
      </c>
      <c r="J886">
        <v>2</v>
      </c>
      <c r="K886">
        <v>5</v>
      </c>
      <c r="L886">
        <v>1</v>
      </c>
      <c r="M886">
        <v>1</v>
      </c>
      <c r="N886">
        <v>3</v>
      </c>
      <c r="O886" s="1" t="s">
        <v>19</v>
      </c>
      <c r="P886" s="1" t="s">
        <v>135</v>
      </c>
      <c r="Q886">
        <v>107</v>
      </c>
      <c r="R886" s="1" t="s">
        <v>64</v>
      </c>
      <c r="S886">
        <v>10</v>
      </c>
      <c r="T886">
        <v>1</v>
      </c>
      <c r="U886">
        <v>2</v>
      </c>
      <c r="V886">
        <v>84</v>
      </c>
      <c r="W886">
        <v>2</v>
      </c>
      <c r="X886">
        <v>2</v>
      </c>
      <c r="Y886" s="1" t="s">
        <v>4</v>
      </c>
      <c r="Z886">
        <v>2</v>
      </c>
      <c r="AA886">
        <v>6852</v>
      </c>
      <c r="AB886">
        <v>11591</v>
      </c>
      <c r="AC886" s="1" t="s">
        <v>19</v>
      </c>
      <c r="AD886">
        <v>12</v>
      </c>
      <c r="AE886">
        <v>3</v>
      </c>
      <c r="AF886">
        <v>2</v>
      </c>
      <c r="AG886">
        <v>80</v>
      </c>
      <c r="AH886">
        <v>1</v>
      </c>
      <c r="AI886">
        <v>4</v>
      </c>
      <c r="AJ886">
        <v>0</v>
      </c>
      <c r="AK886" s="1" t="s">
        <v>136</v>
      </c>
    </row>
    <row r="887" spans="1:37" x14ac:dyDescent="0.25">
      <c r="A887">
        <v>1240</v>
      </c>
      <c r="B887">
        <v>25</v>
      </c>
      <c r="C887" s="1" t="s">
        <v>25</v>
      </c>
      <c r="D887" s="1" t="s">
        <v>71</v>
      </c>
      <c r="E887">
        <v>4</v>
      </c>
      <c r="F887" s="1" t="s">
        <v>134</v>
      </c>
      <c r="G887">
        <v>0</v>
      </c>
      <c r="H887" s="1" t="s">
        <v>18</v>
      </c>
      <c r="I887">
        <v>5</v>
      </c>
      <c r="J887">
        <v>4</v>
      </c>
      <c r="K887">
        <v>4</v>
      </c>
      <c r="L887">
        <v>3</v>
      </c>
      <c r="M887">
        <v>1</v>
      </c>
      <c r="N887">
        <v>1</v>
      </c>
      <c r="O887" s="1" t="s">
        <v>19</v>
      </c>
      <c r="P887" s="1" t="s">
        <v>135</v>
      </c>
      <c r="Q887">
        <v>1356</v>
      </c>
      <c r="R887" s="1" t="s">
        <v>64</v>
      </c>
      <c r="S887">
        <v>10</v>
      </c>
      <c r="T887">
        <v>1</v>
      </c>
      <c r="U887">
        <v>3</v>
      </c>
      <c r="V887">
        <v>57</v>
      </c>
      <c r="W887">
        <v>3</v>
      </c>
      <c r="X887">
        <v>2</v>
      </c>
      <c r="Y887" s="1" t="s">
        <v>4</v>
      </c>
      <c r="Z887">
        <v>4</v>
      </c>
      <c r="AA887">
        <v>4950</v>
      </c>
      <c r="AB887">
        <v>20623</v>
      </c>
      <c r="AC887" s="1" t="s">
        <v>19</v>
      </c>
      <c r="AD887">
        <v>14</v>
      </c>
      <c r="AE887">
        <v>3</v>
      </c>
      <c r="AF887">
        <v>2</v>
      </c>
      <c r="AG887">
        <v>80</v>
      </c>
      <c r="AH887">
        <v>0</v>
      </c>
      <c r="AI887">
        <v>3</v>
      </c>
      <c r="AJ887">
        <v>0</v>
      </c>
      <c r="AK887" s="1" t="s">
        <v>136</v>
      </c>
    </row>
    <row r="888" spans="1:37" x14ac:dyDescent="0.25">
      <c r="A888">
        <v>1241</v>
      </c>
      <c r="B888">
        <v>30</v>
      </c>
      <c r="C888" s="1" t="s">
        <v>25</v>
      </c>
      <c r="D888" s="1" t="s">
        <v>70</v>
      </c>
      <c r="E888">
        <v>3</v>
      </c>
      <c r="F888" s="1" t="s">
        <v>139</v>
      </c>
      <c r="G888">
        <v>0</v>
      </c>
      <c r="H888" s="1" t="s">
        <v>18</v>
      </c>
      <c r="I888">
        <v>12</v>
      </c>
      <c r="J888">
        <v>2</v>
      </c>
      <c r="K888">
        <v>11</v>
      </c>
      <c r="L888">
        <v>9</v>
      </c>
      <c r="M888">
        <v>5</v>
      </c>
      <c r="N888">
        <v>7</v>
      </c>
      <c r="O888" s="1" t="s">
        <v>19</v>
      </c>
      <c r="P888" s="1" t="s">
        <v>135</v>
      </c>
      <c r="Q888">
        <v>1465</v>
      </c>
      <c r="R888" s="1" t="s">
        <v>63</v>
      </c>
      <c r="S888">
        <v>1</v>
      </c>
      <c r="T888">
        <v>1</v>
      </c>
      <c r="U888">
        <v>4</v>
      </c>
      <c r="V888">
        <v>63</v>
      </c>
      <c r="W888">
        <v>3</v>
      </c>
      <c r="X888">
        <v>1</v>
      </c>
      <c r="Y888" s="1" t="s">
        <v>5</v>
      </c>
      <c r="Z888">
        <v>2</v>
      </c>
      <c r="AA888">
        <v>3579</v>
      </c>
      <c r="AB888">
        <v>9369</v>
      </c>
      <c r="AC888" s="1" t="s">
        <v>18</v>
      </c>
      <c r="AD888">
        <v>21</v>
      </c>
      <c r="AE888">
        <v>4</v>
      </c>
      <c r="AF888">
        <v>1</v>
      </c>
      <c r="AG888">
        <v>80</v>
      </c>
      <c r="AH888">
        <v>1</v>
      </c>
      <c r="AI888">
        <v>3</v>
      </c>
      <c r="AJ888">
        <v>0</v>
      </c>
      <c r="AK888" s="1" t="s">
        <v>136</v>
      </c>
    </row>
    <row r="889" spans="1:37" x14ac:dyDescent="0.25">
      <c r="A889">
        <v>1242</v>
      </c>
      <c r="B889">
        <v>42</v>
      </c>
      <c r="C889" s="1" t="s">
        <v>24</v>
      </c>
      <c r="D889" s="1" t="s">
        <v>70</v>
      </c>
      <c r="E889">
        <v>5</v>
      </c>
      <c r="F889" s="1" t="s">
        <v>139</v>
      </c>
      <c r="G889">
        <v>3</v>
      </c>
      <c r="H889" s="1" t="s">
        <v>18</v>
      </c>
      <c r="I889">
        <v>20</v>
      </c>
      <c r="J889">
        <v>6</v>
      </c>
      <c r="K889">
        <v>1</v>
      </c>
      <c r="L889">
        <v>0</v>
      </c>
      <c r="M889">
        <v>0</v>
      </c>
      <c r="N889">
        <v>0</v>
      </c>
      <c r="O889" s="1" t="s">
        <v>19</v>
      </c>
      <c r="P889" s="1" t="s">
        <v>137</v>
      </c>
      <c r="Q889">
        <v>458</v>
      </c>
      <c r="R889" s="1" t="s">
        <v>63</v>
      </c>
      <c r="S889">
        <v>26</v>
      </c>
      <c r="T889">
        <v>1</v>
      </c>
      <c r="U889">
        <v>1</v>
      </c>
      <c r="V889">
        <v>60</v>
      </c>
      <c r="W889">
        <v>3</v>
      </c>
      <c r="X889">
        <v>3</v>
      </c>
      <c r="Y889" s="1" t="s">
        <v>11</v>
      </c>
      <c r="Z889">
        <v>1</v>
      </c>
      <c r="AA889">
        <v>13191</v>
      </c>
      <c r="AB889">
        <v>23281</v>
      </c>
      <c r="AC889" s="1" t="s">
        <v>18</v>
      </c>
      <c r="AD889">
        <v>17</v>
      </c>
      <c r="AE889">
        <v>3</v>
      </c>
      <c r="AF889">
        <v>3</v>
      </c>
      <c r="AG889">
        <v>80</v>
      </c>
      <c r="AH889">
        <v>0</v>
      </c>
      <c r="AI889">
        <v>3</v>
      </c>
      <c r="AJ889">
        <v>0</v>
      </c>
      <c r="AK889" s="1" t="s">
        <v>136</v>
      </c>
    </row>
    <row r="890" spans="1:37" x14ac:dyDescent="0.25">
      <c r="A890">
        <v>1243</v>
      </c>
      <c r="B890">
        <v>35</v>
      </c>
      <c r="C890" s="1" t="s">
        <v>24</v>
      </c>
      <c r="D890" s="1" t="s">
        <v>70</v>
      </c>
      <c r="E890">
        <v>2</v>
      </c>
      <c r="F890" s="1" t="s">
        <v>142</v>
      </c>
      <c r="G890">
        <v>4</v>
      </c>
      <c r="H890" s="1" t="s">
        <v>18</v>
      </c>
      <c r="I890">
        <v>16</v>
      </c>
      <c r="J890">
        <v>6</v>
      </c>
      <c r="K890">
        <v>13</v>
      </c>
      <c r="L890">
        <v>2</v>
      </c>
      <c r="M890">
        <v>4</v>
      </c>
      <c r="N890">
        <v>12</v>
      </c>
      <c r="O890" s="1" t="s">
        <v>19</v>
      </c>
      <c r="P890" s="1" t="s">
        <v>141</v>
      </c>
      <c r="Q890">
        <v>1212</v>
      </c>
      <c r="R890" s="1" t="s">
        <v>64</v>
      </c>
      <c r="S890">
        <v>8</v>
      </c>
      <c r="T890">
        <v>1</v>
      </c>
      <c r="U890">
        <v>3</v>
      </c>
      <c r="V890">
        <v>78</v>
      </c>
      <c r="W890">
        <v>2</v>
      </c>
      <c r="X890">
        <v>3</v>
      </c>
      <c r="Y890" s="1" t="s">
        <v>4</v>
      </c>
      <c r="Z890">
        <v>4</v>
      </c>
      <c r="AA890">
        <v>10377</v>
      </c>
      <c r="AB890">
        <v>13755</v>
      </c>
      <c r="AC890" s="1" t="s">
        <v>18</v>
      </c>
      <c r="AD890">
        <v>11</v>
      </c>
      <c r="AE890">
        <v>3</v>
      </c>
      <c r="AF890">
        <v>2</v>
      </c>
      <c r="AG890">
        <v>80</v>
      </c>
      <c r="AH890">
        <v>1</v>
      </c>
      <c r="AI890">
        <v>2</v>
      </c>
      <c r="AJ890">
        <v>0</v>
      </c>
      <c r="AK890" s="1" t="s">
        <v>136</v>
      </c>
    </row>
    <row r="891" spans="1:37" x14ac:dyDescent="0.25">
      <c r="A891">
        <v>1244</v>
      </c>
      <c r="B891">
        <v>27</v>
      </c>
      <c r="C891" s="1" t="s">
        <v>25</v>
      </c>
      <c r="D891" s="1" t="s">
        <v>70</v>
      </c>
      <c r="E891">
        <v>3</v>
      </c>
      <c r="F891" s="1" t="s">
        <v>134</v>
      </c>
      <c r="G891">
        <v>1</v>
      </c>
      <c r="H891" s="1" t="s">
        <v>18</v>
      </c>
      <c r="I891">
        <v>9</v>
      </c>
      <c r="J891">
        <v>3</v>
      </c>
      <c r="K891">
        <v>9</v>
      </c>
      <c r="L891">
        <v>7</v>
      </c>
      <c r="M891">
        <v>6</v>
      </c>
      <c r="N891">
        <v>8</v>
      </c>
      <c r="O891" s="1" t="s">
        <v>19</v>
      </c>
      <c r="P891" s="1" t="s">
        <v>135</v>
      </c>
      <c r="Q891">
        <v>1103</v>
      </c>
      <c r="R891" s="1" t="s">
        <v>63</v>
      </c>
      <c r="S891">
        <v>14</v>
      </c>
      <c r="T891">
        <v>1</v>
      </c>
      <c r="U891">
        <v>1</v>
      </c>
      <c r="V891">
        <v>42</v>
      </c>
      <c r="W891">
        <v>3</v>
      </c>
      <c r="X891">
        <v>1</v>
      </c>
      <c r="Y891" s="1" t="s">
        <v>5</v>
      </c>
      <c r="Z891">
        <v>1</v>
      </c>
      <c r="AA891">
        <v>2235</v>
      </c>
      <c r="AB891">
        <v>14377</v>
      </c>
      <c r="AC891" s="1" t="s">
        <v>18</v>
      </c>
      <c r="AD891">
        <v>14</v>
      </c>
      <c r="AE891">
        <v>3</v>
      </c>
      <c r="AF891">
        <v>4</v>
      </c>
      <c r="AG891">
        <v>80</v>
      </c>
      <c r="AH891">
        <v>2</v>
      </c>
      <c r="AI891">
        <v>2</v>
      </c>
      <c r="AJ891">
        <v>0</v>
      </c>
      <c r="AK891" s="1" t="s">
        <v>136</v>
      </c>
    </row>
    <row r="892" spans="1:37" x14ac:dyDescent="0.25">
      <c r="A892">
        <v>1245</v>
      </c>
      <c r="B892">
        <v>54</v>
      </c>
      <c r="C892" s="1" t="s">
        <v>24</v>
      </c>
      <c r="D892" s="1" t="s">
        <v>69</v>
      </c>
      <c r="E892">
        <v>4</v>
      </c>
      <c r="F892" s="1" t="s">
        <v>134</v>
      </c>
      <c r="G892">
        <v>7</v>
      </c>
      <c r="H892" s="1" t="s">
        <v>18</v>
      </c>
      <c r="I892">
        <v>33</v>
      </c>
      <c r="J892">
        <v>2</v>
      </c>
      <c r="K892">
        <v>5</v>
      </c>
      <c r="L892">
        <v>4</v>
      </c>
      <c r="M892">
        <v>1</v>
      </c>
      <c r="N892">
        <v>4</v>
      </c>
      <c r="O892" s="1" t="s">
        <v>19</v>
      </c>
      <c r="P892" s="1" t="s">
        <v>137</v>
      </c>
      <c r="Q892">
        <v>966</v>
      </c>
      <c r="R892" s="1" t="s">
        <v>63</v>
      </c>
      <c r="S892">
        <v>1</v>
      </c>
      <c r="T892">
        <v>1</v>
      </c>
      <c r="U892">
        <v>4</v>
      </c>
      <c r="V892">
        <v>53</v>
      </c>
      <c r="W892">
        <v>3</v>
      </c>
      <c r="X892">
        <v>3</v>
      </c>
      <c r="Y892" s="1" t="s">
        <v>7</v>
      </c>
      <c r="Z892">
        <v>3</v>
      </c>
      <c r="AA892">
        <v>10502</v>
      </c>
      <c r="AB892">
        <v>9659</v>
      </c>
      <c r="AC892" s="1" t="s">
        <v>19</v>
      </c>
      <c r="AD892">
        <v>17</v>
      </c>
      <c r="AE892">
        <v>3</v>
      </c>
      <c r="AF892">
        <v>1</v>
      </c>
      <c r="AG892">
        <v>80</v>
      </c>
      <c r="AH892">
        <v>1</v>
      </c>
      <c r="AI892">
        <v>1</v>
      </c>
      <c r="AJ892">
        <v>0</v>
      </c>
      <c r="AK892" s="1" t="s">
        <v>140</v>
      </c>
    </row>
    <row r="893" spans="1:37" x14ac:dyDescent="0.25">
      <c r="A893">
        <v>1246</v>
      </c>
      <c r="B893">
        <v>44</v>
      </c>
      <c r="C893" s="1" t="s">
        <v>24</v>
      </c>
      <c r="D893" s="1" t="s">
        <v>70</v>
      </c>
      <c r="E893">
        <v>1</v>
      </c>
      <c r="F893" s="1" t="s">
        <v>134</v>
      </c>
      <c r="G893">
        <v>1</v>
      </c>
      <c r="H893" s="1" t="s">
        <v>18</v>
      </c>
      <c r="I893">
        <v>10</v>
      </c>
      <c r="J893">
        <v>5</v>
      </c>
      <c r="K893">
        <v>10</v>
      </c>
      <c r="L893">
        <v>5</v>
      </c>
      <c r="M893">
        <v>7</v>
      </c>
      <c r="N893">
        <v>7</v>
      </c>
      <c r="O893" s="1" t="s">
        <v>19</v>
      </c>
      <c r="P893" s="1" t="s">
        <v>135</v>
      </c>
      <c r="Q893">
        <v>1117</v>
      </c>
      <c r="R893" s="1" t="s">
        <v>63</v>
      </c>
      <c r="S893">
        <v>2</v>
      </c>
      <c r="T893">
        <v>1</v>
      </c>
      <c r="U893">
        <v>1</v>
      </c>
      <c r="V893">
        <v>72</v>
      </c>
      <c r="W893">
        <v>4</v>
      </c>
      <c r="X893">
        <v>1</v>
      </c>
      <c r="Y893" s="1" t="s">
        <v>5</v>
      </c>
      <c r="Z893">
        <v>4</v>
      </c>
      <c r="AA893">
        <v>2011</v>
      </c>
      <c r="AB893">
        <v>19982</v>
      </c>
      <c r="AC893" s="1" t="s">
        <v>19</v>
      </c>
      <c r="AD893">
        <v>13</v>
      </c>
      <c r="AE893">
        <v>3</v>
      </c>
      <c r="AF893">
        <v>4</v>
      </c>
      <c r="AG893">
        <v>80</v>
      </c>
      <c r="AH893">
        <v>1</v>
      </c>
      <c r="AI893">
        <v>3</v>
      </c>
      <c r="AJ893">
        <v>0</v>
      </c>
      <c r="AK893" s="1" t="s">
        <v>136</v>
      </c>
    </row>
    <row r="894" spans="1:37" x14ac:dyDescent="0.25">
      <c r="A894">
        <v>1248</v>
      </c>
      <c r="B894">
        <v>19</v>
      </c>
      <c r="C894" s="1" t="s">
        <v>24</v>
      </c>
      <c r="D894" s="1" t="s">
        <v>71</v>
      </c>
      <c r="E894">
        <v>3</v>
      </c>
      <c r="F894" s="1" t="s">
        <v>139</v>
      </c>
      <c r="G894">
        <v>1</v>
      </c>
      <c r="H894" s="1" t="s">
        <v>18</v>
      </c>
      <c r="I894">
        <v>1</v>
      </c>
      <c r="J894">
        <v>2</v>
      </c>
      <c r="K894">
        <v>1</v>
      </c>
      <c r="L894">
        <v>1</v>
      </c>
      <c r="M894">
        <v>0</v>
      </c>
      <c r="N894">
        <v>0</v>
      </c>
      <c r="O894" s="1" t="s">
        <v>18</v>
      </c>
      <c r="P894" s="1" t="s">
        <v>141</v>
      </c>
      <c r="Q894">
        <v>504</v>
      </c>
      <c r="R894" s="1" t="s">
        <v>63</v>
      </c>
      <c r="S894">
        <v>10</v>
      </c>
      <c r="T894">
        <v>1</v>
      </c>
      <c r="U894">
        <v>1</v>
      </c>
      <c r="V894">
        <v>96</v>
      </c>
      <c r="W894">
        <v>2</v>
      </c>
      <c r="X894">
        <v>1</v>
      </c>
      <c r="Y894" s="1" t="s">
        <v>5</v>
      </c>
      <c r="Z894">
        <v>2</v>
      </c>
      <c r="AA894">
        <v>1859</v>
      </c>
      <c r="AB894">
        <v>6148</v>
      </c>
      <c r="AC894" s="1" t="s">
        <v>18</v>
      </c>
      <c r="AD894">
        <v>25</v>
      </c>
      <c r="AE894">
        <v>4</v>
      </c>
      <c r="AF894">
        <v>2</v>
      </c>
      <c r="AG894">
        <v>80</v>
      </c>
      <c r="AH894">
        <v>0</v>
      </c>
      <c r="AI894">
        <v>4</v>
      </c>
      <c r="AJ894">
        <v>1</v>
      </c>
      <c r="AK894" s="1" t="s">
        <v>136</v>
      </c>
    </row>
    <row r="895" spans="1:37" x14ac:dyDescent="0.25">
      <c r="A895">
        <v>1249</v>
      </c>
      <c r="B895">
        <v>29</v>
      </c>
      <c r="C895" s="1" t="s">
        <v>24</v>
      </c>
      <c r="D895" s="1" t="s">
        <v>69</v>
      </c>
      <c r="E895">
        <v>3</v>
      </c>
      <c r="F895" s="1" t="s">
        <v>134</v>
      </c>
      <c r="G895">
        <v>1</v>
      </c>
      <c r="H895" s="1" t="s">
        <v>18</v>
      </c>
      <c r="I895">
        <v>3</v>
      </c>
      <c r="J895">
        <v>5</v>
      </c>
      <c r="K895">
        <v>3</v>
      </c>
      <c r="L895">
        <v>2</v>
      </c>
      <c r="M895">
        <v>1</v>
      </c>
      <c r="N895">
        <v>2</v>
      </c>
      <c r="O895" s="1" t="s">
        <v>19</v>
      </c>
      <c r="P895" s="1" t="s">
        <v>135</v>
      </c>
      <c r="Q895">
        <v>1010</v>
      </c>
      <c r="R895" s="1" t="s">
        <v>63</v>
      </c>
      <c r="S895">
        <v>1</v>
      </c>
      <c r="T895">
        <v>1</v>
      </c>
      <c r="U895">
        <v>1</v>
      </c>
      <c r="V895">
        <v>97</v>
      </c>
      <c r="W895">
        <v>3</v>
      </c>
      <c r="X895">
        <v>1</v>
      </c>
      <c r="Y895" s="1" t="s">
        <v>5</v>
      </c>
      <c r="Z895">
        <v>4</v>
      </c>
      <c r="AA895">
        <v>3760</v>
      </c>
      <c r="AB895">
        <v>5598</v>
      </c>
      <c r="AC895" s="1" t="s">
        <v>19</v>
      </c>
      <c r="AD895">
        <v>15</v>
      </c>
      <c r="AE895">
        <v>3</v>
      </c>
      <c r="AF895">
        <v>1</v>
      </c>
      <c r="AG895">
        <v>80</v>
      </c>
      <c r="AH895">
        <v>3</v>
      </c>
      <c r="AI895">
        <v>3</v>
      </c>
      <c r="AJ895">
        <v>0</v>
      </c>
      <c r="AK895" s="1" t="s">
        <v>136</v>
      </c>
    </row>
    <row r="896" spans="1:37" x14ac:dyDescent="0.25">
      <c r="A896">
        <v>1250</v>
      </c>
      <c r="B896">
        <v>54</v>
      </c>
      <c r="C896" s="1" t="s">
        <v>25</v>
      </c>
      <c r="D896" s="1" t="s">
        <v>70</v>
      </c>
      <c r="E896">
        <v>3</v>
      </c>
      <c r="F896" s="1" t="s">
        <v>134</v>
      </c>
      <c r="G896">
        <v>3</v>
      </c>
      <c r="H896" s="1" t="s">
        <v>18</v>
      </c>
      <c r="I896">
        <v>36</v>
      </c>
      <c r="J896">
        <v>2</v>
      </c>
      <c r="K896">
        <v>10</v>
      </c>
      <c r="L896">
        <v>9</v>
      </c>
      <c r="M896">
        <v>0</v>
      </c>
      <c r="N896">
        <v>9</v>
      </c>
      <c r="O896" s="1" t="s">
        <v>19</v>
      </c>
      <c r="P896" s="1" t="s">
        <v>135</v>
      </c>
      <c r="Q896">
        <v>685</v>
      </c>
      <c r="R896" s="1" t="s">
        <v>63</v>
      </c>
      <c r="S896">
        <v>3</v>
      </c>
      <c r="T896">
        <v>1</v>
      </c>
      <c r="U896">
        <v>4</v>
      </c>
      <c r="V896">
        <v>85</v>
      </c>
      <c r="W896">
        <v>3</v>
      </c>
      <c r="X896">
        <v>4</v>
      </c>
      <c r="Y896" s="1" t="s">
        <v>11</v>
      </c>
      <c r="Z896">
        <v>4</v>
      </c>
      <c r="AA896">
        <v>17779</v>
      </c>
      <c r="AB896">
        <v>23474</v>
      </c>
      <c r="AC896" s="1" t="s">
        <v>19</v>
      </c>
      <c r="AD896">
        <v>14</v>
      </c>
      <c r="AE896">
        <v>3</v>
      </c>
      <c r="AF896">
        <v>1</v>
      </c>
      <c r="AG896">
        <v>80</v>
      </c>
      <c r="AH896">
        <v>0</v>
      </c>
      <c r="AI896">
        <v>3</v>
      </c>
      <c r="AJ896">
        <v>0</v>
      </c>
      <c r="AK896" s="1" t="s">
        <v>140</v>
      </c>
    </row>
    <row r="897" spans="1:37" x14ac:dyDescent="0.25">
      <c r="A897">
        <v>1251</v>
      </c>
      <c r="B897">
        <v>31</v>
      </c>
      <c r="C897" s="1" t="s">
        <v>25</v>
      </c>
      <c r="D897" s="1" t="s">
        <v>70</v>
      </c>
      <c r="E897">
        <v>2</v>
      </c>
      <c r="F897" s="1" t="s">
        <v>139</v>
      </c>
      <c r="G897">
        <v>1</v>
      </c>
      <c r="H897" s="1" t="s">
        <v>18</v>
      </c>
      <c r="I897">
        <v>6</v>
      </c>
      <c r="J897">
        <v>2</v>
      </c>
      <c r="K897">
        <v>6</v>
      </c>
      <c r="L897">
        <v>5</v>
      </c>
      <c r="M897">
        <v>0</v>
      </c>
      <c r="N897">
        <v>1</v>
      </c>
      <c r="O897" s="1" t="s">
        <v>19</v>
      </c>
      <c r="P897" s="1" t="s">
        <v>135</v>
      </c>
      <c r="Q897">
        <v>1332</v>
      </c>
      <c r="R897" s="1" t="s">
        <v>63</v>
      </c>
      <c r="S897">
        <v>11</v>
      </c>
      <c r="T897">
        <v>1</v>
      </c>
      <c r="U897">
        <v>3</v>
      </c>
      <c r="V897">
        <v>80</v>
      </c>
      <c r="W897">
        <v>3</v>
      </c>
      <c r="X897">
        <v>2</v>
      </c>
      <c r="Y897" s="1" t="s">
        <v>8</v>
      </c>
      <c r="Z897">
        <v>1</v>
      </c>
      <c r="AA897">
        <v>6833</v>
      </c>
      <c r="AB897">
        <v>17089</v>
      </c>
      <c r="AC897" s="1" t="s">
        <v>18</v>
      </c>
      <c r="AD897">
        <v>12</v>
      </c>
      <c r="AE897">
        <v>3</v>
      </c>
      <c r="AF897">
        <v>4</v>
      </c>
      <c r="AG897">
        <v>80</v>
      </c>
      <c r="AH897">
        <v>0</v>
      </c>
      <c r="AI897">
        <v>2</v>
      </c>
      <c r="AJ897">
        <v>0</v>
      </c>
      <c r="AK897" s="1" t="s">
        <v>136</v>
      </c>
    </row>
    <row r="898" spans="1:37" x14ac:dyDescent="0.25">
      <c r="A898">
        <v>1252</v>
      </c>
      <c r="B898">
        <v>31</v>
      </c>
      <c r="C898" s="1" t="s">
        <v>24</v>
      </c>
      <c r="D898" s="1" t="s">
        <v>71</v>
      </c>
      <c r="E898">
        <v>3</v>
      </c>
      <c r="F898" s="1" t="s">
        <v>139</v>
      </c>
      <c r="G898">
        <v>1</v>
      </c>
      <c r="H898" s="1" t="s">
        <v>18</v>
      </c>
      <c r="I898">
        <v>10</v>
      </c>
      <c r="J898">
        <v>2</v>
      </c>
      <c r="K898">
        <v>10</v>
      </c>
      <c r="L898">
        <v>9</v>
      </c>
      <c r="M898">
        <v>1</v>
      </c>
      <c r="N898">
        <v>8</v>
      </c>
      <c r="O898" s="1" t="s">
        <v>19</v>
      </c>
      <c r="P898" s="1" t="s">
        <v>135</v>
      </c>
      <c r="Q898">
        <v>1062</v>
      </c>
      <c r="R898" s="1" t="s">
        <v>63</v>
      </c>
      <c r="S898">
        <v>24</v>
      </c>
      <c r="T898">
        <v>1</v>
      </c>
      <c r="U898">
        <v>3</v>
      </c>
      <c r="V898">
        <v>96</v>
      </c>
      <c r="W898">
        <v>2</v>
      </c>
      <c r="X898">
        <v>2</v>
      </c>
      <c r="Y898" s="1" t="s">
        <v>8</v>
      </c>
      <c r="Z898">
        <v>1</v>
      </c>
      <c r="AA898">
        <v>6812</v>
      </c>
      <c r="AB898">
        <v>17198</v>
      </c>
      <c r="AC898" s="1" t="s">
        <v>19</v>
      </c>
      <c r="AD898">
        <v>19</v>
      </c>
      <c r="AE898">
        <v>3</v>
      </c>
      <c r="AF898">
        <v>2</v>
      </c>
      <c r="AG898">
        <v>80</v>
      </c>
      <c r="AH898">
        <v>0</v>
      </c>
      <c r="AI898">
        <v>3</v>
      </c>
      <c r="AJ898">
        <v>0</v>
      </c>
      <c r="AK898" s="1" t="s">
        <v>136</v>
      </c>
    </row>
    <row r="899" spans="1:37" x14ac:dyDescent="0.25">
      <c r="A899">
        <v>1254</v>
      </c>
      <c r="B899">
        <v>59</v>
      </c>
      <c r="C899" s="1" t="s">
        <v>24</v>
      </c>
      <c r="D899" s="1" t="s">
        <v>71</v>
      </c>
      <c r="E899">
        <v>3</v>
      </c>
      <c r="F899" s="1" t="s">
        <v>134</v>
      </c>
      <c r="G899">
        <v>5</v>
      </c>
      <c r="H899" s="1" t="s">
        <v>18</v>
      </c>
      <c r="I899">
        <v>13</v>
      </c>
      <c r="J899">
        <v>2</v>
      </c>
      <c r="K899">
        <v>6</v>
      </c>
      <c r="L899">
        <v>1</v>
      </c>
      <c r="M899">
        <v>0</v>
      </c>
      <c r="N899">
        <v>5</v>
      </c>
      <c r="O899" s="1" t="s">
        <v>19</v>
      </c>
      <c r="P899" s="1" t="s">
        <v>135</v>
      </c>
      <c r="Q899">
        <v>326</v>
      </c>
      <c r="R899" s="1" t="s">
        <v>64</v>
      </c>
      <c r="S899">
        <v>3</v>
      </c>
      <c r="T899">
        <v>1</v>
      </c>
      <c r="U899">
        <v>3</v>
      </c>
      <c r="V899">
        <v>48</v>
      </c>
      <c r="W899">
        <v>2</v>
      </c>
      <c r="X899">
        <v>2</v>
      </c>
      <c r="Y899" s="1" t="s">
        <v>4</v>
      </c>
      <c r="Z899">
        <v>4</v>
      </c>
      <c r="AA899">
        <v>5171</v>
      </c>
      <c r="AB899">
        <v>16490</v>
      </c>
      <c r="AC899" s="1" t="s">
        <v>19</v>
      </c>
      <c r="AD899">
        <v>17</v>
      </c>
      <c r="AE899">
        <v>3</v>
      </c>
      <c r="AF899">
        <v>4</v>
      </c>
      <c r="AG899">
        <v>80</v>
      </c>
      <c r="AH899">
        <v>0</v>
      </c>
      <c r="AI899">
        <v>3</v>
      </c>
      <c r="AJ899">
        <v>0</v>
      </c>
      <c r="AK899" s="1" t="s">
        <v>140</v>
      </c>
    </row>
    <row r="900" spans="1:37" x14ac:dyDescent="0.25">
      <c r="A900">
        <v>1255</v>
      </c>
      <c r="B900">
        <v>43</v>
      </c>
      <c r="C900" s="1" t="s">
        <v>25</v>
      </c>
      <c r="D900" s="1" t="s">
        <v>70</v>
      </c>
      <c r="E900">
        <v>3</v>
      </c>
      <c r="F900" s="1" t="s">
        <v>134</v>
      </c>
      <c r="G900">
        <v>3</v>
      </c>
      <c r="H900" s="1" t="s">
        <v>18</v>
      </c>
      <c r="I900">
        <v>25</v>
      </c>
      <c r="J900">
        <v>2</v>
      </c>
      <c r="K900">
        <v>8</v>
      </c>
      <c r="L900">
        <v>7</v>
      </c>
      <c r="M900">
        <v>0</v>
      </c>
      <c r="N900">
        <v>7</v>
      </c>
      <c r="O900" s="1" t="s">
        <v>19</v>
      </c>
      <c r="P900" s="1" t="s">
        <v>135</v>
      </c>
      <c r="Q900">
        <v>920</v>
      </c>
      <c r="R900" s="1" t="s">
        <v>63</v>
      </c>
      <c r="S900">
        <v>3</v>
      </c>
      <c r="T900">
        <v>1</v>
      </c>
      <c r="U900">
        <v>3</v>
      </c>
      <c r="V900">
        <v>96</v>
      </c>
      <c r="W900">
        <v>1</v>
      </c>
      <c r="X900">
        <v>5</v>
      </c>
      <c r="Y900" s="1" t="s">
        <v>11</v>
      </c>
      <c r="Z900">
        <v>4</v>
      </c>
      <c r="AA900">
        <v>19740</v>
      </c>
      <c r="AB900">
        <v>18625</v>
      </c>
      <c r="AC900" s="1" t="s">
        <v>19</v>
      </c>
      <c r="AD900">
        <v>14</v>
      </c>
      <c r="AE900">
        <v>3</v>
      </c>
      <c r="AF900">
        <v>2</v>
      </c>
      <c r="AG900">
        <v>80</v>
      </c>
      <c r="AH900">
        <v>1</v>
      </c>
      <c r="AI900">
        <v>3</v>
      </c>
      <c r="AJ900">
        <v>0</v>
      </c>
      <c r="AK900" s="1" t="s">
        <v>136</v>
      </c>
    </row>
    <row r="901" spans="1:37" x14ac:dyDescent="0.25">
      <c r="A901">
        <v>1256</v>
      </c>
      <c r="B901">
        <v>49</v>
      </c>
      <c r="C901" s="1" t="s">
        <v>25</v>
      </c>
      <c r="D901" s="1" t="s">
        <v>70</v>
      </c>
      <c r="E901">
        <v>2</v>
      </c>
      <c r="F901" s="1" t="s">
        <v>139</v>
      </c>
      <c r="G901">
        <v>2</v>
      </c>
      <c r="H901" s="1" t="s">
        <v>18</v>
      </c>
      <c r="I901">
        <v>23</v>
      </c>
      <c r="J901">
        <v>2</v>
      </c>
      <c r="K901">
        <v>1</v>
      </c>
      <c r="L901">
        <v>0</v>
      </c>
      <c r="M901">
        <v>0</v>
      </c>
      <c r="N901">
        <v>0</v>
      </c>
      <c r="O901" s="1" t="s">
        <v>19</v>
      </c>
      <c r="P901" s="1" t="s">
        <v>135</v>
      </c>
      <c r="Q901">
        <v>1098</v>
      </c>
      <c r="R901" s="1" t="s">
        <v>63</v>
      </c>
      <c r="S901">
        <v>4</v>
      </c>
      <c r="T901">
        <v>1</v>
      </c>
      <c r="U901">
        <v>1</v>
      </c>
      <c r="V901">
        <v>85</v>
      </c>
      <c r="W901">
        <v>2</v>
      </c>
      <c r="X901">
        <v>5</v>
      </c>
      <c r="Y901" s="1" t="s">
        <v>9</v>
      </c>
      <c r="Z901">
        <v>3</v>
      </c>
      <c r="AA901">
        <v>18711</v>
      </c>
      <c r="AB901">
        <v>12124</v>
      </c>
      <c r="AC901" s="1" t="s">
        <v>19</v>
      </c>
      <c r="AD901">
        <v>13</v>
      </c>
      <c r="AE901">
        <v>3</v>
      </c>
      <c r="AF901">
        <v>3</v>
      </c>
      <c r="AG901">
        <v>80</v>
      </c>
      <c r="AH901">
        <v>1</v>
      </c>
      <c r="AI901">
        <v>4</v>
      </c>
      <c r="AJ901">
        <v>0</v>
      </c>
      <c r="AK901" s="1" t="s">
        <v>136</v>
      </c>
    </row>
    <row r="902" spans="1:37" x14ac:dyDescent="0.25">
      <c r="A902">
        <v>1257</v>
      </c>
      <c r="B902">
        <v>36</v>
      </c>
      <c r="C902" s="1" t="s">
        <v>25</v>
      </c>
      <c r="D902" s="1" t="s">
        <v>70</v>
      </c>
      <c r="E902">
        <v>3</v>
      </c>
      <c r="F902" s="1" t="s">
        <v>143</v>
      </c>
      <c r="G902">
        <v>1</v>
      </c>
      <c r="H902" s="1" t="s">
        <v>18</v>
      </c>
      <c r="I902">
        <v>12</v>
      </c>
      <c r="J902">
        <v>2</v>
      </c>
      <c r="K902">
        <v>11</v>
      </c>
      <c r="L902">
        <v>10</v>
      </c>
      <c r="M902">
        <v>0</v>
      </c>
      <c r="N902">
        <v>7</v>
      </c>
      <c r="O902" s="1" t="s">
        <v>19</v>
      </c>
      <c r="P902" s="1" t="s">
        <v>137</v>
      </c>
      <c r="Q902">
        <v>469</v>
      </c>
      <c r="R902" s="1" t="s">
        <v>63</v>
      </c>
      <c r="S902">
        <v>3</v>
      </c>
      <c r="T902">
        <v>1</v>
      </c>
      <c r="U902">
        <v>3</v>
      </c>
      <c r="V902">
        <v>46</v>
      </c>
      <c r="W902">
        <v>3</v>
      </c>
      <c r="X902">
        <v>1</v>
      </c>
      <c r="Y902" s="1" t="s">
        <v>5</v>
      </c>
      <c r="Z902">
        <v>2</v>
      </c>
      <c r="AA902">
        <v>3692</v>
      </c>
      <c r="AB902">
        <v>9256</v>
      </c>
      <c r="AC902" s="1" t="s">
        <v>19</v>
      </c>
      <c r="AD902">
        <v>12</v>
      </c>
      <c r="AE902">
        <v>3</v>
      </c>
      <c r="AF902">
        <v>3</v>
      </c>
      <c r="AG902">
        <v>80</v>
      </c>
      <c r="AH902">
        <v>0</v>
      </c>
      <c r="AI902">
        <v>2</v>
      </c>
      <c r="AJ902">
        <v>0</v>
      </c>
      <c r="AK902" s="1" t="s">
        <v>136</v>
      </c>
    </row>
    <row r="903" spans="1:37" x14ac:dyDescent="0.25">
      <c r="A903">
        <v>1258</v>
      </c>
      <c r="B903">
        <v>48</v>
      </c>
      <c r="C903" s="1" t="s">
        <v>25</v>
      </c>
      <c r="D903" s="1" t="s">
        <v>71</v>
      </c>
      <c r="E903">
        <v>2</v>
      </c>
      <c r="F903" s="1" t="s">
        <v>143</v>
      </c>
      <c r="G903">
        <v>5</v>
      </c>
      <c r="H903" s="1" t="s">
        <v>18</v>
      </c>
      <c r="I903">
        <v>7</v>
      </c>
      <c r="J903">
        <v>4</v>
      </c>
      <c r="K903">
        <v>1</v>
      </c>
      <c r="L903">
        <v>0</v>
      </c>
      <c r="M903">
        <v>0</v>
      </c>
      <c r="N903">
        <v>0</v>
      </c>
      <c r="O903" s="1" t="s">
        <v>19</v>
      </c>
      <c r="P903" s="1" t="s">
        <v>135</v>
      </c>
      <c r="Q903">
        <v>969</v>
      </c>
      <c r="R903" s="1" t="s">
        <v>63</v>
      </c>
      <c r="S903">
        <v>2</v>
      </c>
      <c r="T903">
        <v>1</v>
      </c>
      <c r="U903">
        <v>4</v>
      </c>
      <c r="V903">
        <v>76</v>
      </c>
      <c r="W903">
        <v>4</v>
      </c>
      <c r="X903">
        <v>1</v>
      </c>
      <c r="Y903" s="1" t="s">
        <v>6</v>
      </c>
      <c r="Z903">
        <v>2</v>
      </c>
      <c r="AA903">
        <v>2559</v>
      </c>
      <c r="AB903">
        <v>16620</v>
      </c>
      <c r="AC903" s="1" t="s">
        <v>19</v>
      </c>
      <c r="AD903">
        <v>11</v>
      </c>
      <c r="AE903">
        <v>3</v>
      </c>
      <c r="AF903">
        <v>3</v>
      </c>
      <c r="AG903">
        <v>80</v>
      </c>
      <c r="AH903">
        <v>0</v>
      </c>
      <c r="AI903">
        <v>2</v>
      </c>
      <c r="AJ903">
        <v>0</v>
      </c>
      <c r="AK903" s="1" t="s">
        <v>136</v>
      </c>
    </row>
    <row r="904" spans="1:37" x14ac:dyDescent="0.25">
      <c r="A904">
        <v>1259</v>
      </c>
      <c r="B904">
        <v>27</v>
      </c>
      <c r="C904" s="1" t="s">
        <v>25</v>
      </c>
      <c r="D904" s="1" t="s">
        <v>69</v>
      </c>
      <c r="E904">
        <v>2</v>
      </c>
      <c r="F904" s="1" t="s">
        <v>134</v>
      </c>
      <c r="G904">
        <v>1</v>
      </c>
      <c r="H904" s="1" t="s">
        <v>18</v>
      </c>
      <c r="I904">
        <v>5</v>
      </c>
      <c r="J904">
        <v>2</v>
      </c>
      <c r="K904">
        <v>5</v>
      </c>
      <c r="L904">
        <v>3</v>
      </c>
      <c r="M904">
        <v>0</v>
      </c>
      <c r="N904">
        <v>3</v>
      </c>
      <c r="O904" s="1" t="s">
        <v>19</v>
      </c>
      <c r="P904" s="1" t="s">
        <v>135</v>
      </c>
      <c r="Q904">
        <v>1167</v>
      </c>
      <c r="R904" s="1" t="s">
        <v>63</v>
      </c>
      <c r="S904">
        <v>4</v>
      </c>
      <c r="T904">
        <v>1</v>
      </c>
      <c r="U904">
        <v>1</v>
      </c>
      <c r="V904">
        <v>76</v>
      </c>
      <c r="W904">
        <v>3</v>
      </c>
      <c r="X904">
        <v>1</v>
      </c>
      <c r="Y904" s="1" t="s">
        <v>5</v>
      </c>
      <c r="Z904">
        <v>3</v>
      </c>
      <c r="AA904">
        <v>2517</v>
      </c>
      <c r="AB904">
        <v>3208</v>
      </c>
      <c r="AC904" s="1" t="s">
        <v>19</v>
      </c>
      <c r="AD904">
        <v>11</v>
      </c>
      <c r="AE904">
        <v>3</v>
      </c>
      <c r="AF904">
        <v>2</v>
      </c>
      <c r="AG904">
        <v>80</v>
      </c>
      <c r="AH904">
        <v>3</v>
      </c>
      <c r="AI904">
        <v>3</v>
      </c>
      <c r="AJ904">
        <v>0</v>
      </c>
      <c r="AK904" s="1" t="s">
        <v>136</v>
      </c>
    </row>
    <row r="905" spans="1:37" x14ac:dyDescent="0.25">
      <c r="A905">
        <v>1260</v>
      </c>
      <c r="B905">
        <v>29</v>
      </c>
      <c r="C905" s="1" t="s">
        <v>25</v>
      </c>
      <c r="D905" s="1" t="s">
        <v>69</v>
      </c>
      <c r="E905">
        <v>3</v>
      </c>
      <c r="F905" s="1" t="s">
        <v>134</v>
      </c>
      <c r="G905">
        <v>1</v>
      </c>
      <c r="H905" s="1" t="s">
        <v>18</v>
      </c>
      <c r="I905">
        <v>6</v>
      </c>
      <c r="J905">
        <v>2</v>
      </c>
      <c r="K905">
        <v>6</v>
      </c>
      <c r="L905">
        <v>0</v>
      </c>
      <c r="M905">
        <v>1</v>
      </c>
      <c r="N905">
        <v>0</v>
      </c>
      <c r="O905" s="1" t="s">
        <v>19</v>
      </c>
      <c r="P905" s="1" t="s">
        <v>135</v>
      </c>
      <c r="Q905">
        <v>1329</v>
      </c>
      <c r="R905" s="1" t="s">
        <v>63</v>
      </c>
      <c r="S905">
        <v>7</v>
      </c>
      <c r="T905">
        <v>1</v>
      </c>
      <c r="U905">
        <v>3</v>
      </c>
      <c r="V905">
        <v>82</v>
      </c>
      <c r="W905">
        <v>3</v>
      </c>
      <c r="X905">
        <v>2</v>
      </c>
      <c r="Y905" s="1" t="s">
        <v>8</v>
      </c>
      <c r="Z905">
        <v>4</v>
      </c>
      <c r="AA905">
        <v>6623</v>
      </c>
      <c r="AB905">
        <v>4204</v>
      </c>
      <c r="AC905" s="1" t="s">
        <v>18</v>
      </c>
      <c r="AD905">
        <v>11</v>
      </c>
      <c r="AE905">
        <v>3</v>
      </c>
      <c r="AF905">
        <v>2</v>
      </c>
      <c r="AG905">
        <v>80</v>
      </c>
      <c r="AH905">
        <v>2</v>
      </c>
      <c r="AI905">
        <v>3</v>
      </c>
      <c r="AJ905">
        <v>0</v>
      </c>
      <c r="AK905" s="1" t="s">
        <v>136</v>
      </c>
    </row>
    <row r="906" spans="1:37" x14ac:dyDescent="0.25">
      <c r="A906">
        <v>1263</v>
      </c>
      <c r="B906">
        <v>48</v>
      </c>
      <c r="C906" s="1" t="s">
        <v>25</v>
      </c>
      <c r="D906" s="1" t="s">
        <v>71</v>
      </c>
      <c r="E906">
        <v>3</v>
      </c>
      <c r="F906" s="1" t="s">
        <v>134</v>
      </c>
      <c r="G906">
        <v>6</v>
      </c>
      <c r="H906" s="1" t="s">
        <v>18</v>
      </c>
      <c r="I906">
        <v>25</v>
      </c>
      <c r="J906">
        <v>3</v>
      </c>
      <c r="K906">
        <v>1</v>
      </c>
      <c r="L906">
        <v>0</v>
      </c>
      <c r="M906">
        <v>0</v>
      </c>
      <c r="N906">
        <v>0</v>
      </c>
      <c r="O906" s="1" t="s">
        <v>19</v>
      </c>
      <c r="P906" s="1" t="s">
        <v>135</v>
      </c>
      <c r="Q906">
        <v>715</v>
      </c>
      <c r="R906" s="1" t="s">
        <v>63</v>
      </c>
      <c r="S906">
        <v>1</v>
      </c>
      <c r="T906">
        <v>1</v>
      </c>
      <c r="U906">
        <v>4</v>
      </c>
      <c r="V906">
        <v>76</v>
      </c>
      <c r="W906">
        <v>2</v>
      </c>
      <c r="X906">
        <v>5</v>
      </c>
      <c r="Y906" s="1" t="s">
        <v>11</v>
      </c>
      <c r="Z906">
        <v>4</v>
      </c>
      <c r="AA906">
        <v>18265</v>
      </c>
      <c r="AB906">
        <v>8733</v>
      </c>
      <c r="AC906" s="1" t="s">
        <v>19</v>
      </c>
      <c r="AD906">
        <v>12</v>
      </c>
      <c r="AE906">
        <v>3</v>
      </c>
      <c r="AF906">
        <v>3</v>
      </c>
      <c r="AG906">
        <v>80</v>
      </c>
      <c r="AH906">
        <v>0</v>
      </c>
      <c r="AI906">
        <v>4</v>
      </c>
      <c r="AJ906">
        <v>0</v>
      </c>
      <c r="AK906" s="1" t="s">
        <v>136</v>
      </c>
    </row>
    <row r="907" spans="1:37" x14ac:dyDescent="0.25">
      <c r="A907">
        <v>1264</v>
      </c>
      <c r="B907">
        <v>29</v>
      </c>
      <c r="C907" s="1" t="s">
        <v>24</v>
      </c>
      <c r="D907" s="1" t="s">
        <v>69</v>
      </c>
      <c r="E907">
        <v>3</v>
      </c>
      <c r="F907" s="1" t="s">
        <v>134</v>
      </c>
      <c r="G907">
        <v>3</v>
      </c>
      <c r="H907" s="1" t="s">
        <v>18</v>
      </c>
      <c r="I907">
        <v>9</v>
      </c>
      <c r="J907">
        <v>2</v>
      </c>
      <c r="K907">
        <v>7</v>
      </c>
      <c r="L907">
        <v>7</v>
      </c>
      <c r="M907">
        <v>1</v>
      </c>
      <c r="N907">
        <v>7</v>
      </c>
      <c r="O907" s="1" t="s">
        <v>19</v>
      </c>
      <c r="P907" s="1" t="s">
        <v>135</v>
      </c>
      <c r="Q907">
        <v>694</v>
      </c>
      <c r="R907" s="1" t="s">
        <v>63</v>
      </c>
      <c r="S907">
        <v>1</v>
      </c>
      <c r="T907">
        <v>1</v>
      </c>
      <c r="U907">
        <v>4</v>
      </c>
      <c r="V907">
        <v>87</v>
      </c>
      <c r="W907">
        <v>2</v>
      </c>
      <c r="X907">
        <v>4</v>
      </c>
      <c r="Y907" s="1" t="s">
        <v>11</v>
      </c>
      <c r="Z907">
        <v>4</v>
      </c>
      <c r="AA907">
        <v>16124</v>
      </c>
      <c r="AB907">
        <v>3423</v>
      </c>
      <c r="AC907" s="1" t="s">
        <v>19</v>
      </c>
      <c r="AD907">
        <v>14</v>
      </c>
      <c r="AE907">
        <v>3</v>
      </c>
      <c r="AF907">
        <v>2</v>
      </c>
      <c r="AG907">
        <v>80</v>
      </c>
      <c r="AH907">
        <v>2</v>
      </c>
      <c r="AI907">
        <v>2</v>
      </c>
      <c r="AJ907">
        <v>0</v>
      </c>
      <c r="AK907" s="1" t="s">
        <v>136</v>
      </c>
    </row>
    <row r="908" spans="1:37" x14ac:dyDescent="0.25">
      <c r="A908">
        <v>1265</v>
      </c>
      <c r="B908">
        <v>34</v>
      </c>
      <c r="C908" s="1" t="s">
        <v>24</v>
      </c>
      <c r="D908" s="1" t="s">
        <v>70</v>
      </c>
      <c r="E908">
        <v>3</v>
      </c>
      <c r="F908" s="1" t="s">
        <v>143</v>
      </c>
      <c r="G908">
        <v>0</v>
      </c>
      <c r="H908" s="1" t="s">
        <v>18</v>
      </c>
      <c r="I908">
        <v>2</v>
      </c>
      <c r="J908">
        <v>5</v>
      </c>
      <c r="K908">
        <v>1</v>
      </c>
      <c r="L908">
        <v>0</v>
      </c>
      <c r="M908">
        <v>0</v>
      </c>
      <c r="N908">
        <v>0</v>
      </c>
      <c r="O908" s="1" t="s">
        <v>19</v>
      </c>
      <c r="P908" s="1" t="s">
        <v>135</v>
      </c>
      <c r="Q908">
        <v>1320</v>
      </c>
      <c r="R908" s="1" t="s">
        <v>63</v>
      </c>
      <c r="S908">
        <v>20</v>
      </c>
      <c r="T908">
        <v>1</v>
      </c>
      <c r="U908">
        <v>3</v>
      </c>
      <c r="V908">
        <v>89</v>
      </c>
      <c r="W908">
        <v>4</v>
      </c>
      <c r="X908">
        <v>1</v>
      </c>
      <c r="Y908" s="1" t="s">
        <v>5</v>
      </c>
      <c r="Z908">
        <v>3</v>
      </c>
      <c r="AA908">
        <v>2585</v>
      </c>
      <c r="AB908">
        <v>21643</v>
      </c>
      <c r="AC908" s="1" t="s">
        <v>19</v>
      </c>
      <c r="AD908">
        <v>17</v>
      </c>
      <c r="AE908">
        <v>3</v>
      </c>
      <c r="AF908">
        <v>4</v>
      </c>
      <c r="AG908">
        <v>80</v>
      </c>
      <c r="AH908">
        <v>0</v>
      </c>
      <c r="AI908">
        <v>2</v>
      </c>
      <c r="AJ908">
        <v>0</v>
      </c>
      <c r="AK908" s="1" t="s">
        <v>136</v>
      </c>
    </row>
    <row r="909" spans="1:37" x14ac:dyDescent="0.25">
      <c r="A909">
        <v>1267</v>
      </c>
      <c r="B909">
        <v>44</v>
      </c>
      <c r="C909" s="1" t="s">
        <v>25</v>
      </c>
      <c r="D909" s="1" t="s">
        <v>70</v>
      </c>
      <c r="E909">
        <v>3</v>
      </c>
      <c r="F909" s="1" t="s">
        <v>142</v>
      </c>
      <c r="G909">
        <v>7</v>
      </c>
      <c r="H909" s="1" t="s">
        <v>18</v>
      </c>
      <c r="I909">
        <v>26</v>
      </c>
      <c r="J909">
        <v>5</v>
      </c>
      <c r="K909">
        <v>22</v>
      </c>
      <c r="L909">
        <v>9</v>
      </c>
      <c r="M909">
        <v>3</v>
      </c>
      <c r="N909">
        <v>10</v>
      </c>
      <c r="O909" s="1" t="s">
        <v>19</v>
      </c>
      <c r="P909" s="1" t="s">
        <v>135</v>
      </c>
      <c r="Q909">
        <v>1099</v>
      </c>
      <c r="R909" s="1" t="s">
        <v>64</v>
      </c>
      <c r="S909">
        <v>5</v>
      </c>
      <c r="T909">
        <v>1</v>
      </c>
      <c r="U909">
        <v>2</v>
      </c>
      <c r="V909">
        <v>88</v>
      </c>
      <c r="W909">
        <v>3</v>
      </c>
      <c r="X909">
        <v>5</v>
      </c>
      <c r="Y909" s="1" t="s">
        <v>9</v>
      </c>
      <c r="Z909">
        <v>2</v>
      </c>
      <c r="AA909">
        <v>18213</v>
      </c>
      <c r="AB909">
        <v>8751</v>
      </c>
      <c r="AC909" s="1" t="s">
        <v>19</v>
      </c>
      <c r="AD909">
        <v>11</v>
      </c>
      <c r="AE909">
        <v>3</v>
      </c>
      <c r="AF909">
        <v>3</v>
      </c>
      <c r="AG909">
        <v>80</v>
      </c>
      <c r="AH909">
        <v>1</v>
      </c>
      <c r="AI909">
        <v>3</v>
      </c>
      <c r="AJ909">
        <v>0</v>
      </c>
      <c r="AK909" s="1" t="s">
        <v>136</v>
      </c>
    </row>
    <row r="910" spans="1:37" x14ac:dyDescent="0.25">
      <c r="A910">
        <v>1268</v>
      </c>
      <c r="B910">
        <v>33</v>
      </c>
      <c r="C910" s="1" t="s">
        <v>25</v>
      </c>
      <c r="D910" s="1" t="s">
        <v>69</v>
      </c>
      <c r="E910">
        <v>5</v>
      </c>
      <c r="F910" s="1" t="s">
        <v>142</v>
      </c>
      <c r="G910">
        <v>0</v>
      </c>
      <c r="H910" s="1" t="s">
        <v>18</v>
      </c>
      <c r="I910">
        <v>10</v>
      </c>
      <c r="J910">
        <v>3</v>
      </c>
      <c r="K910">
        <v>9</v>
      </c>
      <c r="L910">
        <v>8</v>
      </c>
      <c r="M910">
        <v>0</v>
      </c>
      <c r="N910">
        <v>8</v>
      </c>
      <c r="O910" s="1" t="s">
        <v>19</v>
      </c>
      <c r="P910" s="1" t="s">
        <v>135</v>
      </c>
      <c r="Q910">
        <v>536</v>
      </c>
      <c r="R910" s="1" t="s">
        <v>64</v>
      </c>
      <c r="S910">
        <v>10</v>
      </c>
      <c r="T910">
        <v>1</v>
      </c>
      <c r="U910">
        <v>4</v>
      </c>
      <c r="V910">
        <v>82</v>
      </c>
      <c r="W910">
        <v>4</v>
      </c>
      <c r="X910">
        <v>3</v>
      </c>
      <c r="Y910" s="1" t="s">
        <v>4</v>
      </c>
      <c r="Z910">
        <v>3</v>
      </c>
      <c r="AA910">
        <v>8380</v>
      </c>
      <c r="AB910">
        <v>21708</v>
      </c>
      <c r="AC910" s="1" t="s">
        <v>18</v>
      </c>
      <c r="AD910">
        <v>14</v>
      </c>
      <c r="AE910">
        <v>3</v>
      </c>
      <c r="AF910">
        <v>4</v>
      </c>
      <c r="AG910">
        <v>80</v>
      </c>
      <c r="AH910">
        <v>2</v>
      </c>
      <c r="AI910">
        <v>3</v>
      </c>
      <c r="AJ910">
        <v>0</v>
      </c>
      <c r="AK910" s="1" t="s">
        <v>136</v>
      </c>
    </row>
    <row r="911" spans="1:37" x14ac:dyDescent="0.25">
      <c r="A911">
        <v>1269</v>
      </c>
      <c r="B911">
        <v>19</v>
      </c>
      <c r="C911" s="1" t="s">
        <v>24</v>
      </c>
      <c r="D911" s="1" t="s">
        <v>71</v>
      </c>
      <c r="E911">
        <v>3</v>
      </c>
      <c r="F911" s="1" t="s">
        <v>134</v>
      </c>
      <c r="G911">
        <v>1</v>
      </c>
      <c r="H911" s="1" t="s">
        <v>18</v>
      </c>
      <c r="I911">
        <v>1</v>
      </c>
      <c r="J911">
        <v>2</v>
      </c>
      <c r="K911">
        <v>1</v>
      </c>
      <c r="L911">
        <v>0</v>
      </c>
      <c r="M911">
        <v>0</v>
      </c>
      <c r="N911">
        <v>1</v>
      </c>
      <c r="O911" s="1" t="s">
        <v>19</v>
      </c>
      <c r="P911" s="1" t="s">
        <v>135</v>
      </c>
      <c r="Q911">
        <v>265</v>
      </c>
      <c r="R911" s="1" t="s">
        <v>63</v>
      </c>
      <c r="S911">
        <v>25</v>
      </c>
      <c r="T911">
        <v>1</v>
      </c>
      <c r="U911">
        <v>2</v>
      </c>
      <c r="V911">
        <v>57</v>
      </c>
      <c r="W911">
        <v>4</v>
      </c>
      <c r="X911">
        <v>1</v>
      </c>
      <c r="Y911" s="1" t="s">
        <v>5</v>
      </c>
      <c r="Z911">
        <v>4</v>
      </c>
      <c r="AA911">
        <v>2994</v>
      </c>
      <c r="AB911">
        <v>21221</v>
      </c>
      <c r="AC911" s="1" t="s">
        <v>18</v>
      </c>
      <c r="AD911">
        <v>12</v>
      </c>
      <c r="AE911">
        <v>3</v>
      </c>
      <c r="AF911">
        <v>4</v>
      </c>
      <c r="AG911">
        <v>80</v>
      </c>
      <c r="AH911">
        <v>0</v>
      </c>
      <c r="AI911">
        <v>3</v>
      </c>
      <c r="AJ911">
        <v>0</v>
      </c>
      <c r="AK911" s="1" t="s">
        <v>136</v>
      </c>
    </row>
    <row r="912" spans="1:37" x14ac:dyDescent="0.25">
      <c r="A912">
        <v>1270</v>
      </c>
      <c r="B912">
        <v>23</v>
      </c>
      <c r="C912" s="1" t="s">
        <v>25</v>
      </c>
      <c r="D912" s="1" t="s">
        <v>70</v>
      </c>
      <c r="E912">
        <v>2</v>
      </c>
      <c r="F912" s="1" t="s">
        <v>134</v>
      </c>
      <c r="G912">
        <v>1</v>
      </c>
      <c r="H912" s="1" t="s">
        <v>18</v>
      </c>
      <c r="I912">
        <v>1</v>
      </c>
      <c r="J912">
        <v>2</v>
      </c>
      <c r="K912">
        <v>1</v>
      </c>
      <c r="L912">
        <v>0</v>
      </c>
      <c r="M912">
        <v>0</v>
      </c>
      <c r="N912">
        <v>1</v>
      </c>
      <c r="O912" s="1" t="s">
        <v>19</v>
      </c>
      <c r="P912" s="1" t="s">
        <v>135</v>
      </c>
      <c r="Q912">
        <v>373</v>
      </c>
      <c r="R912" s="1" t="s">
        <v>63</v>
      </c>
      <c r="S912">
        <v>1</v>
      </c>
      <c r="T912">
        <v>1</v>
      </c>
      <c r="U912">
        <v>4</v>
      </c>
      <c r="V912">
        <v>47</v>
      </c>
      <c r="W912">
        <v>3</v>
      </c>
      <c r="X912">
        <v>1</v>
      </c>
      <c r="Y912" s="1" t="s">
        <v>5</v>
      </c>
      <c r="Z912">
        <v>3</v>
      </c>
      <c r="AA912">
        <v>1223</v>
      </c>
      <c r="AB912">
        <v>16901</v>
      </c>
      <c r="AC912" s="1" t="s">
        <v>19</v>
      </c>
      <c r="AD912">
        <v>22</v>
      </c>
      <c r="AE912">
        <v>4</v>
      </c>
      <c r="AF912">
        <v>4</v>
      </c>
      <c r="AG912">
        <v>80</v>
      </c>
      <c r="AH912">
        <v>1</v>
      </c>
      <c r="AI912">
        <v>3</v>
      </c>
      <c r="AJ912">
        <v>0</v>
      </c>
      <c r="AK912" s="1" t="s">
        <v>136</v>
      </c>
    </row>
    <row r="913" spans="1:37" x14ac:dyDescent="0.25">
      <c r="A913">
        <v>1273</v>
      </c>
      <c r="B913">
        <v>25</v>
      </c>
      <c r="C913" s="1" t="s">
        <v>25</v>
      </c>
      <c r="D913" s="1" t="s">
        <v>71</v>
      </c>
      <c r="E913">
        <v>1</v>
      </c>
      <c r="F913" s="1" t="s">
        <v>134</v>
      </c>
      <c r="G913">
        <v>1</v>
      </c>
      <c r="H913" s="1" t="s">
        <v>18</v>
      </c>
      <c r="I913">
        <v>1</v>
      </c>
      <c r="J913">
        <v>4</v>
      </c>
      <c r="K913">
        <v>1</v>
      </c>
      <c r="L913">
        <v>0</v>
      </c>
      <c r="M913">
        <v>1</v>
      </c>
      <c r="N913">
        <v>0</v>
      </c>
      <c r="O913" s="1" t="s">
        <v>18</v>
      </c>
      <c r="P913" s="1" t="s">
        <v>137</v>
      </c>
      <c r="Q913">
        <v>599</v>
      </c>
      <c r="R913" s="1" t="s">
        <v>64</v>
      </c>
      <c r="S913">
        <v>24</v>
      </c>
      <c r="T913">
        <v>1</v>
      </c>
      <c r="U913">
        <v>3</v>
      </c>
      <c r="V913">
        <v>73</v>
      </c>
      <c r="W913">
        <v>1</v>
      </c>
      <c r="X913">
        <v>1</v>
      </c>
      <c r="Y913" s="1" t="s">
        <v>10</v>
      </c>
      <c r="Z913">
        <v>4</v>
      </c>
      <c r="AA913">
        <v>1118</v>
      </c>
      <c r="AB913">
        <v>8040</v>
      </c>
      <c r="AC913" s="1" t="s">
        <v>18</v>
      </c>
      <c r="AD913">
        <v>14</v>
      </c>
      <c r="AE913">
        <v>3</v>
      </c>
      <c r="AF913">
        <v>4</v>
      </c>
      <c r="AG913">
        <v>80</v>
      </c>
      <c r="AH913">
        <v>0</v>
      </c>
      <c r="AI913">
        <v>3</v>
      </c>
      <c r="AJ913">
        <v>1</v>
      </c>
      <c r="AK913" s="1" t="s">
        <v>136</v>
      </c>
    </row>
    <row r="914" spans="1:37" x14ac:dyDescent="0.25">
      <c r="A914">
        <v>1275</v>
      </c>
      <c r="B914">
        <v>26</v>
      </c>
      <c r="C914" s="1" t="s">
        <v>25</v>
      </c>
      <c r="D914" s="1" t="s">
        <v>71</v>
      </c>
      <c r="E914">
        <v>2</v>
      </c>
      <c r="F914" s="1" t="s">
        <v>134</v>
      </c>
      <c r="G914">
        <v>1</v>
      </c>
      <c r="H914" s="1" t="s">
        <v>18</v>
      </c>
      <c r="I914">
        <v>8</v>
      </c>
      <c r="J914">
        <v>2</v>
      </c>
      <c r="K914">
        <v>8</v>
      </c>
      <c r="L914">
        <v>5</v>
      </c>
      <c r="M914">
        <v>2</v>
      </c>
      <c r="N914">
        <v>2</v>
      </c>
      <c r="O914" s="1" t="s">
        <v>19</v>
      </c>
      <c r="P914" s="1" t="s">
        <v>135</v>
      </c>
      <c r="Q914">
        <v>583</v>
      </c>
      <c r="R914" s="1" t="s">
        <v>63</v>
      </c>
      <c r="S914">
        <v>4</v>
      </c>
      <c r="T914">
        <v>1</v>
      </c>
      <c r="U914">
        <v>3</v>
      </c>
      <c r="V914">
        <v>53</v>
      </c>
      <c r="W914">
        <v>3</v>
      </c>
      <c r="X914">
        <v>1</v>
      </c>
      <c r="Y914" s="1" t="s">
        <v>5</v>
      </c>
      <c r="Z914">
        <v>4</v>
      </c>
      <c r="AA914">
        <v>2875</v>
      </c>
      <c r="AB914">
        <v>9973</v>
      </c>
      <c r="AC914" s="1" t="s">
        <v>18</v>
      </c>
      <c r="AD914">
        <v>20</v>
      </c>
      <c r="AE914">
        <v>4</v>
      </c>
      <c r="AF914">
        <v>2</v>
      </c>
      <c r="AG914">
        <v>80</v>
      </c>
      <c r="AH914">
        <v>0</v>
      </c>
      <c r="AI914">
        <v>2</v>
      </c>
      <c r="AJ914">
        <v>0</v>
      </c>
      <c r="AK914" s="1" t="s">
        <v>136</v>
      </c>
    </row>
    <row r="915" spans="1:37" x14ac:dyDescent="0.25">
      <c r="A915">
        <v>1277</v>
      </c>
      <c r="B915">
        <v>45</v>
      </c>
      <c r="C915" s="1" t="s">
        <v>24</v>
      </c>
      <c r="D915" s="1" t="s">
        <v>71</v>
      </c>
      <c r="E915">
        <v>3</v>
      </c>
      <c r="F915" s="1" t="s">
        <v>142</v>
      </c>
      <c r="G915">
        <v>2</v>
      </c>
      <c r="H915" s="1" t="s">
        <v>18</v>
      </c>
      <c r="I915">
        <v>26</v>
      </c>
      <c r="J915">
        <v>2</v>
      </c>
      <c r="K915">
        <v>24</v>
      </c>
      <c r="L915">
        <v>10</v>
      </c>
      <c r="M915">
        <v>1</v>
      </c>
      <c r="N915">
        <v>11</v>
      </c>
      <c r="O915" s="1" t="s">
        <v>18</v>
      </c>
      <c r="P915" s="1" t="s">
        <v>135</v>
      </c>
      <c r="Q915">
        <v>1449</v>
      </c>
      <c r="R915" s="1" t="s">
        <v>64</v>
      </c>
      <c r="S915">
        <v>2</v>
      </c>
      <c r="T915">
        <v>1</v>
      </c>
      <c r="U915">
        <v>1</v>
      </c>
      <c r="V915">
        <v>94</v>
      </c>
      <c r="W915">
        <v>1</v>
      </c>
      <c r="X915">
        <v>5</v>
      </c>
      <c r="Y915" s="1" t="s">
        <v>9</v>
      </c>
      <c r="Z915">
        <v>2</v>
      </c>
      <c r="AA915">
        <v>18824</v>
      </c>
      <c r="AB915">
        <v>2493</v>
      </c>
      <c r="AC915" s="1" t="s">
        <v>18</v>
      </c>
      <c r="AD915">
        <v>16</v>
      </c>
      <c r="AE915">
        <v>3</v>
      </c>
      <c r="AF915">
        <v>1</v>
      </c>
      <c r="AG915">
        <v>80</v>
      </c>
      <c r="AH915">
        <v>0</v>
      </c>
      <c r="AI915">
        <v>3</v>
      </c>
      <c r="AJ915">
        <v>1</v>
      </c>
      <c r="AK915" s="1" t="s">
        <v>136</v>
      </c>
    </row>
    <row r="916" spans="1:37" x14ac:dyDescent="0.25">
      <c r="A916">
        <v>1278</v>
      </c>
      <c r="B916">
        <v>55</v>
      </c>
      <c r="C916" s="1" t="s">
        <v>25</v>
      </c>
      <c r="D916" s="1" t="s">
        <v>69</v>
      </c>
      <c r="E916">
        <v>1</v>
      </c>
      <c r="F916" s="1" t="s">
        <v>139</v>
      </c>
      <c r="G916">
        <v>1</v>
      </c>
      <c r="H916" s="1" t="s">
        <v>18</v>
      </c>
      <c r="I916">
        <v>34</v>
      </c>
      <c r="J916">
        <v>3</v>
      </c>
      <c r="K916">
        <v>33</v>
      </c>
      <c r="L916">
        <v>9</v>
      </c>
      <c r="M916">
        <v>15</v>
      </c>
      <c r="N916">
        <v>0</v>
      </c>
      <c r="O916" s="1" t="s">
        <v>19</v>
      </c>
      <c r="P916" s="1" t="s">
        <v>141</v>
      </c>
      <c r="Q916">
        <v>177</v>
      </c>
      <c r="R916" s="1" t="s">
        <v>63</v>
      </c>
      <c r="S916">
        <v>8</v>
      </c>
      <c r="T916">
        <v>1</v>
      </c>
      <c r="U916">
        <v>4</v>
      </c>
      <c r="V916">
        <v>37</v>
      </c>
      <c r="W916">
        <v>2</v>
      </c>
      <c r="X916">
        <v>4</v>
      </c>
      <c r="Y916" s="1" t="s">
        <v>8</v>
      </c>
      <c r="Z916">
        <v>2</v>
      </c>
      <c r="AA916">
        <v>13577</v>
      </c>
      <c r="AB916">
        <v>25592</v>
      </c>
      <c r="AC916" s="1" t="s">
        <v>18</v>
      </c>
      <c r="AD916">
        <v>15</v>
      </c>
      <c r="AE916">
        <v>3</v>
      </c>
      <c r="AF916">
        <v>4</v>
      </c>
      <c r="AG916">
        <v>80</v>
      </c>
      <c r="AH916">
        <v>1</v>
      </c>
      <c r="AI916">
        <v>3</v>
      </c>
      <c r="AJ916">
        <v>0</v>
      </c>
      <c r="AK916" s="1" t="s">
        <v>140</v>
      </c>
    </row>
    <row r="917" spans="1:37" x14ac:dyDescent="0.25">
      <c r="A917">
        <v>1279</v>
      </c>
      <c r="B917">
        <v>21</v>
      </c>
      <c r="C917" s="1" t="s">
        <v>24</v>
      </c>
      <c r="D917" s="1" t="s">
        <v>71</v>
      </c>
      <c r="E917">
        <v>2</v>
      </c>
      <c r="F917" s="1" t="s">
        <v>134</v>
      </c>
      <c r="G917">
        <v>1</v>
      </c>
      <c r="H917" s="1" t="s">
        <v>18</v>
      </c>
      <c r="I917">
        <v>2</v>
      </c>
      <c r="J917">
        <v>2</v>
      </c>
      <c r="K917">
        <v>2</v>
      </c>
      <c r="L917">
        <v>2</v>
      </c>
      <c r="M917">
        <v>2</v>
      </c>
      <c r="N917">
        <v>2</v>
      </c>
      <c r="O917" s="1" t="s">
        <v>18</v>
      </c>
      <c r="P917" s="1" t="s">
        <v>137</v>
      </c>
      <c r="Q917">
        <v>251</v>
      </c>
      <c r="R917" s="1" t="s">
        <v>63</v>
      </c>
      <c r="S917">
        <v>10</v>
      </c>
      <c r="T917">
        <v>1</v>
      </c>
      <c r="U917">
        <v>1</v>
      </c>
      <c r="V917">
        <v>45</v>
      </c>
      <c r="W917">
        <v>2</v>
      </c>
      <c r="X917">
        <v>1</v>
      </c>
      <c r="Y917" s="1" t="s">
        <v>6</v>
      </c>
      <c r="Z917">
        <v>3</v>
      </c>
      <c r="AA917">
        <v>2625</v>
      </c>
      <c r="AB917">
        <v>25308</v>
      </c>
      <c r="AC917" s="1" t="s">
        <v>19</v>
      </c>
      <c r="AD917">
        <v>20</v>
      </c>
      <c r="AE917">
        <v>4</v>
      </c>
      <c r="AF917">
        <v>3</v>
      </c>
      <c r="AG917">
        <v>80</v>
      </c>
      <c r="AH917">
        <v>0</v>
      </c>
      <c r="AI917">
        <v>1</v>
      </c>
      <c r="AJ917">
        <v>1</v>
      </c>
      <c r="AK917" s="1" t="s">
        <v>136</v>
      </c>
    </row>
    <row r="918" spans="1:37" x14ac:dyDescent="0.25">
      <c r="A918">
        <v>1280</v>
      </c>
      <c r="B918">
        <v>46</v>
      </c>
      <c r="C918" s="1" t="s">
        <v>24</v>
      </c>
      <c r="D918" s="1" t="s">
        <v>70</v>
      </c>
      <c r="E918">
        <v>2</v>
      </c>
      <c r="F918" s="1" t="s">
        <v>142</v>
      </c>
      <c r="G918">
        <v>2</v>
      </c>
      <c r="H918" s="1" t="s">
        <v>18</v>
      </c>
      <c r="I918">
        <v>26</v>
      </c>
      <c r="J918">
        <v>2</v>
      </c>
      <c r="K918">
        <v>11</v>
      </c>
      <c r="L918">
        <v>4</v>
      </c>
      <c r="M918">
        <v>0</v>
      </c>
      <c r="N918">
        <v>8</v>
      </c>
      <c r="O918" s="1" t="s">
        <v>19</v>
      </c>
      <c r="P918" s="1" t="s">
        <v>135</v>
      </c>
      <c r="Q918">
        <v>168</v>
      </c>
      <c r="R918" s="1" t="s">
        <v>64</v>
      </c>
      <c r="S918">
        <v>4</v>
      </c>
      <c r="T918">
        <v>1</v>
      </c>
      <c r="U918">
        <v>4</v>
      </c>
      <c r="V918">
        <v>33</v>
      </c>
      <c r="W918">
        <v>2</v>
      </c>
      <c r="X918">
        <v>5</v>
      </c>
      <c r="Y918" s="1" t="s">
        <v>9</v>
      </c>
      <c r="Z918">
        <v>2</v>
      </c>
      <c r="AA918">
        <v>18789</v>
      </c>
      <c r="AB918">
        <v>9946</v>
      </c>
      <c r="AC918" s="1" t="s">
        <v>19</v>
      </c>
      <c r="AD918">
        <v>14</v>
      </c>
      <c r="AE918">
        <v>3</v>
      </c>
      <c r="AF918">
        <v>3</v>
      </c>
      <c r="AG918">
        <v>80</v>
      </c>
      <c r="AH918">
        <v>1</v>
      </c>
      <c r="AI918">
        <v>3</v>
      </c>
      <c r="AJ918">
        <v>0</v>
      </c>
      <c r="AK918" s="1" t="s">
        <v>136</v>
      </c>
    </row>
    <row r="919" spans="1:37" x14ac:dyDescent="0.25">
      <c r="A919">
        <v>1281</v>
      </c>
      <c r="B919">
        <v>34</v>
      </c>
      <c r="C919" s="1" t="s">
        <v>24</v>
      </c>
      <c r="D919" s="1" t="s">
        <v>71</v>
      </c>
      <c r="E919">
        <v>3</v>
      </c>
      <c r="F919" s="1" t="s">
        <v>142</v>
      </c>
      <c r="G919">
        <v>0</v>
      </c>
      <c r="H919" s="1" t="s">
        <v>18</v>
      </c>
      <c r="I919">
        <v>4</v>
      </c>
      <c r="J919">
        <v>3</v>
      </c>
      <c r="K919">
        <v>3</v>
      </c>
      <c r="L919">
        <v>2</v>
      </c>
      <c r="M919">
        <v>0</v>
      </c>
      <c r="N919">
        <v>2</v>
      </c>
      <c r="O919" s="1" t="s">
        <v>19</v>
      </c>
      <c r="P919" s="1" t="s">
        <v>135</v>
      </c>
      <c r="Q919">
        <v>131</v>
      </c>
      <c r="R919" s="1" t="s">
        <v>64</v>
      </c>
      <c r="S919">
        <v>2</v>
      </c>
      <c r="T919">
        <v>1</v>
      </c>
      <c r="U919">
        <v>3</v>
      </c>
      <c r="V919">
        <v>86</v>
      </c>
      <c r="W919">
        <v>3</v>
      </c>
      <c r="X919">
        <v>2</v>
      </c>
      <c r="Y919" s="1" t="s">
        <v>4</v>
      </c>
      <c r="Z919">
        <v>1</v>
      </c>
      <c r="AA919">
        <v>4538</v>
      </c>
      <c r="AB919">
        <v>6039</v>
      </c>
      <c r="AC919" s="1" t="s">
        <v>18</v>
      </c>
      <c r="AD919">
        <v>12</v>
      </c>
      <c r="AE919">
        <v>3</v>
      </c>
      <c r="AF919">
        <v>4</v>
      </c>
      <c r="AG919">
        <v>80</v>
      </c>
      <c r="AH919">
        <v>0</v>
      </c>
      <c r="AI919">
        <v>3</v>
      </c>
      <c r="AJ919">
        <v>0</v>
      </c>
      <c r="AK919" s="1" t="s">
        <v>136</v>
      </c>
    </row>
    <row r="920" spans="1:37" x14ac:dyDescent="0.25">
      <c r="A920">
        <v>1282</v>
      </c>
      <c r="B920">
        <v>51</v>
      </c>
      <c r="C920" s="1" t="s">
        <v>25</v>
      </c>
      <c r="D920" s="1" t="s">
        <v>69</v>
      </c>
      <c r="E920">
        <v>3</v>
      </c>
      <c r="F920" s="1" t="s">
        <v>134</v>
      </c>
      <c r="G920">
        <v>4</v>
      </c>
      <c r="H920" s="1" t="s">
        <v>18</v>
      </c>
      <c r="I920">
        <v>31</v>
      </c>
      <c r="J920">
        <v>5</v>
      </c>
      <c r="K920">
        <v>29</v>
      </c>
      <c r="L920">
        <v>10</v>
      </c>
      <c r="M920">
        <v>11</v>
      </c>
      <c r="N920">
        <v>10</v>
      </c>
      <c r="O920" s="1" t="s">
        <v>19</v>
      </c>
      <c r="P920" s="1" t="s">
        <v>137</v>
      </c>
      <c r="Q920">
        <v>237</v>
      </c>
      <c r="R920" s="1" t="s">
        <v>64</v>
      </c>
      <c r="S920">
        <v>9</v>
      </c>
      <c r="T920">
        <v>1</v>
      </c>
      <c r="U920">
        <v>4</v>
      </c>
      <c r="V920">
        <v>83</v>
      </c>
      <c r="W920">
        <v>3</v>
      </c>
      <c r="X920">
        <v>5</v>
      </c>
      <c r="Y920" s="1" t="s">
        <v>9</v>
      </c>
      <c r="Z920">
        <v>2</v>
      </c>
      <c r="AA920">
        <v>19847</v>
      </c>
      <c r="AB920">
        <v>19196</v>
      </c>
      <c r="AC920" s="1" t="s">
        <v>18</v>
      </c>
      <c r="AD920">
        <v>24</v>
      </c>
      <c r="AE920">
        <v>4</v>
      </c>
      <c r="AF920">
        <v>1</v>
      </c>
      <c r="AG920">
        <v>80</v>
      </c>
      <c r="AH920">
        <v>1</v>
      </c>
      <c r="AI920">
        <v>2</v>
      </c>
      <c r="AJ920">
        <v>0</v>
      </c>
      <c r="AK920" s="1" t="s">
        <v>140</v>
      </c>
    </row>
    <row r="921" spans="1:37" x14ac:dyDescent="0.25">
      <c r="A921">
        <v>1283</v>
      </c>
      <c r="B921">
        <v>59</v>
      </c>
      <c r="C921" s="1" t="s">
        <v>25</v>
      </c>
      <c r="D921" s="1" t="s">
        <v>71</v>
      </c>
      <c r="E921">
        <v>4</v>
      </c>
      <c r="F921" s="1" t="s">
        <v>139</v>
      </c>
      <c r="G921">
        <v>6</v>
      </c>
      <c r="H921" s="1" t="s">
        <v>18</v>
      </c>
      <c r="I921">
        <v>25</v>
      </c>
      <c r="J921">
        <v>6</v>
      </c>
      <c r="K921">
        <v>9</v>
      </c>
      <c r="L921">
        <v>7</v>
      </c>
      <c r="M921">
        <v>5</v>
      </c>
      <c r="N921">
        <v>4</v>
      </c>
      <c r="O921" s="1" t="s">
        <v>19</v>
      </c>
      <c r="P921" s="1" t="s">
        <v>135</v>
      </c>
      <c r="Q921">
        <v>1429</v>
      </c>
      <c r="R921" s="1" t="s">
        <v>63</v>
      </c>
      <c r="S921">
        <v>18</v>
      </c>
      <c r="T921">
        <v>1</v>
      </c>
      <c r="U921">
        <v>4</v>
      </c>
      <c r="V921">
        <v>67</v>
      </c>
      <c r="W921">
        <v>3</v>
      </c>
      <c r="X921">
        <v>3</v>
      </c>
      <c r="Y921" s="1" t="s">
        <v>7</v>
      </c>
      <c r="Z921">
        <v>4</v>
      </c>
      <c r="AA921">
        <v>10512</v>
      </c>
      <c r="AB921">
        <v>20002</v>
      </c>
      <c r="AC921" s="1" t="s">
        <v>19</v>
      </c>
      <c r="AD921">
        <v>12</v>
      </c>
      <c r="AE921">
        <v>3</v>
      </c>
      <c r="AF921">
        <v>4</v>
      </c>
      <c r="AG921">
        <v>80</v>
      </c>
      <c r="AH921">
        <v>0</v>
      </c>
      <c r="AI921">
        <v>2</v>
      </c>
      <c r="AJ921">
        <v>0</v>
      </c>
      <c r="AK921" s="1" t="s">
        <v>140</v>
      </c>
    </row>
    <row r="922" spans="1:37" x14ac:dyDescent="0.25">
      <c r="A922">
        <v>1285</v>
      </c>
      <c r="B922">
        <v>34</v>
      </c>
      <c r="C922" s="1" t="s">
        <v>24</v>
      </c>
      <c r="D922" s="1" t="s">
        <v>69</v>
      </c>
      <c r="E922">
        <v>3</v>
      </c>
      <c r="F922" s="1" t="s">
        <v>139</v>
      </c>
      <c r="G922">
        <v>4</v>
      </c>
      <c r="H922" s="1" t="s">
        <v>18</v>
      </c>
      <c r="I922">
        <v>15</v>
      </c>
      <c r="J922">
        <v>2</v>
      </c>
      <c r="K922">
        <v>11</v>
      </c>
      <c r="L922">
        <v>8</v>
      </c>
      <c r="M922">
        <v>5</v>
      </c>
      <c r="N922">
        <v>10</v>
      </c>
      <c r="O922" s="1" t="s">
        <v>19</v>
      </c>
      <c r="P922" s="1" t="s">
        <v>137</v>
      </c>
      <c r="Q922">
        <v>135</v>
      </c>
      <c r="R922" s="1" t="s">
        <v>63</v>
      </c>
      <c r="S922">
        <v>19</v>
      </c>
      <c r="T922">
        <v>1</v>
      </c>
      <c r="U922">
        <v>3</v>
      </c>
      <c r="V922">
        <v>46</v>
      </c>
      <c r="W922">
        <v>3</v>
      </c>
      <c r="X922">
        <v>2</v>
      </c>
      <c r="Y922" s="1" t="s">
        <v>6</v>
      </c>
      <c r="Z922">
        <v>2</v>
      </c>
      <c r="AA922">
        <v>4444</v>
      </c>
      <c r="AB922">
        <v>22534</v>
      </c>
      <c r="AC922" s="1" t="s">
        <v>19</v>
      </c>
      <c r="AD922">
        <v>13</v>
      </c>
      <c r="AE922">
        <v>3</v>
      </c>
      <c r="AF922">
        <v>3</v>
      </c>
      <c r="AG922">
        <v>80</v>
      </c>
      <c r="AH922">
        <v>2</v>
      </c>
      <c r="AI922">
        <v>4</v>
      </c>
      <c r="AJ922">
        <v>0</v>
      </c>
      <c r="AK922" s="1" t="s">
        <v>136</v>
      </c>
    </row>
    <row r="923" spans="1:37" x14ac:dyDescent="0.25">
      <c r="A923">
        <v>1286</v>
      </c>
      <c r="B923">
        <v>28</v>
      </c>
      <c r="C923" s="1" t="s">
        <v>25</v>
      </c>
      <c r="D923" s="1" t="s">
        <v>71</v>
      </c>
      <c r="E923">
        <v>4</v>
      </c>
      <c r="F923" s="1" t="s">
        <v>139</v>
      </c>
      <c r="G923">
        <v>0</v>
      </c>
      <c r="H923" s="1" t="s">
        <v>18</v>
      </c>
      <c r="I923">
        <v>5</v>
      </c>
      <c r="J923">
        <v>2</v>
      </c>
      <c r="K923">
        <v>4</v>
      </c>
      <c r="L923">
        <v>2</v>
      </c>
      <c r="M923">
        <v>0</v>
      </c>
      <c r="N923">
        <v>2</v>
      </c>
      <c r="O923" s="1" t="s">
        <v>19</v>
      </c>
      <c r="P923" s="1" t="s">
        <v>137</v>
      </c>
      <c r="Q923">
        <v>791</v>
      </c>
      <c r="R923" s="1" t="s">
        <v>63</v>
      </c>
      <c r="S923">
        <v>1</v>
      </c>
      <c r="T923">
        <v>1</v>
      </c>
      <c r="U923">
        <v>4</v>
      </c>
      <c r="V923">
        <v>44</v>
      </c>
      <c r="W923">
        <v>3</v>
      </c>
      <c r="X923">
        <v>1</v>
      </c>
      <c r="Y923" s="1" t="s">
        <v>6</v>
      </c>
      <c r="Z923">
        <v>3</v>
      </c>
      <c r="AA923">
        <v>2154</v>
      </c>
      <c r="AB923">
        <v>6842</v>
      </c>
      <c r="AC923" s="1" t="s">
        <v>18</v>
      </c>
      <c r="AD923">
        <v>11</v>
      </c>
      <c r="AE923">
        <v>3</v>
      </c>
      <c r="AF923">
        <v>3</v>
      </c>
      <c r="AG923">
        <v>80</v>
      </c>
      <c r="AH923">
        <v>0</v>
      </c>
      <c r="AI923">
        <v>2</v>
      </c>
      <c r="AJ923">
        <v>0</v>
      </c>
      <c r="AK923" s="1" t="s">
        <v>136</v>
      </c>
    </row>
    <row r="924" spans="1:37" x14ac:dyDescent="0.25">
      <c r="A924">
        <v>1288</v>
      </c>
      <c r="B924">
        <v>44</v>
      </c>
      <c r="C924" s="1" t="s">
        <v>25</v>
      </c>
      <c r="D924" s="1" t="s">
        <v>69</v>
      </c>
      <c r="E924">
        <v>2</v>
      </c>
      <c r="F924" s="1" t="s">
        <v>134</v>
      </c>
      <c r="G924">
        <v>1</v>
      </c>
      <c r="H924" s="1" t="s">
        <v>18</v>
      </c>
      <c r="I924">
        <v>26</v>
      </c>
      <c r="J924">
        <v>4</v>
      </c>
      <c r="K924">
        <v>25</v>
      </c>
      <c r="L924">
        <v>9</v>
      </c>
      <c r="M924">
        <v>14</v>
      </c>
      <c r="N924">
        <v>13</v>
      </c>
      <c r="O924" s="1" t="s">
        <v>19</v>
      </c>
      <c r="P924" s="1" t="s">
        <v>135</v>
      </c>
      <c r="Q924">
        <v>1199</v>
      </c>
      <c r="R924" s="1" t="s">
        <v>63</v>
      </c>
      <c r="S924">
        <v>4</v>
      </c>
      <c r="T924">
        <v>1</v>
      </c>
      <c r="U924">
        <v>3</v>
      </c>
      <c r="V924">
        <v>92</v>
      </c>
      <c r="W924">
        <v>4</v>
      </c>
      <c r="X924">
        <v>5</v>
      </c>
      <c r="Y924" s="1" t="s">
        <v>9</v>
      </c>
      <c r="Z924">
        <v>1</v>
      </c>
      <c r="AA924">
        <v>19190</v>
      </c>
      <c r="AB924">
        <v>17477</v>
      </c>
      <c r="AC924" s="1" t="s">
        <v>19</v>
      </c>
      <c r="AD924">
        <v>14</v>
      </c>
      <c r="AE924">
        <v>3</v>
      </c>
      <c r="AF924">
        <v>4</v>
      </c>
      <c r="AG924">
        <v>80</v>
      </c>
      <c r="AH924">
        <v>2</v>
      </c>
      <c r="AI924">
        <v>2</v>
      </c>
      <c r="AJ924">
        <v>0</v>
      </c>
      <c r="AK924" s="1" t="s">
        <v>136</v>
      </c>
    </row>
    <row r="925" spans="1:37" x14ac:dyDescent="0.25">
      <c r="A925">
        <v>1289</v>
      </c>
      <c r="B925">
        <v>34</v>
      </c>
      <c r="C925" s="1" t="s">
        <v>25</v>
      </c>
      <c r="D925" s="1" t="s">
        <v>70</v>
      </c>
      <c r="E925">
        <v>3</v>
      </c>
      <c r="F925" s="1" t="s">
        <v>134</v>
      </c>
      <c r="G925">
        <v>4</v>
      </c>
      <c r="H925" s="1" t="s">
        <v>18</v>
      </c>
      <c r="I925">
        <v>14</v>
      </c>
      <c r="J925">
        <v>5</v>
      </c>
      <c r="K925">
        <v>10</v>
      </c>
      <c r="L925">
        <v>9</v>
      </c>
      <c r="M925">
        <v>1</v>
      </c>
      <c r="N925">
        <v>8</v>
      </c>
      <c r="O925" s="1" t="s">
        <v>19</v>
      </c>
      <c r="P925" s="1" t="s">
        <v>137</v>
      </c>
      <c r="Q925">
        <v>648</v>
      </c>
      <c r="R925" s="1" t="s">
        <v>12</v>
      </c>
      <c r="S925">
        <v>11</v>
      </c>
      <c r="T925">
        <v>1</v>
      </c>
      <c r="U925">
        <v>3</v>
      </c>
      <c r="V925">
        <v>56</v>
      </c>
      <c r="W925">
        <v>2</v>
      </c>
      <c r="X925">
        <v>2</v>
      </c>
      <c r="Y925" s="1" t="s">
        <v>12</v>
      </c>
      <c r="Z925">
        <v>2</v>
      </c>
      <c r="AA925">
        <v>4490</v>
      </c>
      <c r="AB925">
        <v>21833</v>
      </c>
      <c r="AC925" s="1" t="s">
        <v>19</v>
      </c>
      <c r="AD925">
        <v>11</v>
      </c>
      <c r="AE925">
        <v>3</v>
      </c>
      <c r="AF925">
        <v>4</v>
      </c>
      <c r="AG925">
        <v>80</v>
      </c>
      <c r="AH925">
        <v>2</v>
      </c>
      <c r="AI925">
        <v>4</v>
      </c>
      <c r="AJ925">
        <v>0</v>
      </c>
      <c r="AK925" s="1" t="s">
        <v>136</v>
      </c>
    </row>
    <row r="926" spans="1:37" x14ac:dyDescent="0.25">
      <c r="A926">
        <v>1291</v>
      </c>
      <c r="B926">
        <v>35</v>
      </c>
      <c r="C926" s="1" t="s">
        <v>25</v>
      </c>
      <c r="D926" s="1" t="s">
        <v>70</v>
      </c>
      <c r="E926">
        <v>1</v>
      </c>
      <c r="F926" s="1" t="s">
        <v>134</v>
      </c>
      <c r="G926">
        <v>0</v>
      </c>
      <c r="H926" s="1" t="s">
        <v>18</v>
      </c>
      <c r="I926">
        <v>4</v>
      </c>
      <c r="J926">
        <v>3</v>
      </c>
      <c r="K926">
        <v>3</v>
      </c>
      <c r="L926">
        <v>2</v>
      </c>
      <c r="M926">
        <v>2</v>
      </c>
      <c r="N926">
        <v>2</v>
      </c>
      <c r="O926" s="1" t="s">
        <v>19</v>
      </c>
      <c r="P926" s="1" t="s">
        <v>135</v>
      </c>
      <c r="Q926">
        <v>735</v>
      </c>
      <c r="R926" s="1" t="s">
        <v>63</v>
      </c>
      <c r="S926">
        <v>6</v>
      </c>
      <c r="T926">
        <v>1</v>
      </c>
      <c r="U926">
        <v>3</v>
      </c>
      <c r="V926">
        <v>66</v>
      </c>
      <c r="W926">
        <v>3</v>
      </c>
      <c r="X926">
        <v>1</v>
      </c>
      <c r="Y926" s="1" t="s">
        <v>5</v>
      </c>
      <c r="Z926">
        <v>3</v>
      </c>
      <c r="AA926">
        <v>3506</v>
      </c>
      <c r="AB926">
        <v>6020</v>
      </c>
      <c r="AC926" s="1" t="s">
        <v>18</v>
      </c>
      <c r="AD926">
        <v>14</v>
      </c>
      <c r="AE926">
        <v>3</v>
      </c>
      <c r="AF926">
        <v>4</v>
      </c>
      <c r="AG926">
        <v>80</v>
      </c>
      <c r="AH926">
        <v>0</v>
      </c>
      <c r="AI926">
        <v>3</v>
      </c>
      <c r="AJ926">
        <v>0</v>
      </c>
      <c r="AK926" s="1" t="s">
        <v>136</v>
      </c>
    </row>
    <row r="927" spans="1:37" x14ac:dyDescent="0.25">
      <c r="A927">
        <v>1292</v>
      </c>
      <c r="B927">
        <v>42</v>
      </c>
      <c r="C927" s="1" t="s">
        <v>24</v>
      </c>
      <c r="D927" s="1" t="s">
        <v>70</v>
      </c>
      <c r="E927">
        <v>4</v>
      </c>
      <c r="F927" s="1" t="s">
        <v>139</v>
      </c>
      <c r="G927">
        <v>6</v>
      </c>
      <c r="H927" s="1" t="s">
        <v>18</v>
      </c>
      <c r="I927">
        <v>18</v>
      </c>
      <c r="J927">
        <v>2</v>
      </c>
      <c r="K927">
        <v>1</v>
      </c>
      <c r="L927">
        <v>0</v>
      </c>
      <c r="M927">
        <v>0</v>
      </c>
      <c r="N927">
        <v>0</v>
      </c>
      <c r="O927" s="1" t="s">
        <v>19</v>
      </c>
      <c r="P927" s="1" t="s">
        <v>135</v>
      </c>
      <c r="Q927">
        <v>603</v>
      </c>
      <c r="R927" s="1" t="s">
        <v>63</v>
      </c>
      <c r="S927">
        <v>7</v>
      </c>
      <c r="T927">
        <v>1</v>
      </c>
      <c r="U927">
        <v>2</v>
      </c>
      <c r="V927">
        <v>78</v>
      </c>
      <c r="W927">
        <v>4</v>
      </c>
      <c r="X927">
        <v>2</v>
      </c>
      <c r="Y927" s="1" t="s">
        <v>5</v>
      </c>
      <c r="Z927">
        <v>2</v>
      </c>
      <c r="AA927">
        <v>2372</v>
      </c>
      <c r="AB927">
        <v>5628</v>
      </c>
      <c r="AC927" s="1" t="s">
        <v>18</v>
      </c>
      <c r="AD927">
        <v>16</v>
      </c>
      <c r="AE927">
        <v>3</v>
      </c>
      <c r="AF927">
        <v>4</v>
      </c>
      <c r="AG927">
        <v>80</v>
      </c>
      <c r="AH927">
        <v>0</v>
      </c>
      <c r="AI927">
        <v>3</v>
      </c>
      <c r="AJ927">
        <v>0</v>
      </c>
      <c r="AK927" s="1" t="s">
        <v>136</v>
      </c>
    </row>
    <row r="928" spans="1:37" x14ac:dyDescent="0.25">
      <c r="A928">
        <v>1293</v>
      </c>
      <c r="B928">
        <v>43</v>
      </c>
      <c r="C928" s="1" t="s">
        <v>24</v>
      </c>
      <c r="D928" s="1" t="s">
        <v>71</v>
      </c>
      <c r="E928">
        <v>4</v>
      </c>
      <c r="F928" s="1" t="s">
        <v>142</v>
      </c>
      <c r="G928">
        <v>3</v>
      </c>
      <c r="H928" s="1" t="s">
        <v>18</v>
      </c>
      <c r="I928">
        <v>23</v>
      </c>
      <c r="J928">
        <v>3</v>
      </c>
      <c r="K928">
        <v>21</v>
      </c>
      <c r="L928">
        <v>7</v>
      </c>
      <c r="M928">
        <v>15</v>
      </c>
      <c r="N928">
        <v>17</v>
      </c>
      <c r="O928" s="1" t="s">
        <v>19</v>
      </c>
      <c r="P928" s="1" t="s">
        <v>135</v>
      </c>
      <c r="Q928">
        <v>531</v>
      </c>
      <c r="R928" s="1" t="s">
        <v>64</v>
      </c>
      <c r="S928">
        <v>4</v>
      </c>
      <c r="T928">
        <v>1</v>
      </c>
      <c r="U928">
        <v>4</v>
      </c>
      <c r="V928">
        <v>56</v>
      </c>
      <c r="W928">
        <v>2</v>
      </c>
      <c r="X928">
        <v>3</v>
      </c>
      <c r="Y928" s="1" t="s">
        <v>4</v>
      </c>
      <c r="Z928">
        <v>4</v>
      </c>
      <c r="AA928">
        <v>10231</v>
      </c>
      <c r="AB928">
        <v>20364</v>
      </c>
      <c r="AC928" s="1" t="s">
        <v>19</v>
      </c>
      <c r="AD928">
        <v>14</v>
      </c>
      <c r="AE928">
        <v>3</v>
      </c>
      <c r="AF928">
        <v>4</v>
      </c>
      <c r="AG928">
        <v>80</v>
      </c>
      <c r="AH928">
        <v>0</v>
      </c>
      <c r="AI928">
        <v>4</v>
      </c>
      <c r="AJ928">
        <v>0</v>
      </c>
      <c r="AK928" s="1" t="s">
        <v>136</v>
      </c>
    </row>
    <row r="929" spans="1:37" x14ac:dyDescent="0.25">
      <c r="A929">
        <v>1294</v>
      </c>
      <c r="B929">
        <v>36</v>
      </c>
      <c r="C929" s="1" t="s">
        <v>24</v>
      </c>
      <c r="D929" s="1" t="s">
        <v>71</v>
      </c>
      <c r="E929">
        <v>4</v>
      </c>
      <c r="F929" s="1" t="s">
        <v>134</v>
      </c>
      <c r="G929">
        <v>9</v>
      </c>
      <c r="H929" s="1" t="s">
        <v>18</v>
      </c>
      <c r="I929">
        <v>18</v>
      </c>
      <c r="J929">
        <v>2</v>
      </c>
      <c r="K929">
        <v>16</v>
      </c>
      <c r="L929">
        <v>14</v>
      </c>
      <c r="M929">
        <v>5</v>
      </c>
      <c r="N929">
        <v>12</v>
      </c>
      <c r="O929" s="1" t="s">
        <v>19</v>
      </c>
      <c r="P929" s="1" t="s">
        <v>135</v>
      </c>
      <c r="Q929">
        <v>429</v>
      </c>
      <c r="R929" s="1" t="s">
        <v>63</v>
      </c>
      <c r="S929">
        <v>2</v>
      </c>
      <c r="T929">
        <v>1</v>
      </c>
      <c r="U929">
        <v>3</v>
      </c>
      <c r="V929">
        <v>53</v>
      </c>
      <c r="W929">
        <v>3</v>
      </c>
      <c r="X929">
        <v>2</v>
      </c>
      <c r="Y929" s="1" t="s">
        <v>7</v>
      </c>
      <c r="Z929">
        <v>2</v>
      </c>
      <c r="AA929">
        <v>5410</v>
      </c>
      <c r="AB929">
        <v>2323</v>
      </c>
      <c r="AC929" s="1" t="s">
        <v>18</v>
      </c>
      <c r="AD929">
        <v>11</v>
      </c>
      <c r="AE929">
        <v>3</v>
      </c>
      <c r="AF929">
        <v>4</v>
      </c>
      <c r="AG929">
        <v>80</v>
      </c>
      <c r="AH929">
        <v>0</v>
      </c>
      <c r="AI929">
        <v>3</v>
      </c>
      <c r="AJ929">
        <v>0</v>
      </c>
      <c r="AK929" s="1" t="s">
        <v>136</v>
      </c>
    </row>
    <row r="930" spans="1:37" x14ac:dyDescent="0.25">
      <c r="A930">
        <v>1295</v>
      </c>
      <c r="B930">
        <v>44</v>
      </c>
      <c r="C930" s="1" t="s">
        <v>24</v>
      </c>
      <c r="D930" s="1" t="s">
        <v>70</v>
      </c>
      <c r="E930">
        <v>3</v>
      </c>
      <c r="F930" s="1" t="s">
        <v>139</v>
      </c>
      <c r="G930">
        <v>1</v>
      </c>
      <c r="H930" s="1" t="s">
        <v>18</v>
      </c>
      <c r="I930">
        <v>10</v>
      </c>
      <c r="J930">
        <v>2</v>
      </c>
      <c r="K930">
        <v>10</v>
      </c>
      <c r="L930">
        <v>7</v>
      </c>
      <c r="M930">
        <v>0</v>
      </c>
      <c r="N930">
        <v>5</v>
      </c>
      <c r="O930" s="1" t="s">
        <v>18</v>
      </c>
      <c r="P930" s="1" t="s">
        <v>135</v>
      </c>
      <c r="Q930">
        <v>621</v>
      </c>
      <c r="R930" s="1" t="s">
        <v>63</v>
      </c>
      <c r="S930">
        <v>15</v>
      </c>
      <c r="T930">
        <v>1</v>
      </c>
      <c r="U930">
        <v>1</v>
      </c>
      <c r="V930">
        <v>73</v>
      </c>
      <c r="W930">
        <v>3</v>
      </c>
      <c r="X930">
        <v>3</v>
      </c>
      <c r="Y930" s="1" t="s">
        <v>8</v>
      </c>
      <c r="Z930">
        <v>4</v>
      </c>
      <c r="AA930">
        <v>7978</v>
      </c>
      <c r="AB930">
        <v>14075</v>
      </c>
      <c r="AC930" s="1" t="s">
        <v>19</v>
      </c>
      <c r="AD930">
        <v>11</v>
      </c>
      <c r="AE930">
        <v>3</v>
      </c>
      <c r="AF930">
        <v>4</v>
      </c>
      <c r="AG930">
        <v>80</v>
      </c>
      <c r="AH930">
        <v>1</v>
      </c>
      <c r="AI930">
        <v>3</v>
      </c>
      <c r="AJ930">
        <v>1</v>
      </c>
      <c r="AK930" s="1" t="s">
        <v>136</v>
      </c>
    </row>
    <row r="931" spans="1:37" x14ac:dyDescent="0.25">
      <c r="A931">
        <v>1296</v>
      </c>
      <c r="B931">
        <v>28</v>
      </c>
      <c r="C931" s="1" t="s">
        <v>25</v>
      </c>
      <c r="D931" s="1" t="s">
        <v>70</v>
      </c>
      <c r="E931">
        <v>3</v>
      </c>
      <c r="F931" s="1" t="s">
        <v>134</v>
      </c>
      <c r="G931">
        <v>1</v>
      </c>
      <c r="H931" s="1" t="s">
        <v>18</v>
      </c>
      <c r="I931">
        <v>2</v>
      </c>
      <c r="J931">
        <v>2</v>
      </c>
      <c r="K931">
        <v>2</v>
      </c>
      <c r="L931">
        <v>2</v>
      </c>
      <c r="M931">
        <v>2</v>
      </c>
      <c r="N931">
        <v>2</v>
      </c>
      <c r="O931" s="1" t="s">
        <v>19</v>
      </c>
      <c r="P931" s="1" t="s">
        <v>137</v>
      </c>
      <c r="Q931">
        <v>193</v>
      </c>
      <c r="R931" s="1" t="s">
        <v>63</v>
      </c>
      <c r="S931">
        <v>2</v>
      </c>
      <c r="T931">
        <v>1</v>
      </c>
      <c r="U931">
        <v>4</v>
      </c>
      <c r="V931">
        <v>52</v>
      </c>
      <c r="W931">
        <v>2</v>
      </c>
      <c r="X931">
        <v>1</v>
      </c>
      <c r="Y931" s="1" t="s">
        <v>6</v>
      </c>
      <c r="Z931">
        <v>4</v>
      </c>
      <c r="AA931">
        <v>3867</v>
      </c>
      <c r="AB931">
        <v>14222</v>
      </c>
      <c r="AC931" s="1" t="s">
        <v>18</v>
      </c>
      <c r="AD931">
        <v>12</v>
      </c>
      <c r="AE931">
        <v>3</v>
      </c>
      <c r="AF931">
        <v>2</v>
      </c>
      <c r="AG931">
        <v>80</v>
      </c>
      <c r="AH931">
        <v>1</v>
      </c>
      <c r="AI931">
        <v>3</v>
      </c>
      <c r="AJ931">
        <v>0</v>
      </c>
      <c r="AK931" s="1" t="s">
        <v>136</v>
      </c>
    </row>
    <row r="932" spans="1:37" x14ac:dyDescent="0.25">
      <c r="A932">
        <v>1297</v>
      </c>
      <c r="B932">
        <v>51</v>
      </c>
      <c r="C932" s="1" t="s">
        <v>24</v>
      </c>
      <c r="D932" s="1" t="s">
        <v>71</v>
      </c>
      <c r="E932">
        <v>2</v>
      </c>
      <c r="F932" s="1" t="s">
        <v>139</v>
      </c>
      <c r="G932">
        <v>0</v>
      </c>
      <c r="H932" s="1" t="s">
        <v>18</v>
      </c>
      <c r="I932">
        <v>8</v>
      </c>
      <c r="J932">
        <v>6</v>
      </c>
      <c r="K932">
        <v>7</v>
      </c>
      <c r="L932">
        <v>0</v>
      </c>
      <c r="M932">
        <v>7</v>
      </c>
      <c r="N932">
        <v>7</v>
      </c>
      <c r="O932" s="1" t="s">
        <v>19</v>
      </c>
      <c r="P932" s="1" t="s">
        <v>137</v>
      </c>
      <c r="Q932">
        <v>968</v>
      </c>
      <c r="R932" s="1" t="s">
        <v>63</v>
      </c>
      <c r="S932">
        <v>6</v>
      </c>
      <c r="T932">
        <v>1</v>
      </c>
      <c r="U932">
        <v>2</v>
      </c>
      <c r="V932">
        <v>40</v>
      </c>
      <c r="W932">
        <v>2</v>
      </c>
      <c r="X932">
        <v>1</v>
      </c>
      <c r="Y932" s="1" t="s">
        <v>6</v>
      </c>
      <c r="Z932">
        <v>3</v>
      </c>
      <c r="AA932">
        <v>2838</v>
      </c>
      <c r="AB932">
        <v>4257</v>
      </c>
      <c r="AC932" s="1" t="s">
        <v>19</v>
      </c>
      <c r="AD932">
        <v>14</v>
      </c>
      <c r="AE932">
        <v>3</v>
      </c>
      <c r="AF932">
        <v>2</v>
      </c>
      <c r="AG932">
        <v>80</v>
      </c>
      <c r="AH932">
        <v>0</v>
      </c>
      <c r="AI932">
        <v>2</v>
      </c>
      <c r="AJ932">
        <v>0</v>
      </c>
      <c r="AK932" s="1" t="s">
        <v>140</v>
      </c>
    </row>
    <row r="933" spans="1:37" x14ac:dyDescent="0.25">
      <c r="A933">
        <v>1298</v>
      </c>
      <c r="B933">
        <v>30</v>
      </c>
      <c r="C933" s="1" t="s">
        <v>24</v>
      </c>
      <c r="D933" s="1" t="s">
        <v>71</v>
      </c>
      <c r="E933">
        <v>2</v>
      </c>
      <c r="F933" s="1" t="s">
        <v>139</v>
      </c>
      <c r="G933">
        <v>7</v>
      </c>
      <c r="H933" s="1" t="s">
        <v>18</v>
      </c>
      <c r="I933">
        <v>10</v>
      </c>
      <c r="J933">
        <v>3</v>
      </c>
      <c r="K933">
        <v>8</v>
      </c>
      <c r="L933">
        <v>4</v>
      </c>
      <c r="M933">
        <v>1</v>
      </c>
      <c r="N933">
        <v>7</v>
      </c>
      <c r="O933" s="1" t="s">
        <v>19</v>
      </c>
      <c r="P933" s="1" t="s">
        <v>141</v>
      </c>
      <c r="Q933">
        <v>879</v>
      </c>
      <c r="R933" s="1" t="s">
        <v>63</v>
      </c>
      <c r="S933">
        <v>9</v>
      </c>
      <c r="T933">
        <v>1</v>
      </c>
      <c r="U933">
        <v>3</v>
      </c>
      <c r="V933">
        <v>72</v>
      </c>
      <c r="W933">
        <v>3</v>
      </c>
      <c r="X933">
        <v>2</v>
      </c>
      <c r="Y933" s="1" t="s">
        <v>7</v>
      </c>
      <c r="Z933">
        <v>3</v>
      </c>
      <c r="AA933">
        <v>4695</v>
      </c>
      <c r="AB933">
        <v>12858</v>
      </c>
      <c r="AC933" s="1" t="s">
        <v>18</v>
      </c>
      <c r="AD933">
        <v>18</v>
      </c>
      <c r="AE933">
        <v>3</v>
      </c>
      <c r="AF933">
        <v>3</v>
      </c>
      <c r="AG933">
        <v>80</v>
      </c>
      <c r="AH933">
        <v>0</v>
      </c>
      <c r="AI933">
        <v>3</v>
      </c>
      <c r="AJ933">
        <v>0</v>
      </c>
      <c r="AK933" s="1" t="s">
        <v>136</v>
      </c>
    </row>
    <row r="934" spans="1:37" x14ac:dyDescent="0.25">
      <c r="A934">
        <v>1299</v>
      </c>
      <c r="B934">
        <v>29</v>
      </c>
      <c r="C934" s="1" t="s">
        <v>24</v>
      </c>
      <c r="D934" s="1" t="s">
        <v>69</v>
      </c>
      <c r="E934">
        <v>3</v>
      </c>
      <c r="F934" s="1" t="s">
        <v>143</v>
      </c>
      <c r="G934">
        <v>3</v>
      </c>
      <c r="H934" s="1" t="s">
        <v>18</v>
      </c>
      <c r="I934">
        <v>10</v>
      </c>
      <c r="J934">
        <v>2</v>
      </c>
      <c r="K934">
        <v>7</v>
      </c>
      <c r="L934">
        <v>7</v>
      </c>
      <c r="M934">
        <v>7</v>
      </c>
      <c r="N934">
        <v>7</v>
      </c>
      <c r="O934" s="1" t="s">
        <v>18</v>
      </c>
      <c r="P934" s="1" t="s">
        <v>135</v>
      </c>
      <c r="Q934">
        <v>806</v>
      </c>
      <c r="R934" s="1" t="s">
        <v>63</v>
      </c>
      <c r="S934">
        <v>7</v>
      </c>
      <c r="T934">
        <v>1</v>
      </c>
      <c r="U934">
        <v>2</v>
      </c>
      <c r="V934">
        <v>39</v>
      </c>
      <c r="W934">
        <v>3</v>
      </c>
      <c r="X934">
        <v>1</v>
      </c>
      <c r="Y934" s="1" t="s">
        <v>6</v>
      </c>
      <c r="Z934">
        <v>3</v>
      </c>
      <c r="AA934">
        <v>3339</v>
      </c>
      <c r="AB934">
        <v>17285</v>
      </c>
      <c r="AC934" s="1" t="s">
        <v>18</v>
      </c>
      <c r="AD934">
        <v>13</v>
      </c>
      <c r="AE934">
        <v>3</v>
      </c>
      <c r="AF934">
        <v>1</v>
      </c>
      <c r="AG934">
        <v>80</v>
      </c>
      <c r="AH934">
        <v>2</v>
      </c>
      <c r="AI934">
        <v>3</v>
      </c>
      <c r="AJ934">
        <v>1</v>
      </c>
      <c r="AK934" s="1" t="s">
        <v>136</v>
      </c>
    </row>
    <row r="935" spans="1:37" x14ac:dyDescent="0.25">
      <c r="A935">
        <v>1301</v>
      </c>
      <c r="B935">
        <v>28</v>
      </c>
      <c r="C935" s="1" t="s">
        <v>25</v>
      </c>
      <c r="D935" s="1" t="s">
        <v>71</v>
      </c>
      <c r="E935">
        <v>3</v>
      </c>
      <c r="F935" s="1" t="s">
        <v>143</v>
      </c>
      <c r="G935">
        <v>2</v>
      </c>
      <c r="H935" s="1" t="s">
        <v>18</v>
      </c>
      <c r="I935">
        <v>5</v>
      </c>
      <c r="J935">
        <v>2</v>
      </c>
      <c r="K935">
        <v>3</v>
      </c>
      <c r="L935">
        <v>2</v>
      </c>
      <c r="M935">
        <v>1</v>
      </c>
      <c r="N935">
        <v>2</v>
      </c>
      <c r="O935" s="1" t="s">
        <v>19</v>
      </c>
      <c r="P935" s="1" t="s">
        <v>135</v>
      </c>
      <c r="Q935">
        <v>640</v>
      </c>
      <c r="R935" s="1" t="s">
        <v>63</v>
      </c>
      <c r="S935">
        <v>1</v>
      </c>
      <c r="T935">
        <v>1</v>
      </c>
      <c r="U935">
        <v>4</v>
      </c>
      <c r="V935">
        <v>84</v>
      </c>
      <c r="W935">
        <v>3</v>
      </c>
      <c r="X935">
        <v>1</v>
      </c>
      <c r="Y935" s="1" t="s">
        <v>5</v>
      </c>
      <c r="Z935">
        <v>1</v>
      </c>
      <c r="AA935">
        <v>2080</v>
      </c>
      <c r="AB935">
        <v>4732</v>
      </c>
      <c r="AC935" s="1" t="s">
        <v>19</v>
      </c>
      <c r="AD935">
        <v>11</v>
      </c>
      <c r="AE935">
        <v>3</v>
      </c>
      <c r="AF935">
        <v>2</v>
      </c>
      <c r="AG935">
        <v>80</v>
      </c>
      <c r="AH935">
        <v>0</v>
      </c>
      <c r="AI935">
        <v>2</v>
      </c>
      <c r="AJ935">
        <v>0</v>
      </c>
      <c r="AK935" s="1" t="s">
        <v>136</v>
      </c>
    </row>
    <row r="936" spans="1:37" x14ac:dyDescent="0.25">
      <c r="A936">
        <v>1303</v>
      </c>
      <c r="B936">
        <v>25</v>
      </c>
      <c r="C936" s="1" t="s">
        <v>24</v>
      </c>
      <c r="D936" s="1" t="s">
        <v>71</v>
      </c>
      <c r="E936">
        <v>3</v>
      </c>
      <c r="F936" s="1" t="s">
        <v>139</v>
      </c>
      <c r="G936">
        <v>1</v>
      </c>
      <c r="H936" s="1" t="s">
        <v>18</v>
      </c>
      <c r="I936">
        <v>2</v>
      </c>
      <c r="J936">
        <v>3</v>
      </c>
      <c r="K936">
        <v>2</v>
      </c>
      <c r="L936">
        <v>2</v>
      </c>
      <c r="M936">
        <v>2</v>
      </c>
      <c r="N936">
        <v>1</v>
      </c>
      <c r="O936" s="1" t="s">
        <v>19</v>
      </c>
      <c r="P936" s="1" t="s">
        <v>135</v>
      </c>
      <c r="Q936">
        <v>266</v>
      </c>
      <c r="R936" s="1" t="s">
        <v>63</v>
      </c>
      <c r="S936">
        <v>1</v>
      </c>
      <c r="T936">
        <v>1</v>
      </c>
      <c r="U936">
        <v>4</v>
      </c>
      <c r="V936">
        <v>40</v>
      </c>
      <c r="W936">
        <v>3</v>
      </c>
      <c r="X936">
        <v>1</v>
      </c>
      <c r="Y936" s="1" t="s">
        <v>5</v>
      </c>
      <c r="Z936">
        <v>2</v>
      </c>
      <c r="AA936">
        <v>2096</v>
      </c>
      <c r="AB936">
        <v>18830</v>
      </c>
      <c r="AC936" s="1" t="s">
        <v>19</v>
      </c>
      <c r="AD936">
        <v>18</v>
      </c>
      <c r="AE936">
        <v>3</v>
      </c>
      <c r="AF936">
        <v>4</v>
      </c>
      <c r="AG936">
        <v>80</v>
      </c>
      <c r="AH936">
        <v>0</v>
      </c>
      <c r="AI936">
        <v>2</v>
      </c>
      <c r="AJ936">
        <v>0</v>
      </c>
      <c r="AK936" s="1" t="s">
        <v>136</v>
      </c>
    </row>
    <row r="937" spans="1:37" x14ac:dyDescent="0.25">
      <c r="A937">
        <v>1304</v>
      </c>
      <c r="B937">
        <v>32</v>
      </c>
      <c r="C937" s="1" t="s">
        <v>25</v>
      </c>
      <c r="D937" s="1" t="s">
        <v>70</v>
      </c>
      <c r="E937">
        <v>3</v>
      </c>
      <c r="F937" s="1" t="s">
        <v>139</v>
      </c>
      <c r="G937">
        <v>1</v>
      </c>
      <c r="H937" s="1" t="s">
        <v>18</v>
      </c>
      <c r="I937">
        <v>10</v>
      </c>
      <c r="J937">
        <v>4</v>
      </c>
      <c r="K937">
        <v>10</v>
      </c>
      <c r="L937">
        <v>7</v>
      </c>
      <c r="M937">
        <v>0</v>
      </c>
      <c r="N937">
        <v>8</v>
      </c>
      <c r="O937" s="1" t="s">
        <v>19</v>
      </c>
      <c r="P937" s="1" t="s">
        <v>135</v>
      </c>
      <c r="Q937">
        <v>604</v>
      </c>
      <c r="R937" s="1" t="s">
        <v>64</v>
      </c>
      <c r="S937">
        <v>8</v>
      </c>
      <c r="T937">
        <v>1</v>
      </c>
      <c r="U937">
        <v>3</v>
      </c>
      <c r="V937">
        <v>56</v>
      </c>
      <c r="W937">
        <v>4</v>
      </c>
      <c r="X937">
        <v>2</v>
      </c>
      <c r="Y937" s="1" t="s">
        <v>4</v>
      </c>
      <c r="Z937">
        <v>4</v>
      </c>
      <c r="AA937">
        <v>6209</v>
      </c>
      <c r="AB937">
        <v>11693</v>
      </c>
      <c r="AC937" s="1" t="s">
        <v>19</v>
      </c>
      <c r="AD937">
        <v>15</v>
      </c>
      <c r="AE937">
        <v>3</v>
      </c>
      <c r="AF937">
        <v>3</v>
      </c>
      <c r="AG937">
        <v>80</v>
      </c>
      <c r="AH937">
        <v>2</v>
      </c>
      <c r="AI937">
        <v>4</v>
      </c>
      <c r="AJ937">
        <v>0</v>
      </c>
      <c r="AK937" s="1" t="s">
        <v>136</v>
      </c>
    </row>
    <row r="938" spans="1:37" x14ac:dyDescent="0.25">
      <c r="A938">
        <v>1306</v>
      </c>
      <c r="B938">
        <v>45</v>
      </c>
      <c r="C938" s="1" t="s">
        <v>24</v>
      </c>
      <c r="D938" s="1" t="s">
        <v>71</v>
      </c>
      <c r="E938">
        <v>3</v>
      </c>
      <c r="F938" s="1" t="s">
        <v>139</v>
      </c>
      <c r="G938">
        <v>3</v>
      </c>
      <c r="H938" s="1" t="s">
        <v>18</v>
      </c>
      <c r="I938">
        <v>22</v>
      </c>
      <c r="J938">
        <v>4</v>
      </c>
      <c r="K938">
        <v>0</v>
      </c>
      <c r="L938">
        <v>0</v>
      </c>
      <c r="M938">
        <v>0</v>
      </c>
      <c r="N938">
        <v>0</v>
      </c>
      <c r="O938" s="1" t="s">
        <v>19</v>
      </c>
      <c r="P938" s="1" t="s">
        <v>137</v>
      </c>
      <c r="Q938">
        <v>364</v>
      </c>
      <c r="R938" s="1" t="s">
        <v>63</v>
      </c>
      <c r="S938">
        <v>25</v>
      </c>
      <c r="T938">
        <v>1</v>
      </c>
      <c r="U938">
        <v>2</v>
      </c>
      <c r="V938">
        <v>83</v>
      </c>
      <c r="W938">
        <v>3</v>
      </c>
      <c r="X938">
        <v>5</v>
      </c>
      <c r="Y938" s="1" t="s">
        <v>9</v>
      </c>
      <c r="Z938">
        <v>2</v>
      </c>
      <c r="AA938">
        <v>18061</v>
      </c>
      <c r="AB938">
        <v>13035</v>
      </c>
      <c r="AC938" s="1" t="s">
        <v>19</v>
      </c>
      <c r="AD938">
        <v>22</v>
      </c>
      <c r="AE938">
        <v>4</v>
      </c>
      <c r="AF938">
        <v>3</v>
      </c>
      <c r="AG938">
        <v>80</v>
      </c>
      <c r="AH938">
        <v>0</v>
      </c>
      <c r="AI938">
        <v>3</v>
      </c>
      <c r="AJ938">
        <v>0</v>
      </c>
      <c r="AK938" s="1" t="s">
        <v>136</v>
      </c>
    </row>
    <row r="939" spans="1:37" x14ac:dyDescent="0.25">
      <c r="A939">
        <v>1307</v>
      </c>
      <c r="B939">
        <v>39</v>
      </c>
      <c r="C939" s="1" t="s">
        <v>24</v>
      </c>
      <c r="D939" s="1" t="s">
        <v>69</v>
      </c>
      <c r="E939">
        <v>4</v>
      </c>
      <c r="F939" s="1" t="s">
        <v>139</v>
      </c>
      <c r="G939">
        <v>6</v>
      </c>
      <c r="H939" s="1" t="s">
        <v>18</v>
      </c>
      <c r="I939">
        <v>21</v>
      </c>
      <c r="J939">
        <v>4</v>
      </c>
      <c r="K939">
        <v>19</v>
      </c>
      <c r="L939">
        <v>9</v>
      </c>
      <c r="M939">
        <v>15</v>
      </c>
      <c r="N939">
        <v>2</v>
      </c>
      <c r="O939" s="1" t="s">
        <v>19</v>
      </c>
      <c r="P939" s="1" t="s">
        <v>135</v>
      </c>
      <c r="Q939">
        <v>412</v>
      </c>
      <c r="R939" s="1" t="s">
        <v>63</v>
      </c>
      <c r="S939">
        <v>13</v>
      </c>
      <c r="T939">
        <v>1</v>
      </c>
      <c r="U939">
        <v>3</v>
      </c>
      <c r="V939">
        <v>94</v>
      </c>
      <c r="W939">
        <v>2</v>
      </c>
      <c r="X939">
        <v>4</v>
      </c>
      <c r="Y939" s="1" t="s">
        <v>9</v>
      </c>
      <c r="Z939">
        <v>2</v>
      </c>
      <c r="AA939">
        <v>17123</v>
      </c>
      <c r="AB939">
        <v>17334</v>
      </c>
      <c r="AC939" s="1" t="s">
        <v>18</v>
      </c>
      <c r="AD939">
        <v>13</v>
      </c>
      <c r="AE939">
        <v>3</v>
      </c>
      <c r="AF939">
        <v>4</v>
      </c>
      <c r="AG939">
        <v>80</v>
      </c>
      <c r="AH939">
        <v>2</v>
      </c>
      <c r="AI939">
        <v>3</v>
      </c>
      <c r="AJ939">
        <v>0</v>
      </c>
      <c r="AK939" s="1" t="s">
        <v>136</v>
      </c>
    </row>
    <row r="940" spans="1:37" x14ac:dyDescent="0.25">
      <c r="A940">
        <v>1308</v>
      </c>
      <c r="B940">
        <v>58</v>
      </c>
      <c r="C940" s="1" t="s">
        <v>25</v>
      </c>
      <c r="D940" s="1" t="s">
        <v>69</v>
      </c>
      <c r="E940">
        <v>4</v>
      </c>
      <c r="F940" s="1" t="s">
        <v>134</v>
      </c>
      <c r="G940">
        <v>1</v>
      </c>
      <c r="H940" s="1" t="s">
        <v>18</v>
      </c>
      <c r="I940">
        <v>2</v>
      </c>
      <c r="J940">
        <v>3</v>
      </c>
      <c r="K940">
        <v>2</v>
      </c>
      <c r="L940">
        <v>2</v>
      </c>
      <c r="M940">
        <v>2</v>
      </c>
      <c r="N940">
        <v>2</v>
      </c>
      <c r="O940" s="1" t="s">
        <v>19</v>
      </c>
      <c r="P940" s="1" t="s">
        <v>135</v>
      </c>
      <c r="Q940">
        <v>848</v>
      </c>
      <c r="R940" s="1" t="s">
        <v>63</v>
      </c>
      <c r="S940">
        <v>23</v>
      </c>
      <c r="T940">
        <v>1</v>
      </c>
      <c r="U940">
        <v>1</v>
      </c>
      <c r="V940">
        <v>88</v>
      </c>
      <c r="W940">
        <v>3</v>
      </c>
      <c r="X940">
        <v>1</v>
      </c>
      <c r="Y940" s="1" t="s">
        <v>5</v>
      </c>
      <c r="Z940">
        <v>3</v>
      </c>
      <c r="AA940">
        <v>2372</v>
      </c>
      <c r="AB940">
        <v>26076</v>
      </c>
      <c r="AC940" s="1" t="s">
        <v>19</v>
      </c>
      <c r="AD940">
        <v>12</v>
      </c>
      <c r="AE940">
        <v>3</v>
      </c>
      <c r="AF940">
        <v>4</v>
      </c>
      <c r="AG940">
        <v>80</v>
      </c>
      <c r="AH940">
        <v>2</v>
      </c>
      <c r="AI940">
        <v>3</v>
      </c>
      <c r="AJ940">
        <v>0</v>
      </c>
      <c r="AK940" s="1" t="s">
        <v>140</v>
      </c>
    </row>
    <row r="941" spans="1:37" x14ac:dyDescent="0.25">
      <c r="A941">
        <v>1309</v>
      </c>
      <c r="B941">
        <v>32</v>
      </c>
      <c r="C941" s="1" t="s">
        <v>25</v>
      </c>
      <c r="D941" s="1" t="s">
        <v>70</v>
      </c>
      <c r="E941">
        <v>2</v>
      </c>
      <c r="F941" s="1" t="s">
        <v>134</v>
      </c>
      <c r="G941">
        <v>1</v>
      </c>
      <c r="H941" s="1" t="s">
        <v>18</v>
      </c>
      <c r="I941">
        <v>10</v>
      </c>
      <c r="J941">
        <v>3</v>
      </c>
      <c r="K941">
        <v>10</v>
      </c>
      <c r="L941">
        <v>4</v>
      </c>
      <c r="M941">
        <v>1</v>
      </c>
      <c r="N941">
        <v>1</v>
      </c>
      <c r="O941" s="1" t="s">
        <v>18</v>
      </c>
      <c r="P941" s="1" t="s">
        <v>135</v>
      </c>
      <c r="Q941">
        <v>1089</v>
      </c>
      <c r="R941" s="1" t="s">
        <v>63</v>
      </c>
      <c r="S941">
        <v>7</v>
      </c>
      <c r="T941">
        <v>1</v>
      </c>
      <c r="U941">
        <v>4</v>
      </c>
      <c r="V941">
        <v>79</v>
      </c>
      <c r="W941">
        <v>3</v>
      </c>
      <c r="X941">
        <v>2</v>
      </c>
      <c r="Y941" s="1" t="s">
        <v>6</v>
      </c>
      <c r="Z941">
        <v>3</v>
      </c>
      <c r="AA941">
        <v>4883</v>
      </c>
      <c r="AB941">
        <v>22845</v>
      </c>
      <c r="AC941" s="1" t="s">
        <v>19</v>
      </c>
      <c r="AD941">
        <v>18</v>
      </c>
      <c r="AE941">
        <v>3</v>
      </c>
      <c r="AF941">
        <v>1</v>
      </c>
      <c r="AG941">
        <v>80</v>
      </c>
      <c r="AH941">
        <v>1</v>
      </c>
      <c r="AI941">
        <v>3</v>
      </c>
      <c r="AJ941">
        <v>1</v>
      </c>
      <c r="AK941" s="1" t="s">
        <v>136</v>
      </c>
    </row>
    <row r="942" spans="1:37" x14ac:dyDescent="0.25">
      <c r="A942">
        <v>1310</v>
      </c>
      <c r="B942">
        <v>39</v>
      </c>
      <c r="C942" s="1" t="s">
        <v>25</v>
      </c>
      <c r="D942" s="1" t="s">
        <v>71</v>
      </c>
      <c r="E942">
        <v>3</v>
      </c>
      <c r="F942" s="1" t="s">
        <v>139</v>
      </c>
      <c r="G942">
        <v>0</v>
      </c>
      <c r="H942" s="1" t="s">
        <v>18</v>
      </c>
      <c r="I942">
        <v>6</v>
      </c>
      <c r="J942">
        <v>2</v>
      </c>
      <c r="K942">
        <v>5</v>
      </c>
      <c r="L942">
        <v>2</v>
      </c>
      <c r="M942">
        <v>0</v>
      </c>
      <c r="N942">
        <v>3</v>
      </c>
      <c r="O942" s="1" t="s">
        <v>18</v>
      </c>
      <c r="P942" s="1" t="s">
        <v>135</v>
      </c>
      <c r="Q942">
        <v>360</v>
      </c>
      <c r="R942" s="1" t="s">
        <v>63</v>
      </c>
      <c r="S942">
        <v>23</v>
      </c>
      <c r="T942">
        <v>1</v>
      </c>
      <c r="U942">
        <v>3</v>
      </c>
      <c r="V942">
        <v>93</v>
      </c>
      <c r="W942">
        <v>3</v>
      </c>
      <c r="X942">
        <v>1</v>
      </c>
      <c r="Y942" s="1" t="s">
        <v>5</v>
      </c>
      <c r="Z942">
        <v>1</v>
      </c>
      <c r="AA942">
        <v>3904</v>
      </c>
      <c r="AB942">
        <v>22154</v>
      </c>
      <c r="AC942" s="1" t="s">
        <v>19</v>
      </c>
      <c r="AD942">
        <v>13</v>
      </c>
      <c r="AE942">
        <v>3</v>
      </c>
      <c r="AF942">
        <v>1</v>
      </c>
      <c r="AG942">
        <v>80</v>
      </c>
      <c r="AH942">
        <v>0</v>
      </c>
      <c r="AI942">
        <v>3</v>
      </c>
      <c r="AJ942">
        <v>1</v>
      </c>
      <c r="AK942" s="1" t="s">
        <v>136</v>
      </c>
    </row>
    <row r="943" spans="1:37" x14ac:dyDescent="0.25">
      <c r="A943">
        <v>1311</v>
      </c>
      <c r="B943">
        <v>30</v>
      </c>
      <c r="C943" s="1" t="s">
        <v>24</v>
      </c>
      <c r="D943" s="1" t="s">
        <v>70</v>
      </c>
      <c r="E943">
        <v>3</v>
      </c>
      <c r="F943" s="1" t="s">
        <v>143</v>
      </c>
      <c r="G943">
        <v>0</v>
      </c>
      <c r="H943" s="1" t="s">
        <v>18</v>
      </c>
      <c r="I943">
        <v>10</v>
      </c>
      <c r="J943">
        <v>6</v>
      </c>
      <c r="K943">
        <v>9</v>
      </c>
      <c r="L943">
        <v>2</v>
      </c>
      <c r="M943">
        <v>6</v>
      </c>
      <c r="N943">
        <v>7</v>
      </c>
      <c r="O943" s="1" t="s">
        <v>19</v>
      </c>
      <c r="P943" s="1" t="s">
        <v>135</v>
      </c>
      <c r="Q943">
        <v>1138</v>
      </c>
      <c r="R943" s="1" t="s">
        <v>63</v>
      </c>
      <c r="S943">
        <v>6</v>
      </c>
      <c r="T943">
        <v>1</v>
      </c>
      <c r="U943">
        <v>1</v>
      </c>
      <c r="V943">
        <v>48</v>
      </c>
      <c r="W943">
        <v>2</v>
      </c>
      <c r="X943">
        <v>2</v>
      </c>
      <c r="Y943" s="1" t="s">
        <v>6</v>
      </c>
      <c r="Z943">
        <v>4</v>
      </c>
      <c r="AA943">
        <v>4627</v>
      </c>
      <c r="AB943">
        <v>23631</v>
      </c>
      <c r="AC943" s="1" t="s">
        <v>19</v>
      </c>
      <c r="AD943">
        <v>12</v>
      </c>
      <c r="AE943">
        <v>3</v>
      </c>
      <c r="AF943">
        <v>1</v>
      </c>
      <c r="AG943">
        <v>80</v>
      </c>
      <c r="AH943">
        <v>1</v>
      </c>
      <c r="AI943">
        <v>3</v>
      </c>
      <c r="AJ943">
        <v>0</v>
      </c>
      <c r="AK943" s="1" t="s">
        <v>136</v>
      </c>
    </row>
    <row r="944" spans="1:37" x14ac:dyDescent="0.25">
      <c r="A944">
        <v>1312</v>
      </c>
      <c r="B944">
        <v>36</v>
      </c>
      <c r="C944" s="1" t="s">
        <v>24</v>
      </c>
      <c r="D944" s="1" t="s">
        <v>70</v>
      </c>
      <c r="E944">
        <v>4</v>
      </c>
      <c r="F944" s="1" t="s">
        <v>143</v>
      </c>
      <c r="G944">
        <v>3</v>
      </c>
      <c r="H944" s="1" t="s">
        <v>18</v>
      </c>
      <c r="I944">
        <v>10</v>
      </c>
      <c r="J944">
        <v>0</v>
      </c>
      <c r="K944">
        <v>7</v>
      </c>
      <c r="L944">
        <v>7</v>
      </c>
      <c r="M944">
        <v>1</v>
      </c>
      <c r="N944">
        <v>7</v>
      </c>
      <c r="O944" s="1" t="s">
        <v>19</v>
      </c>
      <c r="P944" s="1" t="s">
        <v>135</v>
      </c>
      <c r="Q944">
        <v>325</v>
      </c>
      <c r="R944" s="1" t="s">
        <v>63</v>
      </c>
      <c r="S944">
        <v>10</v>
      </c>
      <c r="T944">
        <v>1</v>
      </c>
      <c r="U944">
        <v>4</v>
      </c>
      <c r="V944">
        <v>63</v>
      </c>
      <c r="W944">
        <v>3</v>
      </c>
      <c r="X944">
        <v>3</v>
      </c>
      <c r="Y944" s="1" t="s">
        <v>8</v>
      </c>
      <c r="Z944">
        <v>3</v>
      </c>
      <c r="AA944">
        <v>7094</v>
      </c>
      <c r="AB944">
        <v>5747</v>
      </c>
      <c r="AC944" s="1" t="s">
        <v>19</v>
      </c>
      <c r="AD944">
        <v>12</v>
      </c>
      <c r="AE944">
        <v>3</v>
      </c>
      <c r="AF944">
        <v>1</v>
      </c>
      <c r="AG944">
        <v>80</v>
      </c>
      <c r="AH944">
        <v>0</v>
      </c>
      <c r="AI944">
        <v>3</v>
      </c>
      <c r="AJ944">
        <v>0</v>
      </c>
      <c r="AK944" s="1" t="s">
        <v>136</v>
      </c>
    </row>
    <row r="945" spans="1:37" x14ac:dyDescent="0.25">
      <c r="A945">
        <v>1314</v>
      </c>
      <c r="B945">
        <v>46</v>
      </c>
      <c r="C945" s="1" t="s">
        <v>24</v>
      </c>
      <c r="D945" s="1" t="s">
        <v>71</v>
      </c>
      <c r="E945">
        <v>2</v>
      </c>
      <c r="F945" s="1" t="s">
        <v>134</v>
      </c>
      <c r="G945">
        <v>6</v>
      </c>
      <c r="H945" s="1" t="s">
        <v>18</v>
      </c>
      <c r="I945">
        <v>10</v>
      </c>
      <c r="J945">
        <v>3</v>
      </c>
      <c r="K945">
        <v>7</v>
      </c>
      <c r="L945">
        <v>6</v>
      </c>
      <c r="M945">
        <v>5</v>
      </c>
      <c r="N945">
        <v>7</v>
      </c>
      <c r="O945" s="1" t="s">
        <v>19</v>
      </c>
      <c r="P945" s="1" t="s">
        <v>135</v>
      </c>
      <c r="Q945">
        <v>991</v>
      </c>
      <c r="R945" s="1" t="s">
        <v>12</v>
      </c>
      <c r="S945">
        <v>1</v>
      </c>
      <c r="T945">
        <v>1</v>
      </c>
      <c r="U945">
        <v>4</v>
      </c>
      <c r="V945">
        <v>44</v>
      </c>
      <c r="W945">
        <v>3</v>
      </c>
      <c r="X945">
        <v>1</v>
      </c>
      <c r="Y945" s="1" t="s">
        <v>12</v>
      </c>
      <c r="Z945">
        <v>1</v>
      </c>
      <c r="AA945">
        <v>3423</v>
      </c>
      <c r="AB945">
        <v>22957</v>
      </c>
      <c r="AC945" s="1" t="s">
        <v>19</v>
      </c>
      <c r="AD945">
        <v>12</v>
      </c>
      <c r="AE945">
        <v>3</v>
      </c>
      <c r="AF945">
        <v>3</v>
      </c>
      <c r="AG945">
        <v>80</v>
      </c>
      <c r="AH945">
        <v>0</v>
      </c>
      <c r="AI945">
        <v>4</v>
      </c>
      <c r="AJ945">
        <v>0</v>
      </c>
      <c r="AK945" s="1" t="s">
        <v>136</v>
      </c>
    </row>
    <row r="946" spans="1:37" x14ac:dyDescent="0.25">
      <c r="A946">
        <v>1315</v>
      </c>
      <c r="B946">
        <v>28</v>
      </c>
      <c r="C946" s="1" t="s">
        <v>24</v>
      </c>
      <c r="D946" s="1" t="s">
        <v>70</v>
      </c>
      <c r="E946">
        <v>3</v>
      </c>
      <c r="F946" s="1" t="s">
        <v>134</v>
      </c>
      <c r="G946">
        <v>0</v>
      </c>
      <c r="H946" s="1" t="s">
        <v>18</v>
      </c>
      <c r="I946">
        <v>10</v>
      </c>
      <c r="J946">
        <v>6</v>
      </c>
      <c r="K946">
        <v>9</v>
      </c>
      <c r="L946">
        <v>8</v>
      </c>
      <c r="M946">
        <v>7</v>
      </c>
      <c r="N946">
        <v>5</v>
      </c>
      <c r="O946" s="1" t="s">
        <v>19</v>
      </c>
      <c r="P946" s="1" t="s">
        <v>141</v>
      </c>
      <c r="Q946">
        <v>1476</v>
      </c>
      <c r="R946" s="1" t="s">
        <v>63</v>
      </c>
      <c r="S946">
        <v>1</v>
      </c>
      <c r="T946">
        <v>1</v>
      </c>
      <c r="U946">
        <v>3</v>
      </c>
      <c r="V946">
        <v>55</v>
      </c>
      <c r="W946">
        <v>1</v>
      </c>
      <c r="X946">
        <v>2</v>
      </c>
      <c r="Y946" s="1" t="s">
        <v>6</v>
      </c>
      <c r="Z946">
        <v>4</v>
      </c>
      <c r="AA946">
        <v>6674</v>
      </c>
      <c r="AB946">
        <v>16392</v>
      </c>
      <c r="AC946" s="1" t="s">
        <v>19</v>
      </c>
      <c r="AD946">
        <v>11</v>
      </c>
      <c r="AE946">
        <v>3</v>
      </c>
      <c r="AF946">
        <v>1</v>
      </c>
      <c r="AG946">
        <v>80</v>
      </c>
      <c r="AH946">
        <v>3</v>
      </c>
      <c r="AI946">
        <v>3</v>
      </c>
      <c r="AJ946">
        <v>0</v>
      </c>
      <c r="AK946" s="1" t="s">
        <v>136</v>
      </c>
    </row>
    <row r="947" spans="1:37" x14ac:dyDescent="0.25">
      <c r="A947">
        <v>1317</v>
      </c>
      <c r="B947">
        <v>50</v>
      </c>
      <c r="C947" s="1" t="s">
        <v>24</v>
      </c>
      <c r="D947" s="1" t="s">
        <v>70</v>
      </c>
      <c r="E947">
        <v>3</v>
      </c>
      <c r="F947" s="1" t="s">
        <v>134</v>
      </c>
      <c r="G947">
        <v>4</v>
      </c>
      <c r="H947" s="1" t="s">
        <v>18</v>
      </c>
      <c r="I947">
        <v>25</v>
      </c>
      <c r="J947">
        <v>2</v>
      </c>
      <c r="K947">
        <v>3</v>
      </c>
      <c r="L947">
        <v>2</v>
      </c>
      <c r="M947">
        <v>1</v>
      </c>
      <c r="N947">
        <v>2</v>
      </c>
      <c r="O947" s="1" t="s">
        <v>19</v>
      </c>
      <c r="P947" s="1" t="s">
        <v>135</v>
      </c>
      <c r="Q947">
        <v>1322</v>
      </c>
      <c r="R947" s="1" t="s">
        <v>63</v>
      </c>
      <c r="S947">
        <v>28</v>
      </c>
      <c r="T947">
        <v>1</v>
      </c>
      <c r="U947">
        <v>4</v>
      </c>
      <c r="V947">
        <v>43</v>
      </c>
      <c r="W947">
        <v>3</v>
      </c>
      <c r="X947">
        <v>4</v>
      </c>
      <c r="Y947" s="1" t="s">
        <v>11</v>
      </c>
      <c r="Z947">
        <v>1</v>
      </c>
      <c r="AA947">
        <v>16880</v>
      </c>
      <c r="AB947">
        <v>22422</v>
      </c>
      <c r="AC947" s="1" t="s">
        <v>18</v>
      </c>
      <c r="AD947">
        <v>11</v>
      </c>
      <c r="AE947">
        <v>3</v>
      </c>
      <c r="AF947">
        <v>2</v>
      </c>
      <c r="AG947">
        <v>80</v>
      </c>
      <c r="AH947">
        <v>0</v>
      </c>
      <c r="AI947">
        <v>3</v>
      </c>
      <c r="AJ947">
        <v>0</v>
      </c>
      <c r="AK947" s="1" t="s">
        <v>140</v>
      </c>
    </row>
    <row r="948" spans="1:37" x14ac:dyDescent="0.25">
      <c r="A948">
        <v>1318</v>
      </c>
      <c r="B948">
        <v>40</v>
      </c>
      <c r="C948" s="1" t="s">
        <v>25</v>
      </c>
      <c r="D948" s="1" t="s">
        <v>71</v>
      </c>
      <c r="E948">
        <v>4</v>
      </c>
      <c r="F948" s="1" t="s">
        <v>142</v>
      </c>
      <c r="G948">
        <v>2</v>
      </c>
      <c r="H948" s="1" t="s">
        <v>18</v>
      </c>
      <c r="I948">
        <v>9</v>
      </c>
      <c r="J948">
        <v>2</v>
      </c>
      <c r="K948">
        <v>5</v>
      </c>
      <c r="L948">
        <v>4</v>
      </c>
      <c r="M948">
        <v>1</v>
      </c>
      <c r="N948">
        <v>0</v>
      </c>
      <c r="O948" s="1" t="s">
        <v>18</v>
      </c>
      <c r="P948" s="1" t="s">
        <v>135</v>
      </c>
      <c r="Q948">
        <v>299</v>
      </c>
      <c r="R948" s="1" t="s">
        <v>64</v>
      </c>
      <c r="S948">
        <v>25</v>
      </c>
      <c r="T948">
        <v>1</v>
      </c>
      <c r="U948">
        <v>4</v>
      </c>
      <c r="V948">
        <v>57</v>
      </c>
      <c r="W948">
        <v>2</v>
      </c>
      <c r="X948">
        <v>3</v>
      </c>
      <c r="Y948" s="1" t="s">
        <v>4</v>
      </c>
      <c r="Z948">
        <v>2</v>
      </c>
      <c r="AA948">
        <v>9094</v>
      </c>
      <c r="AB948">
        <v>17235</v>
      </c>
      <c r="AC948" s="1" t="s">
        <v>18</v>
      </c>
      <c r="AD948">
        <v>12</v>
      </c>
      <c r="AE948">
        <v>3</v>
      </c>
      <c r="AF948">
        <v>3</v>
      </c>
      <c r="AG948">
        <v>80</v>
      </c>
      <c r="AH948">
        <v>0</v>
      </c>
      <c r="AI948">
        <v>3</v>
      </c>
      <c r="AJ948">
        <v>1</v>
      </c>
      <c r="AK948" s="1" t="s">
        <v>136</v>
      </c>
    </row>
    <row r="949" spans="1:37" x14ac:dyDescent="0.25">
      <c r="A949">
        <v>1319</v>
      </c>
      <c r="B949">
        <v>52</v>
      </c>
      <c r="C949" s="1" t="s">
        <v>25</v>
      </c>
      <c r="D949" s="1" t="s">
        <v>71</v>
      </c>
      <c r="E949">
        <v>3</v>
      </c>
      <c r="F949" s="1" t="s">
        <v>134</v>
      </c>
      <c r="G949">
        <v>9</v>
      </c>
      <c r="H949" s="1" t="s">
        <v>18</v>
      </c>
      <c r="I949">
        <v>10</v>
      </c>
      <c r="J949">
        <v>2</v>
      </c>
      <c r="K949">
        <v>8</v>
      </c>
      <c r="L949">
        <v>7</v>
      </c>
      <c r="M949">
        <v>7</v>
      </c>
      <c r="N949">
        <v>7</v>
      </c>
      <c r="O949" s="1" t="s">
        <v>18</v>
      </c>
      <c r="P949" s="1" t="s">
        <v>135</v>
      </c>
      <c r="Q949">
        <v>1030</v>
      </c>
      <c r="R949" s="1" t="s">
        <v>64</v>
      </c>
      <c r="S949">
        <v>5</v>
      </c>
      <c r="T949">
        <v>1</v>
      </c>
      <c r="U949">
        <v>2</v>
      </c>
      <c r="V949">
        <v>64</v>
      </c>
      <c r="W949">
        <v>3</v>
      </c>
      <c r="X949">
        <v>3</v>
      </c>
      <c r="Y949" s="1" t="s">
        <v>4</v>
      </c>
      <c r="Z949">
        <v>2</v>
      </c>
      <c r="AA949">
        <v>8446</v>
      </c>
      <c r="AB949">
        <v>21534</v>
      </c>
      <c r="AC949" s="1" t="s">
        <v>18</v>
      </c>
      <c r="AD949">
        <v>19</v>
      </c>
      <c r="AE949">
        <v>3</v>
      </c>
      <c r="AF949">
        <v>3</v>
      </c>
      <c r="AG949">
        <v>80</v>
      </c>
      <c r="AH949">
        <v>0</v>
      </c>
      <c r="AI949">
        <v>2</v>
      </c>
      <c r="AJ949">
        <v>1</v>
      </c>
      <c r="AK949" s="1" t="s">
        <v>140</v>
      </c>
    </row>
    <row r="950" spans="1:37" x14ac:dyDescent="0.25">
      <c r="A950">
        <v>1321</v>
      </c>
      <c r="B950">
        <v>30</v>
      </c>
      <c r="C950" s="1" t="s">
        <v>24</v>
      </c>
      <c r="D950" s="1" t="s">
        <v>70</v>
      </c>
      <c r="E950">
        <v>4</v>
      </c>
      <c r="F950" s="1" t="s">
        <v>139</v>
      </c>
      <c r="G950">
        <v>1</v>
      </c>
      <c r="H950" s="1" t="s">
        <v>18</v>
      </c>
      <c r="I950">
        <v>9</v>
      </c>
      <c r="J950">
        <v>2</v>
      </c>
      <c r="K950">
        <v>9</v>
      </c>
      <c r="L950">
        <v>1</v>
      </c>
      <c r="M950">
        <v>0</v>
      </c>
      <c r="N950">
        <v>8</v>
      </c>
      <c r="O950" s="1" t="s">
        <v>19</v>
      </c>
      <c r="P950" s="1" t="s">
        <v>135</v>
      </c>
      <c r="Q950">
        <v>634</v>
      </c>
      <c r="R950" s="1" t="s">
        <v>63</v>
      </c>
      <c r="S950">
        <v>17</v>
      </c>
      <c r="T950">
        <v>1</v>
      </c>
      <c r="U950">
        <v>2</v>
      </c>
      <c r="V950">
        <v>95</v>
      </c>
      <c r="W950">
        <v>3</v>
      </c>
      <c r="X950">
        <v>3</v>
      </c>
      <c r="Y950" s="1" t="s">
        <v>9</v>
      </c>
      <c r="Z950">
        <v>1</v>
      </c>
      <c r="AA950">
        <v>11916</v>
      </c>
      <c r="AB950">
        <v>25927</v>
      </c>
      <c r="AC950" s="1" t="s">
        <v>18</v>
      </c>
      <c r="AD950">
        <v>23</v>
      </c>
      <c r="AE950">
        <v>4</v>
      </c>
      <c r="AF950">
        <v>4</v>
      </c>
      <c r="AG950">
        <v>80</v>
      </c>
      <c r="AH950">
        <v>2</v>
      </c>
      <c r="AI950">
        <v>3</v>
      </c>
      <c r="AJ950">
        <v>0</v>
      </c>
      <c r="AK950" s="1" t="s">
        <v>136</v>
      </c>
    </row>
    <row r="951" spans="1:37" x14ac:dyDescent="0.25">
      <c r="A951">
        <v>1322</v>
      </c>
      <c r="B951">
        <v>39</v>
      </c>
      <c r="C951" s="1" t="s">
        <v>25</v>
      </c>
      <c r="D951" s="1" t="s">
        <v>71</v>
      </c>
      <c r="E951">
        <v>2</v>
      </c>
      <c r="F951" s="1" t="s">
        <v>134</v>
      </c>
      <c r="G951">
        <v>0</v>
      </c>
      <c r="H951" s="1" t="s">
        <v>18</v>
      </c>
      <c r="I951">
        <v>9</v>
      </c>
      <c r="J951">
        <v>6</v>
      </c>
      <c r="K951">
        <v>8</v>
      </c>
      <c r="L951">
        <v>7</v>
      </c>
      <c r="M951">
        <v>1</v>
      </c>
      <c r="N951">
        <v>7</v>
      </c>
      <c r="O951" s="1" t="s">
        <v>19</v>
      </c>
      <c r="P951" s="1" t="s">
        <v>135</v>
      </c>
      <c r="Q951">
        <v>524</v>
      </c>
      <c r="R951" s="1" t="s">
        <v>63</v>
      </c>
      <c r="S951">
        <v>18</v>
      </c>
      <c r="T951">
        <v>1</v>
      </c>
      <c r="U951">
        <v>1</v>
      </c>
      <c r="V951">
        <v>32</v>
      </c>
      <c r="W951">
        <v>3</v>
      </c>
      <c r="X951">
        <v>2</v>
      </c>
      <c r="Y951" s="1" t="s">
        <v>7</v>
      </c>
      <c r="Z951">
        <v>3</v>
      </c>
      <c r="AA951">
        <v>4534</v>
      </c>
      <c r="AB951">
        <v>13352</v>
      </c>
      <c r="AC951" s="1" t="s">
        <v>19</v>
      </c>
      <c r="AD951">
        <v>11</v>
      </c>
      <c r="AE951">
        <v>3</v>
      </c>
      <c r="AF951">
        <v>1</v>
      </c>
      <c r="AG951">
        <v>80</v>
      </c>
      <c r="AH951">
        <v>0</v>
      </c>
      <c r="AI951">
        <v>3</v>
      </c>
      <c r="AJ951">
        <v>0</v>
      </c>
      <c r="AK951" s="1" t="s">
        <v>136</v>
      </c>
    </row>
    <row r="952" spans="1:37" x14ac:dyDescent="0.25">
      <c r="A952">
        <v>1324</v>
      </c>
      <c r="B952">
        <v>31</v>
      </c>
      <c r="C952" s="1" t="s">
        <v>24</v>
      </c>
      <c r="D952" s="1" t="s">
        <v>69</v>
      </c>
      <c r="E952">
        <v>4</v>
      </c>
      <c r="F952" s="1" t="s">
        <v>134</v>
      </c>
      <c r="G952">
        <v>1</v>
      </c>
      <c r="H952" s="1" t="s">
        <v>18</v>
      </c>
      <c r="I952">
        <v>10</v>
      </c>
      <c r="J952">
        <v>5</v>
      </c>
      <c r="K952">
        <v>10</v>
      </c>
      <c r="L952">
        <v>8</v>
      </c>
      <c r="M952">
        <v>9</v>
      </c>
      <c r="N952">
        <v>6</v>
      </c>
      <c r="O952" s="1" t="s">
        <v>19</v>
      </c>
      <c r="P952" s="1" t="s">
        <v>141</v>
      </c>
      <c r="Q952">
        <v>587</v>
      </c>
      <c r="R952" s="1" t="s">
        <v>64</v>
      </c>
      <c r="S952">
        <v>2</v>
      </c>
      <c r="T952">
        <v>1</v>
      </c>
      <c r="U952">
        <v>4</v>
      </c>
      <c r="V952">
        <v>57</v>
      </c>
      <c r="W952">
        <v>3</v>
      </c>
      <c r="X952">
        <v>3</v>
      </c>
      <c r="Y952" s="1" t="s">
        <v>4</v>
      </c>
      <c r="Z952">
        <v>3</v>
      </c>
      <c r="AA952">
        <v>9852</v>
      </c>
      <c r="AB952">
        <v>8935</v>
      </c>
      <c r="AC952" s="1" t="s">
        <v>18</v>
      </c>
      <c r="AD952">
        <v>19</v>
      </c>
      <c r="AE952">
        <v>3</v>
      </c>
      <c r="AF952">
        <v>1</v>
      </c>
      <c r="AG952">
        <v>80</v>
      </c>
      <c r="AH952">
        <v>1</v>
      </c>
      <c r="AI952">
        <v>2</v>
      </c>
      <c r="AJ952">
        <v>0</v>
      </c>
      <c r="AK952" s="1" t="s">
        <v>136</v>
      </c>
    </row>
    <row r="953" spans="1:37" x14ac:dyDescent="0.25">
      <c r="A953">
        <v>1329</v>
      </c>
      <c r="B953">
        <v>41</v>
      </c>
      <c r="C953" s="1" t="s">
        <v>25</v>
      </c>
      <c r="D953" s="1" t="s">
        <v>71</v>
      </c>
      <c r="E953">
        <v>2</v>
      </c>
      <c r="F953" s="1" t="s">
        <v>139</v>
      </c>
      <c r="G953">
        <v>1</v>
      </c>
      <c r="H953" s="1" t="s">
        <v>18</v>
      </c>
      <c r="I953">
        <v>19</v>
      </c>
      <c r="J953">
        <v>4</v>
      </c>
      <c r="K953">
        <v>19</v>
      </c>
      <c r="L953">
        <v>2</v>
      </c>
      <c r="M953">
        <v>11</v>
      </c>
      <c r="N953">
        <v>9</v>
      </c>
      <c r="O953" s="1" t="s">
        <v>19</v>
      </c>
      <c r="P953" s="1" t="s">
        <v>141</v>
      </c>
      <c r="Q953">
        <v>256</v>
      </c>
      <c r="R953" s="1" t="s">
        <v>64</v>
      </c>
      <c r="S953">
        <v>10</v>
      </c>
      <c r="T953">
        <v>1</v>
      </c>
      <c r="U953">
        <v>3</v>
      </c>
      <c r="V953">
        <v>40</v>
      </c>
      <c r="W953">
        <v>1</v>
      </c>
      <c r="X953">
        <v>2</v>
      </c>
      <c r="Y953" s="1" t="s">
        <v>4</v>
      </c>
      <c r="Z953">
        <v>2</v>
      </c>
      <c r="AA953">
        <v>6151</v>
      </c>
      <c r="AB953">
        <v>22074</v>
      </c>
      <c r="AC953" s="1" t="s">
        <v>19</v>
      </c>
      <c r="AD953">
        <v>13</v>
      </c>
      <c r="AE953">
        <v>3</v>
      </c>
      <c r="AF953">
        <v>1</v>
      </c>
      <c r="AG953">
        <v>80</v>
      </c>
      <c r="AH953">
        <v>0</v>
      </c>
      <c r="AI953">
        <v>3</v>
      </c>
      <c r="AJ953">
        <v>0</v>
      </c>
      <c r="AK953" s="1" t="s">
        <v>136</v>
      </c>
    </row>
    <row r="954" spans="1:37" x14ac:dyDescent="0.25">
      <c r="A954">
        <v>1331</v>
      </c>
      <c r="B954">
        <v>31</v>
      </c>
      <c r="C954" s="1" t="s">
        <v>24</v>
      </c>
      <c r="D954" s="1" t="s">
        <v>71</v>
      </c>
      <c r="E954">
        <v>3</v>
      </c>
      <c r="F954" s="1" t="s">
        <v>134</v>
      </c>
      <c r="G954">
        <v>1</v>
      </c>
      <c r="H954" s="1" t="s">
        <v>18</v>
      </c>
      <c r="I954">
        <v>3</v>
      </c>
      <c r="J954">
        <v>2</v>
      </c>
      <c r="K954">
        <v>3</v>
      </c>
      <c r="L954">
        <v>2</v>
      </c>
      <c r="M954">
        <v>2</v>
      </c>
      <c r="N954">
        <v>2</v>
      </c>
      <c r="O954" s="1" t="s">
        <v>18</v>
      </c>
      <c r="P954" s="1" t="s">
        <v>137</v>
      </c>
      <c r="Q954">
        <v>1060</v>
      </c>
      <c r="R954" s="1" t="s">
        <v>64</v>
      </c>
      <c r="S954">
        <v>1</v>
      </c>
      <c r="T954">
        <v>1</v>
      </c>
      <c r="U954">
        <v>4</v>
      </c>
      <c r="V954">
        <v>54</v>
      </c>
      <c r="W954">
        <v>3</v>
      </c>
      <c r="X954">
        <v>1</v>
      </c>
      <c r="Y954" s="1" t="s">
        <v>10</v>
      </c>
      <c r="Z954">
        <v>2</v>
      </c>
      <c r="AA954">
        <v>2302</v>
      </c>
      <c r="AB954">
        <v>8319</v>
      </c>
      <c r="AC954" s="1" t="s">
        <v>18</v>
      </c>
      <c r="AD954">
        <v>11</v>
      </c>
      <c r="AE954">
        <v>3</v>
      </c>
      <c r="AF954">
        <v>1</v>
      </c>
      <c r="AG954">
        <v>80</v>
      </c>
      <c r="AH954">
        <v>0</v>
      </c>
      <c r="AI954">
        <v>4</v>
      </c>
      <c r="AJ954">
        <v>1</v>
      </c>
      <c r="AK954" s="1" t="s">
        <v>136</v>
      </c>
    </row>
    <row r="955" spans="1:37" x14ac:dyDescent="0.25">
      <c r="A955">
        <v>1333</v>
      </c>
      <c r="B955">
        <v>44</v>
      </c>
      <c r="C955" s="1" t="s">
        <v>25</v>
      </c>
      <c r="D955" s="1" t="s">
        <v>70</v>
      </c>
      <c r="E955">
        <v>3</v>
      </c>
      <c r="F955" s="1" t="s">
        <v>134</v>
      </c>
      <c r="G955">
        <v>4</v>
      </c>
      <c r="H955" s="1" t="s">
        <v>18</v>
      </c>
      <c r="I955">
        <v>10</v>
      </c>
      <c r="J955">
        <v>4</v>
      </c>
      <c r="K955">
        <v>3</v>
      </c>
      <c r="L955">
        <v>2</v>
      </c>
      <c r="M955">
        <v>1</v>
      </c>
      <c r="N955">
        <v>2</v>
      </c>
      <c r="O955" s="1" t="s">
        <v>18</v>
      </c>
      <c r="P955" s="1" t="s">
        <v>135</v>
      </c>
      <c r="Q955">
        <v>935</v>
      </c>
      <c r="R955" s="1" t="s">
        <v>63</v>
      </c>
      <c r="S955">
        <v>3</v>
      </c>
      <c r="T955">
        <v>1</v>
      </c>
      <c r="U955">
        <v>1</v>
      </c>
      <c r="V955">
        <v>89</v>
      </c>
      <c r="W955">
        <v>3</v>
      </c>
      <c r="X955">
        <v>1</v>
      </c>
      <c r="Y955" s="1" t="s">
        <v>6</v>
      </c>
      <c r="Z955">
        <v>1</v>
      </c>
      <c r="AA955">
        <v>2362</v>
      </c>
      <c r="AB955">
        <v>14669</v>
      </c>
      <c r="AC955" s="1" t="s">
        <v>19</v>
      </c>
      <c r="AD955">
        <v>12</v>
      </c>
      <c r="AE955">
        <v>3</v>
      </c>
      <c r="AF955">
        <v>3</v>
      </c>
      <c r="AG955">
        <v>80</v>
      </c>
      <c r="AH955">
        <v>0</v>
      </c>
      <c r="AI955">
        <v>4</v>
      </c>
      <c r="AJ955">
        <v>1</v>
      </c>
      <c r="AK955" s="1" t="s">
        <v>136</v>
      </c>
    </row>
    <row r="956" spans="1:37" x14ac:dyDescent="0.25">
      <c r="A956">
        <v>1334</v>
      </c>
      <c r="B956">
        <v>42</v>
      </c>
      <c r="C956" s="1" t="s">
        <v>25</v>
      </c>
      <c r="D956" s="1" t="s">
        <v>70</v>
      </c>
      <c r="E956">
        <v>1</v>
      </c>
      <c r="F956" s="1" t="s">
        <v>134</v>
      </c>
      <c r="G956">
        <v>0</v>
      </c>
      <c r="H956" s="1" t="s">
        <v>18</v>
      </c>
      <c r="I956">
        <v>21</v>
      </c>
      <c r="J956">
        <v>3</v>
      </c>
      <c r="K956">
        <v>20</v>
      </c>
      <c r="L956">
        <v>8</v>
      </c>
      <c r="M956">
        <v>2</v>
      </c>
      <c r="N956">
        <v>10</v>
      </c>
      <c r="O956" s="1" t="s">
        <v>19</v>
      </c>
      <c r="P956" s="1" t="s">
        <v>141</v>
      </c>
      <c r="Q956">
        <v>495</v>
      </c>
      <c r="R956" s="1" t="s">
        <v>63</v>
      </c>
      <c r="S956">
        <v>2</v>
      </c>
      <c r="T956">
        <v>1</v>
      </c>
      <c r="U956">
        <v>3</v>
      </c>
      <c r="V956">
        <v>37</v>
      </c>
      <c r="W956">
        <v>3</v>
      </c>
      <c r="X956">
        <v>4</v>
      </c>
      <c r="Y956" s="1" t="s">
        <v>9</v>
      </c>
      <c r="Z956">
        <v>3</v>
      </c>
      <c r="AA956">
        <v>17861</v>
      </c>
      <c r="AB956">
        <v>26582</v>
      </c>
      <c r="AC956" s="1" t="s">
        <v>18</v>
      </c>
      <c r="AD956">
        <v>13</v>
      </c>
      <c r="AE956">
        <v>3</v>
      </c>
      <c r="AF956">
        <v>4</v>
      </c>
      <c r="AG956">
        <v>80</v>
      </c>
      <c r="AH956">
        <v>0</v>
      </c>
      <c r="AI956">
        <v>2</v>
      </c>
      <c r="AJ956">
        <v>0</v>
      </c>
      <c r="AK956" s="1" t="s">
        <v>136</v>
      </c>
    </row>
    <row r="957" spans="1:37" x14ac:dyDescent="0.25">
      <c r="A957">
        <v>1336</v>
      </c>
      <c r="B957">
        <v>55</v>
      </c>
      <c r="C957" s="1" t="s">
        <v>24</v>
      </c>
      <c r="D957" s="1" t="s">
        <v>70</v>
      </c>
      <c r="E957">
        <v>2</v>
      </c>
      <c r="F957" s="1" t="s">
        <v>139</v>
      </c>
      <c r="G957">
        <v>4</v>
      </c>
      <c r="H957" s="1" t="s">
        <v>18</v>
      </c>
      <c r="I957">
        <v>23</v>
      </c>
      <c r="J957">
        <v>5</v>
      </c>
      <c r="K957">
        <v>19</v>
      </c>
      <c r="L957">
        <v>9</v>
      </c>
      <c r="M957">
        <v>9</v>
      </c>
      <c r="N957">
        <v>11</v>
      </c>
      <c r="O957" s="1" t="s">
        <v>19</v>
      </c>
      <c r="P957" s="1" t="s">
        <v>135</v>
      </c>
      <c r="Q957">
        <v>282</v>
      </c>
      <c r="R957" s="1" t="s">
        <v>63</v>
      </c>
      <c r="S957">
        <v>2</v>
      </c>
      <c r="T957">
        <v>1</v>
      </c>
      <c r="U957">
        <v>4</v>
      </c>
      <c r="V957">
        <v>58</v>
      </c>
      <c r="W957">
        <v>1</v>
      </c>
      <c r="X957">
        <v>5</v>
      </c>
      <c r="Y957" s="1" t="s">
        <v>9</v>
      </c>
      <c r="Z957">
        <v>3</v>
      </c>
      <c r="AA957">
        <v>19187</v>
      </c>
      <c r="AB957">
        <v>6992</v>
      </c>
      <c r="AC957" s="1" t="s">
        <v>19</v>
      </c>
      <c r="AD957">
        <v>14</v>
      </c>
      <c r="AE957">
        <v>3</v>
      </c>
      <c r="AF957">
        <v>4</v>
      </c>
      <c r="AG957">
        <v>80</v>
      </c>
      <c r="AH957">
        <v>1</v>
      </c>
      <c r="AI957">
        <v>3</v>
      </c>
      <c r="AJ957">
        <v>0</v>
      </c>
      <c r="AK957" s="1" t="s">
        <v>140</v>
      </c>
    </row>
    <row r="958" spans="1:37" x14ac:dyDescent="0.25">
      <c r="A958">
        <v>1338</v>
      </c>
      <c r="B958">
        <v>56</v>
      </c>
      <c r="C958" s="1" t="s">
        <v>25</v>
      </c>
      <c r="D958" s="1" t="s">
        <v>71</v>
      </c>
      <c r="E958">
        <v>4</v>
      </c>
      <c r="F958" s="1" t="s">
        <v>134</v>
      </c>
      <c r="G958">
        <v>6</v>
      </c>
      <c r="H958" s="1" t="s">
        <v>18</v>
      </c>
      <c r="I958">
        <v>36</v>
      </c>
      <c r="J958">
        <v>4</v>
      </c>
      <c r="K958">
        <v>7</v>
      </c>
      <c r="L958">
        <v>3</v>
      </c>
      <c r="M958">
        <v>7</v>
      </c>
      <c r="N958">
        <v>7</v>
      </c>
      <c r="O958" s="1" t="s">
        <v>19</v>
      </c>
      <c r="P958" s="1" t="s">
        <v>135</v>
      </c>
      <c r="Q958">
        <v>206</v>
      </c>
      <c r="R958" s="1" t="s">
        <v>12</v>
      </c>
      <c r="S958">
        <v>8</v>
      </c>
      <c r="T958">
        <v>1</v>
      </c>
      <c r="U958">
        <v>4</v>
      </c>
      <c r="V958">
        <v>99</v>
      </c>
      <c r="W958">
        <v>3</v>
      </c>
      <c r="X958">
        <v>5</v>
      </c>
      <c r="Y958" s="1" t="s">
        <v>9</v>
      </c>
      <c r="Z958">
        <v>2</v>
      </c>
      <c r="AA958">
        <v>19717</v>
      </c>
      <c r="AB958">
        <v>4022</v>
      </c>
      <c r="AC958" s="1" t="s">
        <v>19</v>
      </c>
      <c r="AD958">
        <v>14</v>
      </c>
      <c r="AE958">
        <v>3</v>
      </c>
      <c r="AF958">
        <v>1</v>
      </c>
      <c r="AG958">
        <v>80</v>
      </c>
      <c r="AH958">
        <v>0</v>
      </c>
      <c r="AI958">
        <v>3</v>
      </c>
      <c r="AJ958">
        <v>0</v>
      </c>
      <c r="AK958" s="1" t="s">
        <v>140</v>
      </c>
    </row>
    <row r="959" spans="1:37" x14ac:dyDescent="0.25">
      <c r="A959">
        <v>1340</v>
      </c>
      <c r="B959">
        <v>40</v>
      </c>
      <c r="C959" s="1" t="s">
        <v>25</v>
      </c>
      <c r="D959" s="1" t="s">
        <v>69</v>
      </c>
      <c r="E959">
        <v>2</v>
      </c>
      <c r="F959" s="1" t="s">
        <v>134</v>
      </c>
      <c r="G959">
        <v>9</v>
      </c>
      <c r="H959" s="1" t="s">
        <v>18</v>
      </c>
      <c r="I959">
        <v>6</v>
      </c>
      <c r="J959">
        <v>0</v>
      </c>
      <c r="K959">
        <v>4</v>
      </c>
      <c r="L959">
        <v>2</v>
      </c>
      <c r="M959">
        <v>0</v>
      </c>
      <c r="N959">
        <v>0</v>
      </c>
      <c r="O959" s="1" t="s">
        <v>19</v>
      </c>
      <c r="P959" s="1" t="s">
        <v>141</v>
      </c>
      <c r="Q959">
        <v>458</v>
      </c>
      <c r="R959" s="1" t="s">
        <v>63</v>
      </c>
      <c r="S959">
        <v>16</v>
      </c>
      <c r="T959">
        <v>1</v>
      </c>
      <c r="U959">
        <v>3</v>
      </c>
      <c r="V959">
        <v>74</v>
      </c>
      <c r="W959">
        <v>3</v>
      </c>
      <c r="X959">
        <v>1</v>
      </c>
      <c r="Y959" s="1" t="s">
        <v>5</v>
      </c>
      <c r="Z959">
        <v>3</v>
      </c>
      <c r="AA959">
        <v>3544</v>
      </c>
      <c r="AB959">
        <v>8532</v>
      </c>
      <c r="AC959" s="1" t="s">
        <v>19</v>
      </c>
      <c r="AD959">
        <v>16</v>
      </c>
      <c r="AE959">
        <v>3</v>
      </c>
      <c r="AF959">
        <v>2</v>
      </c>
      <c r="AG959">
        <v>80</v>
      </c>
      <c r="AH959">
        <v>1</v>
      </c>
      <c r="AI959">
        <v>3</v>
      </c>
      <c r="AJ959">
        <v>0</v>
      </c>
      <c r="AK959" s="1" t="s">
        <v>136</v>
      </c>
    </row>
    <row r="960" spans="1:37" x14ac:dyDescent="0.25">
      <c r="A960">
        <v>1344</v>
      </c>
      <c r="B960">
        <v>34</v>
      </c>
      <c r="C960" s="1" t="s">
        <v>25</v>
      </c>
      <c r="D960" s="1" t="s">
        <v>69</v>
      </c>
      <c r="E960">
        <v>3</v>
      </c>
      <c r="F960" s="1" t="s">
        <v>134</v>
      </c>
      <c r="G960">
        <v>0</v>
      </c>
      <c r="H960" s="1" t="s">
        <v>18</v>
      </c>
      <c r="I960">
        <v>10</v>
      </c>
      <c r="J960">
        <v>0</v>
      </c>
      <c r="K960">
        <v>9</v>
      </c>
      <c r="L960">
        <v>7</v>
      </c>
      <c r="M960">
        <v>1</v>
      </c>
      <c r="N960">
        <v>6</v>
      </c>
      <c r="O960" s="1" t="s">
        <v>19</v>
      </c>
      <c r="P960" s="1" t="s">
        <v>135</v>
      </c>
      <c r="Q960">
        <v>943</v>
      </c>
      <c r="R960" s="1" t="s">
        <v>63</v>
      </c>
      <c r="S960">
        <v>9</v>
      </c>
      <c r="T960">
        <v>1</v>
      </c>
      <c r="U960">
        <v>4</v>
      </c>
      <c r="V960">
        <v>86</v>
      </c>
      <c r="W960">
        <v>3</v>
      </c>
      <c r="X960">
        <v>3</v>
      </c>
      <c r="Y960" s="1" t="s">
        <v>8</v>
      </c>
      <c r="Z960">
        <v>4</v>
      </c>
      <c r="AA960">
        <v>8500</v>
      </c>
      <c r="AB960">
        <v>5494</v>
      </c>
      <c r="AC960" s="1" t="s">
        <v>19</v>
      </c>
      <c r="AD960">
        <v>11</v>
      </c>
      <c r="AE960">
        <v>3</v>
      </c>
      <c r="AF960">
        <v>4</v>
      </c>
      <c r="AG960">
        <v>80</v>
      </c>
      <c r="AH960">
        <v>1</v>
      </c>
      <c r="AI960">
        <v>2</v>
      </c>
      <c r="AJ960">
        <v>0</v>
      </c>
      <c r="AK960" s="1" t="s">
        <v>136</v>
      </c>
    </row>
    <row r="961" spans="1:37" x14ac:dyDescent="0.25">
      <c r="A961">
        <v>1346</v>
      </c>
      <c r="B961">
        <v>40</v>
      </c>
      <c r="C961" s="1" t="s">
        <v>25</v>
      </c>
      <c r="D961" s="1" t="s">
        <v>71</v>
      </c>
      <c r="E961">
        <v>3</v>
      </c>
      <c r="F961" s="1" t="s">
        <v>134</v>
      </c>
      <c r="G961">
        <v>1</v>
      </c>
      <c r="H961" s="1" t="s">
        <v>18</v>
      </c>
      <c r="I961">
        <v>9</v>
      </c>
      <c r="J961">
        <v>4</v>
      </c>
      <c r="K961">
        <v>9</v>
      </c>
      <c r="L961">
        <v>8</v>
      </c>
      <c r="M961">
        <v>8</v>
      </c>
      <c r="N961">
        <v>8</v>
      </c>
      <c r="O961" s="1" t="s">
        <v>19</v>
      </c>
      <c r="P961" s="1" t="s">
        <v>135</v>
      </c>
      <c r="Q961">
        <v>523</v>
      </c>
      <c r="R961" s="1" t="s">
        <v>63</v>
      </c>
      <c r="S961">
        <v>2</v>
      </c>
      <c r="T961">
        <v>1</v>
      </c>
      <c r="U961">
        <v>3</v>
      </c>
      <c r="V961">
        <v>98</v>
      </c>
      <c r="W961">
        <v>3</v>
      </c>
      <c r="X961">
        <v>2</v>
      </c>
      <c r="Y961" s="1" t="s">
        <v>5</v>
      </c>
      <c r="Z961">
        <v>4</v>
      </c>
      <c r="AA961">
        <v>4661</v>
      </c>
      <c r="AB961">
        <v>22455</v>
      </c>
      <c r="AC961" s="1" t="s">
        <v>19</v>
      </c>
      <c r="AD961">
        <v>13</v>
      </c>
      <c r="AE961">
        <v>3</v>
      </c>
      <c r="AF961">
        <v>3</v>
      </c>
      <c r="AG961">
        <v>80</v>
      </c>
      <c r="AH961">
        <v>0</v>
      </c>
      <c r="AI961">
        <v>3</v>
      </c>
      <c r="AJ961">
        <v>0</v>
      </c>
      <c r="AK961" s="1" t="s">
        <v>136</v>
      </c>
    </row>
    <row r="962" spans="1:37" x14ac:dyDescent="0.25">
      <c r="A962">
        <v>1349</v>
      </c>
      <c r="B962">
        <v>41</v>
      </c>
      <c r="C962" s="1" t="s">
        <v>24</v>
      </c>
      <c r="D962" s="1" t="s">
        <v>69</v>
      </c>
      <c r="E962">
        <v>3</v>
      </c>
      <c r="F962" s="1" t="s">
        <v>142</v>
      </c>
      <c r="G962">
        <v>0</v>
      </c>
      <c r="H962" s="1" t="s">
        <v>18</v>
      </c>
      <c r="I962">
        <v>10</v>
      </c>
      <c r="J962">
        <v>2</v>
      </c>
      <c r="K962">
        <v>9</v>
      </c>
      <c r="L962">
        <v>3</v>
      </c>
      <c r="M962">
        <v>1</v>
      </c>
      <c r="N962">
        <v>7</v>
      </c>
      <c r="O962" s="1" t="s">
        <v>19</v>
      </c>
      <c r="P962" s="1" t="s">
        <v>137</v>
      </c>
      <c r="Q962">
        <v>1018</v>
      </c>
      <c r="R962" s="1" t="s">
        <v>64</v>
      </c>
      <c r="S962">
        <v>1</v>
      </c>
      <c r="T962">
        <v>1</v>
      </c>
      <c r="U962">
        <v>3</v>
      </c>
      <c r="V962">
        <v>66</v>
      </c>
      <c r="W962">
        <v>3</v>
      </c>
      <c r="X962">
        <v>2</v>
      </c>
      <c r="Y962" s="1" t="s">
        <v>4</v>
      </c>
      <c r="Z962">
        <v>1</v>
      </c>
      <c r="AA962">
        <v>4103</v>
      </c>
      <c r="AB962">
        <v>4297</v>
      </c>
      <c r="AC962" s="1" t="s">
        <v>19</v>
      </c>
      <c r="AD962">
        <v>17</v>
      </c>
      <c r="AE962">
        <v>3</v>
      </c>
      <c r="AF962">
        <v>4</v>
      </c>
      <c r="AG962">
        <v>80</v>
      </c>
      <c r="AH962">
        <v>1</v>
      </c>
      <c r="AI962">
        <v>3</v>
      </c>
      <c r="AJ962">
        <v>0</v>
      </c>
      <c r="AK962" s="1" t="s">
        <v>136</v>
      </c>
    </row>
    <row r="963" spans="1:37" x14ac:dyDescent="0.25">
      <c r="A963">
        <v>1350</v>
      </c>
      <c r="B963">
        <v>35</v>
      </c>
      <c r="C963" s="1" t="s">
        <v>25</v>
      </c>
      <c r="D963" s="1" t="s">
        <v>71</v>
      </c>
      <c r="E963">
        <v>4</v>
      </c>
      <c r="F963" s="1" t="s">
        <v>134</v>
      </c>
      <c r="G963">
        <v>1</v>
      </c>
      <c r="H963" s="1" t="s">
        <v>18</v>
      </c>
      <c r="I963">
        <v>9</v>
      </c>
      <c r="J963">
        <v>3</v>
      </c>
      <c r="K963">
        <v>9</v>
      </c>
      <c r="L963">
        <v>6</v>
      </c>
      <c r="M963">
        <v>1</v>
      </c>
      <c r="N963">
        <v>1</v>
      </c>
      <c r="O963" s="1" t="s">
        <v>19</v>
      </c>
      <c r="P963" s="1" t="s">
        <v>137</v>
      </c>
      <c r="Q963">
        <v>482</v>
      </c>
      <c r="R963" s="1" t="s">
        <v>63</v>
      </c>
      <c r="S963">
        <v>4</v>
      </c>
      <c r="T963">
        <v>1</v>
      </c>
      <c r="U963">
        <v>3</v>
      </c>
      <c r="V963">
        <v>87</v>
      </c>
      <c r="W963">
        <v>3</v>
      </c>
      <c r="X963">
        <v>2</v>
      </c>
      <c r="Y963" s="1" t="s">
        <v>5</v>
      </c>
      <c r="Z963">
        <v>3</v>
      </c>
      <c r="AA963">
        <v>4249</v>
      </c>
      <c r="AB963">
        <v>2690</v>
      </c>
      <c r="AC963" s="1" t="s">
        <v>18</v>
      </c>
      <c r="AD963">
        <v>11</v>
      </c>
      <c r="AE963">
        <v>3</v>
      </c>
      <c r="AF963">
        <v>2</v>
      </c>
      <c r="AG963">
        <v>80</v>
      </c>
      <c r="AH963">
        <v>0</v>
      </c>
      <c r="AI963">
        <v>3</v>
      </c>
      <c r="AJ963">
        <v>0</v>
      </c>
      <c r="AK963" s="1" t="s">
        <v>136</v>
      </c>
    </row>
    <row r="964" spans="1:37" x14ac:dyDescent="0.25">
      <c r="A964">
        <v>1352</v>
      </c>
      <c r="B964">
        <v>51</v>
      </c>
      <c r="C964" s="1" t="s">
        <v>25</v>
      </c>
      <c r="D964" s="1" t="s">
        <v>69</v>
      </c>
      <c r="E964">
        <v>3</v>
      </c>
      <c r="F964" s="1" t="s">
        <v>134</v>
      </c>
      <c r="G964">
        <v>1</v>
      </c>
      <c r="H964" s="1" t="s">
        <v>18</v>
      </c>
      <c r="I964">
        <v>33</v>
      </c>
      <c r="J964">
        <v>2</v>
      </c>
      <c r="K964">
        <v>33</v>
      </c>
      <c r="L964">
        <v>9</v>
      </c>
      <c r="M964">
        <v>0</v>
      </c>
      <c r="N964">
        <v>10</v>
      </c>
      <c r="O964" s="1" t="s">
        <v>19</v>
      </c>
      <c r="P964" s="1" t="s">
        <v>135</v>
      </c>
      <c r="Q964">
        <v>770</v>
      </c>
      <c r="R964" s="1" t="s">
        <v>12</v>
      </c>
      <c r="S964">
        <v>5</v>
      </c>
      <c r="T964">
        <v>1</v>
      </c>
      <c r="U964">
        <v>3</v>
      </c>
      <c r="V964">
        <v>84</v>
      </c>
      <c r="W964">
        <v>3</v>
      </c>
      <c r="X964">
        <v>4</v>
      </c>
      <c r="Y964" s="1" t="s">
        <v>9</v>
      </c>
      <c r="Z964">
        <v>2</v>
      </c>
      <c r="AA964">
        <v>14026</v>
      </c>
      <c r="AB964">
        <v>17588</v>
      </c>
      <c r="AC964" s="1" t="s">
        <v>18</v>
      </c>
      <c r="AD964">
        <v>11</v>
      </c>
      <c r="AE964">
        <v>3</v>
      </c>
      <c r="AF964">
        <v>2</v>
      </c>
      <c r="AG964">
        <v>80</v>
      </c>
      <c r="AH964">
        <v>1</v>
      </c>
      <c r="AI964">
        <v>3</v>
      </c>
      <c r="AJ964">
        <v>0</v>
      </c>
      <c r="AK964" s="1" t="s">
        <v>140</v>
      </c>
    </row>
    <row r="965" spans="1:37" x14ac:dyDescent="0.25">
      <c r="A965">
        <v>1355</v>
      </c>
      <c r="B965">
        <v>38</v>
      </c>
      <c r="C965" s="1" t="s">
        <v>24</v>
      </c>
      <c r="D965" s="1" t="s">
        <v>69</v>
      </c>
      <c r="E965">
        <v>2</v>
      </c>
      <c r="F965" s="1" t="s">
        <v>134</v>
      </c>
      <c r="G965">
        <v>3</v>
      </c>
      <c r="H965" s="1" t="s">
        <v>18</v>
      </c>
      <c r="I965">
        <v>11</v>
      </c>
      <c r="J965">
        <v>3</v>
      </c>
      <c r="K965">
        <v>7</v>
      </c>
      <c r="L965">
        <v>7</v>
      </c>
      <c r="M965">
        <v>1</v>
      </c>
      <c r="N965">
        <v>7</v>
      </c>
      <c r="O965" s="1" t="s">
        <v>19</v>
      </c>
      <c r="P965" s="1" t="s">
        <v>135</v>
      </c>
      <c r="Q965">
        <v>1009</v>
      </c>
      <c r="R965" s="1" t="s">
        <v>64</v>
      </c>
      <c r="S965">
        <v>2</v>
      </c>
      <c r="T965">
        <v>1</v>
      </c>
      <c r="U965">
        <v>2</v>
      </c>
      <c r="V965">
        <v>31</v>
      </c>
      <c r="W965">
        <v>3</v>
      </c>
      <c r="X965">
        <v>2</v>
      </c>
      <c r="Y965" s="1" t="s">
        <v>4</v>
      </c>
      <c r="Z965">
        <v>1</v>
      </c>
      <c r="AA965">
        <v>6893</v>
      </c>
      <c r="AB965">
        <v>19461</v>
      </c>
      <c r="AC965" s="1" t="s">
        <v>19</v>
      </c>
      <c r="AD965">
        <v>15</v>
      </c>
      <c r="AE965">
        <v>3</v>
      </c>
      <c r="AF965">
        <v>4</v>
      </c>
      <c r="AG965">
        <v>80</v>
      </c>
      <c r="AH965">
        <v>1</v>
      </c>
      <c r="AI965">
        <v>3</v>
      </c>
      <c r="AJ965">
        <v>0</v>
      </c>
      <c r="AK965" s="1" t="s">
        <v>136</v>
      </c>
    </row>
    <row r="966" spans="1:37" x14ac:dyDescent="0.25">
      <c r="A966">
        <v>1356</v>
      </c>
      <c r="B966">
        <v>34</v>
      </c>
      <c r="C966" s="1" t="s">
        <v>24</v>
      </c>
      <c r="D966" s="1" t="s">
        <v>71</v>
      </c>
      <c r="E966">
        <v>2</v>
      </c>
      <c r="F966" s="1" t="s">
        <v>139</v>
      </c>
      <c r="G966">
        <v>1</v>
      </c>
      <c r="H966" s="1" t="s">
        <v>18</v>
      </c>
      <c r="I966">
        <v>10</v>
      </c>
      <c r="J966">
        <v>6</v>
      </c>
      <c r="K966">
        <v>10</v>
      </c>
      <c r="L966">
        <v>8</v>
      </c>
      <c r="M966">
        <v>9</v>
      </c>
      <c r="N966">
        <v>6</v>
      </c>
      <c r="O966" s="1" t="s">
        <v>19</v>
      </c>
      <c r="P966" s="1" t="s">
        <v>135</v>
      </c>
      <c r="Q966">
        <v>507</v>
      </c>
      <c r="R966" s="1" t="s">
        <v>64</v>
      </c>
      <c r="S966">
        <v>15</v>
      </c>
      <c r="T966">
        <v>1</v>
      </c>
      <c r="U966">
        <v>3</v>
      </c>
      <c r="V966">
        <v>66</v>
      </c>
      <c r="W966">
        <v>3</v>
      </c>
      <c r="X966">
        <v>2</v>
      </c>
      <c r="Y966" s="1" t="s">
        <v>4</v>
      </c>
      <c r="Z966">
        <v>1</v>
      </c>
      <c r="AA966">
        <v>6125</v>
      </c>
      <c r="AB966">
        <v>23553</v>
      </c>
      <c r="AC966" s="1" t="s">
        <v>19</v>
      </c>
      <c r="AD966">
        <v>12</v>
      </c>
      <c r="AE966">
        <v>3</v>
      </c>
      <c r="AF966">
        <v>4</v>
      </c>
      <c r="AG966">
        <v>80</v>
      </c>
      <c r="AH966">
        <v>0</v>
      </c>
      <c r="AI966">
        <v>4</v>
      </c>
      <c r="AJ966">
        <v>0</v>
      </c>
      <c r="AK966" s="1" t="s">
        <v>136</v>
      </c>
    </row>
    <row r="967" spans="1:37" x14ac:dyDescent="0.25">
      <c r="A967">
        <v>1358</v>
      </c>
      <c r="B967">
        <v>25</v>
      </c>
      <c r="C967" s="1" t="s">
        <v>25</v>
      </c>
      <c r="D967" s="1" t="s">
        <v>70</v>
      </c>
      <c r="E967">
        <v>1</v>
      </c>
      <c r="F967" s="1" t="s">
        <v>139</v>
      </c>
      <c r="G967">
        <v>3</v>
      </c>
      <c r="H967" s="1" t="s">
        <v>18</v>
      </c>
      <c r="I967">
        <v>7</v>
      </c>
      <c r="J967">
        <v>6</v>
      </c>
      <c r="K967">
        <v>3</v>
      </c>
      <c r="L967">
        <v>2</v>
      </c>
      <c r="M967">
        <v>1</v>
      </c>
      <c r="N967">
        <v>2</v>
      </c>
      <c r="O967" s="1" t="s">
        <v>19</v>
      </c>
      <c r="P967" s="1" t="s">
        <v>135</v>
      </c>
      <c r="Q967">
        <v>882</v>
      </c>
      <c r="R967" s="1" t="s">
        <v>63</v>
      </c>
      <c r="S967">
        <v>19</v>
      </c>
      <c r="T967">
        <v>1</v>
      </c>
      <c r="U967">
        <v>4</v>
      </c>
      <c r="V967">
        <v>67</v>
      </c>
      <c r="W967">
        <v>3</v>
      </c>
      <c r="X967">
        <v>1</v>
      </c>
      <c r="Y967" s="1" t="s">
        <v>6</v>
      </c>
      <c r="Z967">
        <v>4</v>
      </c>
      <c r="AA967">
        <v>3669</v>
      </c>
      <c r="AB967">
        <v>9075</v>
      </c>
      <c r="AC967" s="1" t="s">
        <v>19</v>
      </c>
      <c r="AD967">
        <v>11</v>
      </c>
      <c r="AE967">
        <v>3</v>
      </c>
      <c r="AF967">
        <v>3</v>
      </c>
      <c r="AG967">
        <v>80</v>
      </c>
      <c r="AH967">
        <v>3</v>
      </c>
      <c r="AI967">
        <v>2</v>
      </c>
      <c r="AJ967">
        <v>0</v>
      </c>
      <c r="AK967" s="1" t="s">
        <v>136</v>
      </c>
    </row>
    <row r="968" spans="1:37" x14ac:dyDescent="0.25">
      <c r="A968">
        <v>1360</v>
      </c>
      <c r="B968">
        <v>58</v>
      </c>
      <c r="C968" s="1" t="s">
        <v>24</v>
      </c>
      <c r="D968" s="1" t="s">
        <v>70</v>
      </c>
      <c r="E968">
        <v>4</v>
      </c>
      <c r="F968" s="1" t="s">
        <v>139</v>
      </c>
      <c r="G968">
        <v>7</v>
      </c>
      <c r="H968" s="1" t="s">
        <v>18</v>
      </c>
      <c r="I968">
        <v>31</v>
      </c>
      <c r="J968">
        <v>0</v>
      </c>
      <c r="K968">
        <v>10</v>
      </c>
      <c r="L968">
        <v>9</v>
      </c>
      <c r="M968">
        <v>5</v>
      </c>
      <c r="N968">
        <v>9</v>
      </c>
      <c r="O968" s="1" t="s">
        <v>18</v>
      </c>
      <c r="P968" s="1" t="s">
        <v>135</v>
      </c>
      <c r="Q968">
        <v>601</v>
      </c>
      <c r="R968" s="1" t="s">
        <v>63</v>
      </c>
      <c r="S968">
        <v>7</v>
      </c>
      <c r="T968">
        <v>1</v>
      </c>
      <c r="U968">
        <v>3</v>
      </c>
      <c r="V968">
        <v>53</v>
      </c>
      <c r="W968">
        <v>2</v>
      </c>
      <c r="X968">
        <v>3</v>
      </c>
      <c r="Y968" s="1" t="s">
        <v>7</v>
      </c>
      <c r="Z968">
        <v>1</v>
      </c>
      <c r="AA968">
        <v>10008</v>
      </c>
      <c r="AB968">
        <v>12023</v>
      </c>
      <c r="AC968" s="1" t="s">
        <v>18</v>
      </c>
      <c r="AD968">
        <v>14</v>
      </c>
      <c r="AE968">
        <v>3</v>
      </c>
      <c r="AF968">
        <v>4</v>
      </c>
      <c r="AG968">
        <v>80</v>
      </c>
      <c r="AH968">
        <v>0</v>
      </c>
      <c r="AI968">
        <v>2</v>
      </c>
      <c r="AJ968">
        <v>1</v>
      </c>
      <c r="AK968" s="1" t="s">
        <v>140</v>
      </c>
    </row>
    <row r="969" spans="1:37" x14ac:dyDescent="0.25">
      <c r="A969">
        <v>1361</v>
      </c>
      <c r="B969">
        <v>40</v>
      </c>
      <c r="C969" s="1" t="s">
        <v>25</v>
      </c>
      <c r="D969" s="1" t="s">
        <v>70</v>
      </c>
      <c r="E969">
        <v>4</v>
      </c>
      <c r="F969" s="1" t="s">
        <v>134</v>
      </c>
      <c r="G969">
        <v>3</v>
      </c>
      <c r="H969" s="1" t="s">
        <v>18</v>
      </c>
      <c r="I969">
        <v>7</v>
      </c>
      <c r="J969">
        <v>3</v>
      </c>
      <c r="K969">
        <v>4</v>
      </c>
      <c r="L969">
        <v>2</v>
      </c>
      <c r="M969">
        <v>0</v>
      </c>
      <c r="N969">
        <v>3</v>
      </c>
      <c r="O969" s="1" t="s">
        <v>19</v>
      </c>
      <c r="P969" s="1" t="s">
        <v>135</v>
      </c>
      <c r="Q969">
        <v>329</v>
      </c>
      <c r="R969" s="1" t="s">
        <v>63</v>
      </c>
      <c r="S969">
        <v>1</v>
      </c>
      <c r="T969">
        <v>1</v>
      </c>
      <c r="U969">
        <v>2</v>
      </c>
      <c r="V969">
        <v>88</v>
      </c>
      <c r="W969">
        <v>3</v>
      </c>
      <c r="X969">
        <v>1</v>
      </c>
      <c r="Y969" s="1" t="s">
        <v>6</v>
      </c>
      <c r="Z969">
        <v>2</v>
      </c>
      <c r="AA969">
        <v>2387</v>
      </c>
      <c r="AB969">
        <v>6762</v>
      </c>
      <c r="AC969" s="1" t="s">
        <v>19</v>
      </c>
      <c r="AD969">
        <v>22</v>
      </c>
      <c r="AE969">
        <v>4</v>
      </c>
      <c r="AF969">
        <v>3</v>
      </c>
      <c r="AG969">
        <v>80</v>
      </c>
      <c r="AH969">
        <v>1</v>
      </c>
      <c r="AI969">
        <v>3</v>
      </c>
      <c r="AJ969">
        <v>0</v>
      </c>
      <c r="AK969" s="1" t="s">
        <v>136</v>
      </c>
    </row>
    <row r="970" spans="1:37" x14ac:dyDescent="0.25">
      <c r="A970">
        <v>1362</v>
      </c>
      <c r="B970">
        <v>36</v>
      </c>
      <c r="C970" s="1" t="s">
        <v>24</v>
      </c>
      <c r="D970" s="1" t="s">
        <v>70</v>
      </c>
      <c r="E970">
        <v>3</v>
      </c>
      <c r="F970" s="1" t="s">
        <v>142</v>
      </c>
      <c r="G970">
        <v>2</v>
      </c>
      <c r="H970" s="1" t="s">
        <v>18</v>
      </c>
      <c r="I970">
        <v>17</v>
      </c>
      <c r="J970">
        <v>2</v>
      </c>
      <c r="K970">
        <v>15</v>
      </c>
      <c r="L970">
        <v>7</v>
      </c>
      <c r="M970">
        <v>6</v>
      </c>
      <c r="N970">
        <v>13</v>
      </c>
      <c r="O970" s="1" t="s">
        <v>19</v>
      </c>
      <c r="P970" s="1" t="s">
        <v>137</v>
      </c>
      <c r="Q970">
        <v>607</v>
      </c>
      <c r="R970" s="1" t="s">
        <v>64</v>
      </c>
      <c r="S970">
        <v>7</v>
      </c>
      <c r="T970">
        <v>1</v>
      </c>
      <c r="U970">
        <v>1</v>
      </c>
      <c r="V970">
        <v>83</v>
      </c>
      <c r="W970">
        <v>4</v>
      </c>
      <c r="X970">
        <v>2</v>
      </c>
      <c r="Y970" s="1" t="s">
        <v>4</v>
      </c>
      <c r="Z970">
        <v>1</v>
      </c>
      <c r="AA970">
        <v>4639</v>
      </c>
      <c r="AB970">
        <v>2261</v>
      </c>
      <c r="AC970" s="1" t="s">
        <v>19</v>
      </c>
      <c r="AD970">
        <v>16</v>
      </c>
      <c r="AE970">
        <v>3</v>
      </c>
      <c r="AF970">
        <v>4</v>
      </c>
      <c r="AG970">
        <v>80</v>
      </c>
      <c r="AH970">
        <v>1</v>
      </c>
      <c r="AI970">
        <v>2</v>
      </c>
      <c r="AJ970">
        <v>0</v>
      </c>
      <c r="AK970" s="1" t="s">
        <v>136</v>
      </c>
    </row>
    <row r="971" spans="1:37" x14ac:dyDescent="0.25">
      <c r="A971">
        <v>1363</v>
      </c>
      <c r="B971">
        <v>48</v>
      </c>
      <c r="C971" s="1" t="s">
        <v>25</v>
      </c>
      <c r="D971" s="1" t="s">
        <v>71</v>
      </c>
      <c r="E971">
        <v>3</v>
      </c>
      <c r="F971" s="1" t="s">
        <v>134</v>
      </c>
      <c r="G971">
        <v>1</v>
      </c>
      <c r="H971" s="1" t="s">
        <v>18</v>
      </c>
      <c r="I971">
        <v>11</v>
      </c>
      <c r="J971">
        <v>2</v>
      </c>
      <c r="K971">
        <v>10</v>
      </c>
      <c r="L971">
        <v>9</v>
      </c>
      <c r="M971">
        <v>0</v>
      </c>
      <c r="N971">
        <v>8</v>
      </c>
      <c r="O971" s="1" t="s">
        <v>19</v>
      </c>
      <c r="P971" s="1" t="s">
        <v>135</v>
      </c>
      <c r="Q971">
        <v>855</v>
      </c>
      <c r="R971" s="1" t="s">
        <v>63</v>
      </c>
      <c r="S971">
        <v>4</v>
      </c>
      <c r="T971">
        <v>1</v>
      </c>
      <c r="U971">
        <v>4</v>
      </c>
      <c r="V971">
        <v>54</v>
      </c>
      <c r="W971">
        <v>3</v>
      </c>
      <c r="X971">
        <v>3</v>
      </c>
      <c r="Y971" s="1" t="s">
        <v>7</v>
      </c>
      <c r="Z971">
        <v>4</v>
      </c>
      <c r="AA971">
        <v>7898</v>
      </c>
      <c r="AB971">
        <v>18706</v>
      </c>
      <c r="AC971" s="1" t="s">
        <v>19</v>
      </c>
      <c r="AD971">
        <v>11</v>
      </c>
      <c r="AE971">
        <v>3</v>
      </c>
      <c r="AF971">
        <v>3</v>
      </c>
      <c r="AG971">
        <v>80</v>
      </c>
      <c r="AH971">
        <v>0</v>
      </c>
      <c r="AI971">
        <v>3</v>
      </c>
      <c r="AJ971">
        <v>0</v>
      </c>
      <c r="AK971" s="1" t="s">
        <v>136</v>
      </c>
    </row>
    <row r="972" spans="1:37" x14ac:dyDescent="0.25">
      <c r="A972">
        <v>1364</v>
      </c>
      <c r="B972">
        <v>27</v>
      </c>
      <c r="C972" s="1" t="s">
        <v>24</v>
      </c>
      <c r="D972" s="1" t="s">
        <v>70</v>
      </c>
      <c r="E972">
        <v>3</v>
      </c>
      <c r="F972" s="1" t="s">
        <v>139</v>
      </c>
      <c r="G972">
        <v>8</v>
      </c>
      <c r="H972" s="1" t="s">
        <v>18</v>
      </c>
      <c r="I972">
        <v>5</v>
      </c>
      <c r="J972">
        <v>4</v>
      </c>
      <c r="K972">
        <v>1</v>
      </c>
      <c r="L972">
        <v>0</v>
      </c>
      <c r="M972">
        <v>0</v>
      </c>
      <c r="N972">
        <v>0</v>
      </c>
      <c r="O972" s="1" t="s">
        <v>19</v>
      </c>
      <c r="P972" s="1" t="s">
        <v>135</v>
      </c>
      <c r="Q972">
        <v>1291</v>
      </c>
      <c r="R972" s="1" t="s">
        <v>64</v>
      </c>
      <c r="S972">
        <v>11</v>
      </c>
      <c r="T972">
        <v>1</v>
      </c>
      <c r="U972">
        <v>3</v>
      </c>
      <c r="V972">
        <v>98</v>
      </c>
      <c r="W972">
        <v>4</v>
      </c>
      <c r="X972">
        <v>1</v>
      </c>
      <c r="Y972" s="1" t="s">
        <v>10</v>
      </c>
      <c r="Z972">
        <v>4</v>
      </c>
      <c r="AA972">
        <v>2534</v>
      </c>
      <c r="AB972">
        <v>6527</v>
      </c>
      <c r="AC972" s="1" t="s">
        <v>19</v>
      </c>
      <c r="AD972">
        <v>14</v>
      </c>
      <c r="AE972">
        <v>3</v>
      </c>
      <c r="AF972">
        <v>2</v>
      </c>
      <c r="AG972">
        <v>80</v>
      </c>
      <c r="AH972">
        <v>1</v>
      </c>
      <c r="AI972">
        <v>3</v>
      </c>
      <c r="AJ972">
        <v>0</v>
      </c>
      <c r="AK972" s="1" t="s">
        <v>136</v>
      </c>
    </row>
    <row r="973" spans="1:37" x14ac:dyDescent="0.25">
      <c r="A973">
        <v>1367</v>
      </c>
      <c r="B973">
        <v>51</v>
      </c>
      <c r="C973" s="1" t="s">
        <v>24</v>
      </c>
      <c r="D973" s="1" t="s">
        <v>71</v>
      </c>
      <c r="E973">
        <v>2</v>
      </c>
      <c r="F973" s="1" t="s">
        <v>143</v>
      </c>
      <c r="G973">
        <v>3</v>
      </c>
      <c r="H973" s="1" t="s">
        <v>18</v>
      </c>
      <c r="I973">
        <v>29</v>
      </c>
      <c r="J973">
        <v>1</v>
      </c>
      <c r="K973">
        <v>5</v>
      </c>
      <c r="L973">
        <v>2</v>
      </c>
      <c r="M973">
        <v>0</v>
      </c>
      <c r="N973">
        <v>3</v>
      </c>
      <c r="O973" s="1" t="s">
        <v>19</v>
      </c>
      <c r="P973" s="1" t="s">
        <v>135</v>
      </c>
      <c r="Q973">
        <v>1405</v>
      </c>
      <c r="R973" s="1" t="s">
        <v>63</v>
      </c>
      <c r="S973">
        <v>11</v>
      </c>
      <c r="T973">
        <v>1</v>
      </c>
      <c r="U973">
        <v>4</v>
      </c>
      <c r="V973">
        <v>82</v>
      </c>
      <c r="W973">
        <v>2</v>
      </c>
      <c r="X973">
        <v>4</v>
      </c>
      <c r="Y973" s="1" t="s">
        <v>7</v>
      </c>
      <c r="Z973">
        <v>2</v>
      </c>
      <c r="AA973">
        <v>13142</v>
      </c>
      <c r="AB973">
        <v>24439</v>
      </c>
      <c r="AC973" s="1" t="s">
        <v>19</v>
      </c>
      <c r="AD973">
        <v>16</v>
      </c>
      <c r="AE973">
        <v>3</v>
      </c>
      <c r="AF973">
        <v>2</v>
      </c>
      <c r="AG973">
        <v>80</v>
      </c>
      <c r="AH973">
        <v>0</v>
      </c>
      <c r="AI973">
        <v>2</v>
      </c>
      <c r="AJ973">
        <v>0</v>
      </c>
      <c r="AK973" s="1" t="s">
        <v>140</v>
      </c>
    </row>
    <row r="974" spans="1:37" x14ac:dyDescent="0.25">
      <c r="A974">
        <v>1368</v>
      </c>
      <c r="B974">
        <v>18</v>
      </c>
      <c r="C974" s="1" t="s">
        <v>24</v>
      </c>
      <c r="D974" s="1" t="s">
        <v>71</v>
      </c>
      <c r="E974">
        <v>3</v>
      </c>
      <c r="F974" s="1" t="s">
        <v>134</v>
      </c>
      <c r="G974">
        <v>1</v>
      </c>
      <c r="H974" s="1" t="s">
        <v>18</v>
      </c>
      <c r="I974">
        <v>0</v>
      </c>
      <c r="J974">
        <v>5</v>
      </c>
      <c r="K974">
        <v>0</v>
      </c>
      <c r="L974">
        <v>0</v>
      </c>
      <c r="M974">
        <v>0</v>
      </c>
      <c r="N974">
        <v>0</v>
      </c>
      <c r="O974" s="1" t="s">
        <v>19</v>
      </c>
      <c r="P974" s="1" t="s">
        <v>141</v>
      </c>
      <c r="Q974">
        <v>1124</v>
      </c>
      <c r="R974" s="1" t="s">
        <v>63</v>
      </c>
      <c r="S974">
        <v>1</v>
      </c>
      <c r="T974">
        <v>1</v>
      </c>
      <c r="U974">
        <v>4</v>
      </c>
      <c r="V974">
        <v>97</v>
      </c>
      <c r="W974">
        <v>3</v>
      </c>
      <c r="X974">
        <v>1</v>
      </c>
      <c r="Y974" s="1" t="s">
        <v>6</v>
      </c>
      <c r="Z974">
        <v>4</v>
      </c>
      <c r="AA974">
        <v>1611</v>
      </c>
      <c r="AB974">
        <v>19305</v>
      </c>
      <c r="AC974" s="1" t="s">
        <v>19</v>
      </c>
      <c r="AD974">
        <v>15</v>
      </c>
      <c r="AE974">
        <v>3</v>
      </c>
      <c r="AF974">
        <v>3</v>
      </c>
      <c r="AG974">
        <v>80</v>
      </c>
      <c r="AH974">
        <v>0</v>
      </c>
      <c r="AI974">
        <v>4</v>
      </c>
      <c r="AJ974">
        <v>0</v>
      </c>
      <c r="AK974" s="1" t="s">
        <v>136</v>
      </c>
    </row>
    <row r="975" spans="1:37" x14ac:dyDescent="0.25">
      <c r="A975">
        <v>1369</v>
      </c>
      <c r="B975">
        <v>35</v>
      </c>
      <c r="C975" s="1" t="s">
        <v>24</v>
      </c>
      <c r="D975" s="1" t="s">
        <v>70</v>
      </c>
      <c r="E975">
        <v>3</v>
      </c>
      <c r="F975" s="1" t="s">
        <v>139</v>
      </c>
      <c r="G975">
        <v>0</v>
      </c>
      <c r="H975" s="1" t="s">
        <v>18</v>
      </c>
      <c r="I975">
        <v>10</v>
      </c>
      <c r="J975">
        <v>0</v>
      </c>
      <c r="K975">
        <v>9</v>
      </c>
      <c r="L975">
        <v>7</v>
      </c>
      <c r="M975">
        <v>0</v>
      </c>
      <c r="N975">
        <v>0</v>
      </c>
      <c r="O975" s="1" t="s">
        <v>19</v>
      </c>
      <c r="P975" s="1" t="s">
        <v>135</v>
      </c>
      <c r="Q975">
        <v>817</v>
      </c>
      <c r="R975" s="1" t="s">
        <v>63</v>
      </c>
      <c r="S975">
        <v>1</v>
      </c>
      <c r="T975">
        <v>1</v>
      </c>
      <c r="U975">
        <v>4</v>
      </c>
      <c r="V975">
        <v>60</v>
      </c>
      <c r="W975">
        <v>2</v>
      </c>
      <c r="X975">
        <v>2</v>
      </c>
      <c r="Y975" s="1" t="s">
        <v>6</v>
      </c>
      <c r="Z975">
        <v>4</v>
      </c>
      <c r="AA975">
        <v>5363</v>
      </c>
      <c r="AB975">
        <v>10846</v>
      </c>
      <c r="AC975" s="1" t="s">
        <v>19</v>
      </c>
      <c r="AD975">
        <v>12</v>
      </c>
      <c r="AE975">
        <v>3</v>
      </c>
      <c r="AF975">
        <v>2</v>
      </c>
      <c r="AG975">
        <v>80</v>
      </c>
      <c r="AH975">
        <v>1</v>
      </c>
      <c r="AI975">
        <v>3</v>
      </c>
      <c r="AJ975">
        <v>0</v>
      </c>
      <c r="AK975" s="1" t="s">
        <v>136</v>
      </c>
    </row>
    <row r="976" spans="1:37" x14ac:dyDescent="0.25">
      <c r="A976">
        <v>1371</v>
      </c>
      <c r="B976">
        <v>27</v>
      </c>
      <c r="C976" s="1" t="s">
        <v>25</v>
      </c>
      <c r="D976" s="1" t="s">
        <v>71</v>
      </c>
      <c r="E976">
        <v>1</v>
      </c>
      <c r="F976" s="1" t="s">
        <v>134</v>
      </c>
      <c r="G976">
        <v>3</v>
      </c>
      <c r="H976" s="1" t="s">
        <v>18</v>
      </c>
      <c r="I976">
        <v>8</v>
      </c>
      <c r="J976">
        <v>3</v>
      </c>
      <c r="K976">
        <v>6</v>
      </c>
      <c r="L976">
        <v>2</v>
      </c>
      <c r="M976">
        <v>0</v>
      </c>
      <c r="N976">
        <v>0</v>
      </c>
      <c r="O976" s="1" t="s">
        <v>19</v>
      </c>
      <c r="P976" s="1" t="s">
        <v>137</v>
      </c>
      <c r="Q976">
        <v>793</v>
      </c>
      <c r="R976" s="1" t="s">
        <v>64</v>
      </c>
      <c r="S976">
        <v>2</v>
      </c>
      <c r="T976">
        <v>1</v>
      </c>
      <c r="U976">
        <v>4</v>
      </c>
      <c r="V976">
        <v>43</v>
      </c>
      <c r="W976">
        <v>1</v>
      </c>
      <c r="X976">
        <v>2</v>
      </c>
      <c r="Y976" s="1" t="s">
        <v>4</v>
      </c>
      <c r="Z976">
        <v>4</v>
      </c>
      <c r="AA976">
        <v>5071</v>
      </c>
      <c r="AB976">
        <v>20392</v>
      </c>
      <c r="AC976" s="1" t="s">
        <v>19</v>
      </c>
      <c r="AD976">
        <v>20</v>
      </c>
      <c r="AE976">
        <v>4</v>
      </c>
      <c r="AF976">
        <v>2</v>
      </c>
      <c r="AG976">
        <v>80</v>
      </c>
      <c r="AH976">
        <v>0</v>
      </c>
      <c r="AI976">
        <v>3</v>
      </c>
      <c r="AJ976">
        <v>0</v>
      </c>
      <c r="AK976" s="1" t="s">
        <v>136</v>
      </c>
    </row>
    <row r="977" spans="1:37" x14ac:dyDescent="0.25">
      <c r="A977">
        <v>1372</v>
      </c>
      <c r="B977">
        <v>55</v>
      </c>
      <c r="C977" s="1" t="s">
        <v>25</v>
      </c>
      <c r="D977" s="1" t="s">
        <v>71</v>
      </c>
      <c r="E977">
        <v>4</v>
      </c>
      <c r="F977" s="1" t="s">
        <v>142</v>
      </c>
      <c r="G977">
        <v>6</v>
      </c>
      <c r="H977" s="1" t="s">
        <v>18</v>
      </c>
      <c r="I977">
        <v>24</v>
      </c>
      <c r="J977">
        <v>2</v>
      </c>
      <c r="K977">
        <v>19</v>
      </c>
      <c r="L977">
        <v>7</v>
      </c>
      <c r="M977">
        <v>3</v>
      </c>
      <c r="N977">
        <v>8</v>
      </c>
      <c r="O977" s="1" t="s">
        <v>18</v>
      </c>
      <c r="P977" s="1" t="s">
        <v>135</v>
      </c>
      <c r="Q977">
        <v>267</v>
      </c>
      <c r="R977" s="1" t="s">
        <v>64</v>
      </c>
      <c r="S977">
        <v>13</v>
      </c>
      <c r="T977">
        <v>1</v>
      </c>
      <c r="U977">
        <v>1</v>
      </c>
      <c r="V977">
        <v>85</v>
      </c>
      <c r="W977">
        <v>4</v>
      </c>
      <c r="X977">
        <v>4</v>
      </c>
      <c r="Y977" s="1" t="s">
        <v>4</v>
      </c>
      <c r="Z977">
        <v>3</v>
      </c>
      <c r="AA977">
        <v>13695</v>
      </c>
      <c r="AB977">
        <v>9277</v>
      </c>
      <c r="AC977" s="1" t="s">
        <v>18</v>
      </c>
      <c r="AD977">
        <v>17</v>
      </c>
      <c r="AE977">
        <v>3</v>
      </c>
      <c r="AF977">
        <v>3</v>
      </c>
      <c r="AG977">
        <v>80</v>
      </c>
      <c r="AH977">
        <v>0</v>
      </c>
      <c r="AI977">
        <v>2</v>
      </c>
      <c r="AJ977">
        <v>1</v>
      </c>
      <c r="AK977" s="1" t="s">
        <v>140</v>
      </c>
    </row>
    <row r="978" spans="1:37" x14ac:dyDescent="0.25">
      <c r="A978">
        <v>1373</v>
      </c>
      <c r="B978">
        <v>56</v>
      </c>
      <c r="C978" s="1" t="s">
        <v>25</v>
      </c>
      <c r="D978" s="1" t="s">
        <v>70</v>
      </c>
      <c r="E978">
        <v>3</v>
      </c>
      <c r="F978" s="1" t="s">
        <v>134</v>
      </c>
      <c r="G978">
        <v>4</v>
      </c>
      <c r="H978" s="1" t="s">
        <v>18</v>
      </c>
      <c r="I978">
        <v>33</v>
      </c>
      <c r="J978">
        <v>0</v>
      </c>
      <c r="K978">
        <v>19</v>
      </c>
      <c r="L978">
        <v>16</v>
      </c>
      <c r="M978">
        <v>15</v>
      </c>
      <c r="N978">
        <v>9</v>
      </c>
      <c r="O978" s="1" t="s">
        <v>19</v>
      </c>
      <c r="P978" s="1" t="s">
        <v>135</v>
      </c>
      <c r="Q978">
        <v>1369</v>
      </c>
      <c r="R978" s="1" t="s">
        <v>63</v>
      </c>
      <c r="S978">
        <v>23</v>
      </c>
      <c r="T978">
        <v>1</v>
      </c>
      <c r="U978">
        <v>4</v>
      </c>
      <c r="V978">
        <v>68</v>
      </c>
      <c r="W978">
        <v>3</v>
      </c>
      <c r="X978">
        <v>4</v>
      </c>
      <c r="Y978" s="1" t="s">
        <v>7</v>
      </c>
      <c r="Z978">
        <v>2</v>
      </c>
      <c r="AA978">
        <v>13402</v>
      </c>
      <c r="AB978">
        <v>18235</v>
      </c>
      <c r="AC978" s="1" t="s">
        <v>18</v>
      </c>
      <c r="AD978">
        <v>12</v>
      </c>
      <c r="AE978">
        <v>3</v>
      </c>
      <c r="AF978">
        <v>1</v>
      </c>
      <c r="AG978">
        <v>80</v>
      </c>
      <c r="AH978">
        <v>1</v>
      </c>
      <c r="AI978">
        <v>3</v>
      </c>
      <c r="AJ978">
        <v>0</v>
      </c>
      <c r="AK978" s="1" t="s">
        <v>140</v>
      </c>
    </row>
    <row r="979" spans="1:37" x14ac:dyDescent="0.25">
      <c r="A979">
        <v>1374</v>
      </c>
      <c r="B979">
        <v>34</v>
      </c>
      <c r="C979" s="1" t="s">
        <v>24</v>
      </c>
      <c r="D979" s="1" t="s">
        <v>69</v>
      </c>
      <c r="E979">
        <v>1</v>
      </c>
      <c r="F979" s="1" t="s">
        <v>143</v>
      </c>
      <c r="G979">
        <v>1</v>
      </c>
      <c r="H979" s="1" t="s">
        <v>18</v>
      </c>
      <c r="I979">
        <v>5</v>
      </c>
      <c r="J979">
        <v>2</v>
      </c>
      <c r="K979">
        <v>5</v>
      </c>
      <c r="L979">
        <v>4</v>
      </c>
      <c r="M979">
        <v>0</v>
      </c>
      <c r="N979">
        <v>0</v>
      </c>
      <c r="O979" s="1" t="s">
        <v>19</v>
      </c>
      <c r="P979" s="1" t="s">
        <v>141</v>
      </c>
      <c r="Q979">
        <v>999</v>
      </c>
      <c r="R979" s="1" t="s">
        <v>63</v>
      </c>
      <c r="S979">
        <v>26</v>
      </c>
      <c r="T979">
        <v>1</v>
      </c>
      <c r="U979">
        <v>1</v>
      </c>
      <c r="V979">
        <v>92</v>
      </c>
      <c r="W979">
        <v>2</v>
      </c>
      <c r="X979">
        <v>1</v>
      </c>
      <c r="Y979" s="1" t="s">
        <v>5</v>
      </c>
      <c r="Z979">
        <v>3</v>
      </c>
      <c r="AA979">
        <v>2029</v>
      </c>
      <c r="AB979">
        <v>15891</v>
      </c>
      <c r="AC979" s="1" t="s">
        <v>19</v>
      </c>
      <c r="AD979">
        <v>20</v>
      </c>
      <c r="AE979">
        <v>4</v>
      </c>
      <c r="AF979">
        <v>3</v>
      </c>
      <c r="AG979">
        <v>80</v>
      </c>
      <c r="AH979">
        <v>3</v>
      </c>
      <c r="AI979">
        <v>3</v>
      </c>
      <c r="AJ979">
        <v>0</v>
      </c>
      <c r="AK979" s="1" t="s">
        <v>136</v>
      </c>
    </row>
    <row r="980" spans="1:37" x14ac:dyDescent="0.25">
      <c r="A980">
        <v>1375</v>
      </c>
      <c r="B980">
        <v>40</v>
      </c>
      <c r="C980" s="1" t="s">
        <v>24</v>
      </c>
      <c r="D980" s="1" t="s">
        <v>69</v>
      </c>
      <c r="E980">
        <v>1</v>
      </c>
      <c r="F980" s="1" t="s">
        <v>139</v>
      </c>
      <c r="G980">
        <v>5</v>
      </c>
      <c r="H980" s="1" t="s">
        <v>18</v>
      </c>
      <c r="I980">
        <v>15</v>
      </c>
      <c r="J980">
        <v>0</v>
      </c>
      <c r="K980">
        <v>12</v>
      </c>
      <c r="L980">
        <v>11</v>
      </c>
      <c r="M980">
        <v>11</v>
      </c>
      <c r="N980">
        <v>8</v>
      </c>
      <c r="O980" s="1" t="s">
        <v>19</v>
      </c>
      <c r="P980" s="1" t="s">
        <v>135</v>
      </c>
      <c r="Q980">
        <v>1202</v>
      </c>
      <c r="R980" s="1" t="s">
        <v>63</v>
      </c>
      <c r="S980">
        <v>2</v>
      </c>
      <c r="T980">
        <v>1</v>
      </c>
      <c r="U980">
        <v>2</v>
      </c>
      <c r="V980">
        <v>89</v>
      </c>
      <c r="W980">
        <v>4</v>
      </c>
      <c r="X980">
        <v>2</v>
      </c>
      <c r="Y980" s="1" t="s">
        <v>8</v>
      </c>
      <c r="Z980">
        <v>3</v>
      </c>
      <c r="AA980">
        <v>6377</v>
      </c>
      <c r="AB980">
        <v>13888</v>
      </c>
      <c r="AC980" s="1" t="s">
        <v>19</v>
      </c>
      <c r="AD980">
        <v>20</v>
      </c>
      <c r="AE980">
        <v>4</v>
      </c>
      <c r="AF980">
        <v>2</v>
      </c>
      <c r="AG980">
        <v>80</v>
      </c>
      <c r="AH980">
        <v>3</v>
      </c>
      <c r="AI980">
        <v>3</v>
      </c>
      <c r="AJ980">
        <v>0</v>
      </c>
      <c r="AK980" s="1" t="s">
        <v>136</v>
      </c>
    </row>
    <row r="981" spans="1:37" x14ac:dyDescent="0.25">
      <c r="A981">
        <v>1377</v>
      </c>
      <c r="B981">
        <v>34</v>
      </c>
      <c r="C981" s="1" t="s">
        <v>25</v>
      </c>
      <c r="D981" s="1" t="s">
        <v>70</v>
      </c>
      <c r="E981">
        <v>3</v>
      </c>
      <c r="F981" s="1" t="s">
        <v>139</v>
      </c>
      <c r="G981">
        <v>4</v>
      </c>
      <c r="H981" s="1" t="s">
        <v>18</v>
      </c>
      <c r="I981">
        <v>10</v>
      </c>
      <c r="J981">
        <v>1</v>
      </c>
      <c r="K981">
        <v>8</v>
      </c>
      <c r="L981">
        <v>7</v>
      </c>
      <c r="M981">
        <v>7</v>
      </c>
      <c r="N981">
        <v>7</v>
      </c>
      <c r="O981" s="1" t="s">
        <v>19</v>
      </c>
      <c r="P981" s="1" t="s">
        <v>135</v>
      </c>
      <c r="Q981">
        <v>285</v>
      </c>
      <c r="R981" s="1" t="s">
        <v>63</v>
      </c>
      <c r="S981">
        <v>29</v>
      </c>
      <c r="T981">
        <v>1</v>
      </c>
      <c r="U981">
        <v>2</v>
      </c>
      <c r="V981">
        <v>86</v>
      </c>
      <c r="W981">
        <v>3</v>
      </c>
      <c r="X981">
        <v>2</v>
      </c>
      <c r="Y981" s="1" t="s">
        <v>6</v>
      </c>
      <c r="Z981">
        <v>3</v>
      </c>
      <c r="AA981">
        <v>5429</v>
      </c>
      <c r="AB981">
        <v>17491</v>
      </c>
      <c r="AC981" s="1" t="s">
        <v>19</v>
      </c>
      <c r="AD981">
        <v>13</v>
      </c>
      <c r="AE981">
        <v>3</v>
      </c>
      <c r="AF981">
        <v>1</v>
      </c>
      <c r="AG981">
        <v>80</v>
      </c>
      <c r="AH981">
        <v>2</v>
      </c>
      <c r="AI981">
        <v>3</v>
      </c>
      <c r="AJ981">
        <v>0</v>
      </c>
      <c r="AK981" s="1" t="s">
        <v>136</v>
      </c>
    </row>
    <row r="982" spans="1:37" x14ac:dyDescent="0.25">
      <c r="A982">
        <v>1379</v>
      </c>
      <c r="B982">
        <v>31</v>
      </c>
      <c r="C982" s="1" t="s">
        <v>24</v>
      </c>
      <c r="D982" s="1" t="s">
        <v>71</v>
      </c>
      <c r="E982">
        <v>3</v>
      </c>
      <c r="F982" s="1" t="s">
        <v>134</v>
      </c>
      <c r="G982">
        <v>7</v>
      </c>
      <c r="H982" s="1" t="s">
        <v>18</v>
      </c>
      <c r="I982">
        <v>3</v>
      </c>
      <c r="J982">
        <v>3</v>
      </c>
      <c r="K982">
        <v>1</v>
      </c>
      <c r="L982">
        <v>0</v>
      </c>
      <c r="M982">
        <v>0</v>
      </c>
      <c r="N982">
        <v>0</v>
      </c>
      <c r="O982" s="1" t="s">
        <v>18</v>
      </c>
      <c r="P982" s="1" t="s">
        <v>137</v>
      </c>
      <c r="Q982">
        <v>703</v>
      </c>
      <c r="R982" s="1" t="s">
        <v>64</v>
      </c>
      <c r="S982">
        <v>2</v>
      </c>
      <c r="T982">
        <v>1</v>
      </c>
      <c r="U982">
        <v>3</v>
      </c>
      <c r="V982">
        <v>90</v>
      </c>
      <c r="W982">
        <v>2</v>
      </c>
      <c r="X982">
        <v>1</v>
      </c>
      <c r="Y982" s="1" t="s">
        <v>10</v>
      </c>
      <c r="Z982">
        <v>4</v>
      </c>
      <c r="AA982">
        <v>2785</v>
      </c>
      <c r="AB982">
        <v>11882</v>
      </c>
      <c r="AC982" s="1" t="s">
        <v>19</v>
      </c>
      <c r="AD982">
        <v>14</v>
      </c>
      <c r="AE982">
        <v>3</v>
      </c>
      <c r="AF982">
        <v>3</v>
      </c>
      <c r="AG982">
        <v>80</v>
      </c>
      <c r="AH982">
        <v>0</v>
      </c>
      <c r="AI982">
        <v>4</v>
      </c>
      <c r="AJ982">
        <v>1</v>
      </c>
      <c r="AK982" s="1" t="s">
        <v>136</v>
      </c>
    </row>
    <row r="983" spans="1:37" x14ac:dyDescent="0.25">
      <c r="A983">
        <v>1380</v>
      </c>
      <c r="B983">
        <v>35</v>
      </c>
      <c r="C983" s="1" t="s">
        <v>24</v>
      </c>
      <c r="D983" s="1" t="s">
        <v>70</v>
      </c>
      <c r="E983">
        <v>4</v>
      </c>
      <c r="F983" s="1" t="s">
        <v>142</v>
      </c>
      <c r="G983">
        <v>0</v>
      </c>
      <c r="H983" s="1" t="s">
        <v>18</v>
      </c>
      <c r="I983">
        <v>5</v>
      </c>
      <c r="J983">
        <v>0</v>
      </c>
      <c r="K983">
        <v>4</v>
      </c>
      <c r="L983">
        <v>2</v>
      </c>
      <c r="M983">
        <v>3</v>
      </c>
      <c r="N983">
        <v>2</v>
      </c>
      <c r="O983" s="1" t="s">
        <v>18</v>
      </c>
      <c r="P983" s="1" t="s">
        <v>137</v>
      </c>
      <c r="Q983">
        <v>662</v>
      </c>
      <c r="R983" s="1" t="s">
        <v>64</v>
      </c>
      <c r="S983">
        <v>18</v>
      </c>
      <c r="T983">
        <v>1</v>
      </c>
      <c r="U983">
        <v>4</v>
      </c>
      <c r="V983">
        <v>67</v>
      </c>
      <c r="W983">
        <v>3</v>
      </c>
      <c r="X983">
        <v>2</v>
      </c>
      <c r="Y983" s="1" t="s">
        <v>4</v>
      </c>
      <c r="Z983">
        <v>3</v>
      </c>
      <c r="AA983">
        <v>4614</v>
      </c>
      <c r="AB983">
        <v>23288</v>
      </c>
      <c r="AC983" s="1" t="s">
        <v>18</v>
      </c>
      <c r="AD983">
        <v>18</v>
      </c>
      <c r="AE983">
        <v>3</v>
      </c>
      <c r="AF983">
        <v>3</v>
      </c>
      <c r="AG983">
        <v>80</v>
      </c>
      <c r="AH983">
        <v>1</v>
      </c>
      <c r="AI983">
        <v>2</v>
      </c>
      <c r="AJ983">
        <v>1</v>
      </c>
      <c r="AK983" s="1" t="s">
        <v>136</v>
      </c>
    </row>
    <row r="984" spans="1:37" x14ac:dyDescent="0.25">
      <c r="A984">
        <v>1382</v>
      </c>
      <c r="B984">
        <v>38</v>
      </c>
      <c r="C984" s="1" t="s">
        <v>25</v>
      </c>
      <c r="D984" s="1" t="s">
        <v>69</v>
      </c>
      <c r="E984">
        <v>3</v>
      </c>
      <c r="F984" s="1" t="s">
        <v>134</v>
      </c>
      <c r="G984">
        <v>1</v>
      </c>
      <c r="H984" s="1" t="s">
        <v>18</v>
      </c>
      <c r="I984">
        <v>4</v>
      </c>
      <c r="J984">
        <v>2</v>
      </c>
      <c r="K984">
        <v>4</v>
      </c>
      <c r="L984">
        <v>2</v>
      </c>
      <c r="M984">
        <v>0</v>
      </c>
      <c r="N984">
        <v>3</v>
      </c>
      <c r="O984" s="1" t="s">
        <v>19</v>
      </c>
      <c r="P984" s="1" t="s">
        <v>137</v>
      </c>
      <c r="Q984">
        <v>693</v>
      </c>
      <c r="R984" s="1" t="s">
        <v>63</v>
      </c>
      <c r="S984">
        <v>7</v>
      </c>
      <c r="T984">
        <v>1</v>
      </c>
      <c r="U984">
        <v>4</v>
      </c>
      <c r="V984">
        <v>57</v>
      </c>
      <c r="W984">
        <v>4</v>
      </c>
      <c r="X984">
        <v>1</v>
      </c>
      <c r="Y984" s="1" t="s">
        <v>5</v>
      </c>
      <c r="Z984">
        <v>3</v>
      </c>
      <c r="AA984">
        <v>2610</v>
      </c>
      <c r="AB984">
        <v>15748</v>
      </c>
      <c r="AC984" s="1" t="s">
        <v>19</v>
      </c>
      <c r="AD984">
        <v>11</v>
      </c>
      <c r="AE984">
        <v>3</v>
      </c>
      <c r="AF984">
        <v>4</v>
      </c>
      <c r="AG984">
        <v>80</v>
      </c>
      <c r="AH984">
        <v>3</v>
      </c>
      <c r="AI984">
        <v>3</v>
      </c>
      <c r="AJ984">
        <v>0</v>
      </c>
      <c r="AK984" s="1" t="s">
        <v>136</v>
      </c>
    </row>
    <row r="985" spans="1:37" x14ac:dyDescent="0.25">
      <c r="A985">
        <v>1383</v>
      </c>
      <c r="B985">
        <v>34</v>
      </c>
      <c r="C985" s="1" t="s">
        <v>24</v>
      </c>
      <c r="D985" s="1" t="s">
        <v>71</v>
      </c>
      <c r="E985">
        <v>4</v>
      </c>
      <c r="F985" s="1" t="s">
        <v>143</v>
      </c>
      <c r="G985">
        <v>1</v>
      </c>
      <c r="H985" s="1" t="s">
        <v>18</v>
      </c>
      <c r="I985">
        <v>14</v>
      </c>
      <c r="J985">
        <v>2</v>
      </c>
      <c r="K985">
        <v>14</v>
      </c>
      <c r="L985">
        <v>11</v>
      </c>
      <c r="M985">
        <v>4</v>
      </c>
      <c r="N985">
        <v>11</v>
      </c>
      <c r="O985" s="1" t="s">
        <v>19</v>
      </c>
      <c r="P985" s="1" t="s">
        <v>135</v>
      </c>
      <c r="Q985">
        <v>404</v>
      </c>
      <c r="R985" s="1" t="s">
        <v>63</v>
      </c>
      <c r="S985">
        <v>2</v>
      </c>
      <c r="T985">
        <v>1</v>
      </c>
      <c r="U985">
        <v>3</v>
      </c>
      <c r="V985">
        <v>98</v>
      </c>
      <c r="W985">
        <v>3</v>
      </c>
      <c r="X985">
        <v>2</v>
      </c>
      <c r="Y985" s="1" t="s">
        <v>8</v>
      </c>
      <c r="Z985">
        <v>4</v>
      </c>
      <c r="AA985">
        <v>6687</v>
      </c>
      <c r="AB985">
        <v>6163</v>
      </c>
      <c r="AC985" s="1" t="s">
        <v>19</v>
      </c>
      <c r="AD985">
        <v>11</v>
      </c>
      <c r="AE985">
        <v>3</v>
      </c>
      <c r="AF985">
        <v>4</v>
      </c>
      <c r="AG985">
        <v>80</v>
      </c>
      <c r="AH985">
        <v>0</v>
      </c>
      <c r="AI985">
        <v>4</v>
      </c>
      <c r="AJ985">
        <v>0</v>
      </c>
      <c r="AK985" s="1" t="s">
        <v>136</v>
      </c>
    </row>
    <row r="986" spans="1:37" x14ac:dyDescent="0.25">
      <c r="A986">
        <v>1387</v>
      </c>
      <c r="B986">
        <v>28</v>
      </c>
      <c r="C986" s="1" t="s">
        <v>25</v>
      </c>
      <c r="D986" s="1" t="s">
        <v>70</v>
      </c>
      <c r="E986">
        <v>3</v>
      </c>
      <c r="F986" s="1" t="s">
        <v>134</v>
      </c>
      <c r="G986">
        <v>1</v>
      </c>
      <c r="H986" s="1" t="s">
        <v>18</v>
      </c>
      <c r="I986">
        <v>5</v>
      </c>
      <c r="J986">
        <v>0</v>
      </c>
      <c r="K986">
        <v>5</v>
      </c>
      <c r="L986">
        <v>3</v>
      </c>
      <c r="M986">
        <v>0</v>
      </c>
      <c r="N986">
        <v>4</v>
      </c>
      <c r="O986" s="1" t="s">
        <v>19</v>
      </c>
      <c r="P986" s="1" t="s">
        <v>135</v>
      </c>
      <c r="Q986">
        <v>736</v>
      </c>
      <c r="R986" s="1" t="s">
        <v>64</v>
      </c>
      <c r="S986">
        <v>26</v>
      </c>
      <c r="T986">
        <v>1</v>
      </c>
      <c r="U986">
        <v>3</v>
      </c>
      <c r="V986">
        <v>48</v>
      </c>
      <c r="W986">
        <v>2</v>
      </c>
      <c r="X986">
        <v>2</v>
      </c>
      <c r="Y986" s="1" t="s">
        <v>4</v>
      </c>
      <c r="Z986">
        <v>1</v>
      </c>
      <c r="AA986">
        <v>4724</v>
      </c>
      <c r="AB986">
        <v>24232</v>
      </c>
      <c r="AC986" s="1" t="s">
        <v>19</v>
      </c>
      <c r="AD986">
        <v>11</v>
      </c>
      <c r="AE986">
        <v>3</v>
      </c>
      <c r="AF986">
        <v>3</v>
      </c>
      <c r="AG986">
        <v>80</v>
      </c>
      <c r="AH986">
        <v>1</v>
      </c>
      <c r="AI986">
        <v>3</v>
      </c>
      <c r="AJ986">
        <v>0</v>
      </c>
      <c r="AK986" s="1" t="s">
        <v>136</v>
      </c>
    </row>
    <row r="987" spans="1:37" x14ac:dyDescent="0.25">
      <c r="A987">
        <v>1389</v>
      </c>
      <c r="B987">
        <v>31</v>
      </c>
      <c r="C987" s="1" t="s">
        <v>25</v>
      </c>
      <c r="D987" s="1" t="s">
        <v>70</v>
      </c>
      <c r="E987">
        <v>4</v>
      </c>
      <c r="F987" s="1" t="s">
        <v>139</v>
      </c>
      <c r="G987">
        <v>1</v>
      </c>
      <c r="H987" s="1" t="s">
        <v>18</v>
      </c>
      <c r="I987">
        <v>10</v>
      </c>
      <c r="J987">
        <v>3</v>
      </c>
      <c r="K987">
        <v>10</v>
      </c>
      <c r="L987">
        <v>2</v>
      </c>
      <c r="M987">
        <v>6</v>
      </c>
      <c r="N987">
        <v>7</v>
      </c>
      <c r="O987" s="1" t="s">
        <v>18</v>
      </c>
      <c r="P987" s="1" t="s">
        <v>135</v>
      </c>
      <c r="Q987">
        <v>330</v>
      </c>
      <c r="R987" s="1" t="s">
        <v>63</v>
      </c>
      <c r="S987">
        <v>22</v>
      </c>
      <c r="T987">
        <v>1</v>
      </c>
      <c r="U987">
        <v>4</v>
      </c>
      <c r="V987">
        <v>98</v>
      </c>
      <c r="W987">
        <v>3</v>
      </c>
      <c r="X987">
        <v>2</v>
      </c>
      <c r="Y987" s="1" t="s">
        <v>7</v>
      </c>
      <c r="Z987">
        <v>3</v>
      </c>
      <c r="AA987">
        <v>6179</v>
      </c>
      <c r="AB987">
        <v>21057</v>
      </c>
      <c r="AC987" s="1" t="s">
        <v>18</v>
      </c>
      <c r="AD987">
        <v>15</v>
      </c>
      <c r="AE987">
        <v>3</v>
      </c>
      <c r="AF987">
        <v>4</v>
      </c>
      <c r="AG987">
        <v>80</v>
      </c>
      <c r="AH987">
        <v>2</v>
      </c>
      <c r="AI987">
        <v>2</v>
      </c>
      <c r="AJ987">
        <v>1</v>
      </c>
      <c r="AK987" s="1" t="s">
        <v>136</v>
      </c>
    </row>
    <row r="988" spans="1:37" x14ac:dyDescent="0.25">
      <c r="A988">
        <v>1390</v>
      </c>
      <c r="B988">
        <v>39</v>
      </c>
      <c r="C988" s="1" t="s">
        <v>25</v>
      </c>
      <c r="D988" s="1" t="s">
        <v>70</v>
      </c>
      <c r="E988">
        <v>4</v>
      </c>
      <c r="F988" s="1" t="s">
        <v>134</v>
      </c>
      <c r="G988">
        <v>3</v>
      </c>
      <c r="H988" s="1" t="s">
        <v>18</v>
      </c>
      <c r="I988">
        <v>8</v>
      </c>
      <c r="J988">
        <v>2</v>
      </c>
      <c r="K988">
        <v>5</v>
      </c>
      <c r="L988">
        <v>4</v>
      </c>
      <c r="M988">
        <v>1</v>
      </c>
      <c r="N988">
        <v>4</v>
      </c>
      <c r="O988" s="1" t="s">
        <v>19</v>
      </c>
      <c r="P988" s="1" t="s">
        <v>135</v>
      </c>
      <c r="Q988">
        <v>1498</v>
      </c>
      <c r="R988" s="1" t="s">
        <v>64</v>
      </c>
      <c r="S988">
        <v>21</v>
      </c>
      <c r="T988">
        <v>1</v>
      </c>
      <c r="U988">
        <v>1</v>
      </c>
      <c r="V988">
        <v>44</v>
      </c>
      <c r="W988">
        <v>2</v>
      </c>
      <c r="X988">
        <v>2</v>
      </c>
      <c r="Y988" s="1" t="s">
        <v>4</v>
      </c>
      <c r="Z988">
        <v>4</v>
      </c>
      <c r="AA988">
        <v>6120</v>
      </c>
      <c r="AB988">
        <v>3567</v>
      </c>
      <c r="AC988" s="1" t="s">
        <v>18</v>
      </c>
      <c r="AD988">
        <v>12</v>
      </c>
      <c r="AE988">
        <v>3</v>
      </c>
      <c r="AF988">
        <v>4</v>
      </c>
      <c r="AG988">
        <v>80</v>
      </c>
      <c r="AH988">
        <v>2</v>
      </c>
      <c r="AI988">
        <v>4</v>
      </c>
      <c r="AJ988">
        <v>0</v>
      </c>
      <c r="AK988" s="1" t="s">
        <v>136</v>
      </c>
    </row>
    <row r="989" spans="1:37" x14ac:dyDescent="0.25">
      <c r="A989">
        <v>1391</v>
      </c>
      <c r="B989">
        <v>51</v>
      </c>
      <c r="C989" s="1" t="s">
        <v>25</v>
      </c>
      <c r="D989" s="1" t="s">
        <v>70</v>
      </c>
      <c r="E989">
        <v>3</v>
      </c>
      <c r="F989" s="1" t="s">
        <v>142</v>
      </c>
      <c r="G989">
        <v>2</v>
      </c>
      <c r="H989" s="1" t="s">
        <v>18</v>
      </c>
      <c r="I989">
        <v>14</v>
      </c>
      <c r="J989">
        <v>5</v>
      </c>
      <c r="K989">
        <v>4</v>
      </c>
      <c r="L989">
        <v>2</v>
      </c>
      <c r="M989">
        <v>3</v>
      </c>
      <c r="N989">
        <v>2</v>
      </c>
      <c r="O989" s="1" t="s">
        <v>19</v>
      </c>
      <c r="P989" s="1" t="s">
        <v>137</v>
      </c>
      <c r="Q989">
        <v>541</v>
      </c>
      <c r="R989" s="1" t="s">
        <v>64</v>
      </c>
      <c r="S989">
        <v>2</v>
      </c>
      <c r="T989">
        <v>1</v>
      </c>
      <c r="U989">
        <v>2</v>
      </c>
      <c r="V989">
        <v>52</v>
      </c>
      <c r="W989">
        <v>3</v>
      </c>
      <c r="X989">
        <v>3</v>
      </c>
      <c r="Y989" s="1" t="s">
        <v>4</v>
      </c>
      <c r="Z989">
        <v>2</v>
      </c>
      <c r="AA989">
        <v>10596</v>
      </c>
      <c r="AB989">
        <v>15395</v>
      </c>
      <c r="AC989" s="1" t="s">
        <v>19</v>
      </c>
      <c r="AD989">
        <v>11</v>
      </c>
      <c r="AE989">
        <v>3</v>
      </c>
      <c r="AF989">
        <v>2</v>
      </c>
      <c r="AG989">
        <v>80</v>
      </c>
      <c r="AH989">
        <v>0</v>
      </c>
      <c r="AI989">
        <v>3</v>
      </c>
      <c r="AJ989">
        <v>0</v>
      </c>
      <c r="AK989" s="1" t="s">
        <v>140</v>
      </c>
    </row>
    <row r="990" spans="1:37" x14ac:dyDescent="0.25">
      <c r="A990">
        <v>1392</v>
      </c>
      <c r="B990">
        <v>41</v>
      </c>
      <c r="C990" s="1" t="s">
        <v>24</v>
      </c>
      <c r="D990" s="1" t="s">
        <v>69</v>
      </c>
      <c r="E990">
        <v>3</v>
      </c>
      <c r="F990" s="1" t="s">
        <v>134</v>
      </c>
      <c r="G990">
        <v>3</v>
      </c>
      <c r="H990" s="1" t="s">
        <v>18</v>
      </c>
      <c r="I990">
        <v>12</v>
      </c>
      <c r="J990">
        <v>4</v>
      </c>
      <c r="K990">
        <v>6</v>
      </c>
      <c r="L990">
        <v>2</v>
      </c>
      <c r="M990">
        <v>3</v>
      </c>
      <c r="N990">
        <v>3</v>
      </c>
      <c r="O990" s="1" t="s">
        <v>19</v>
      </c>
      <c r="P990" s="1" t="s">
        <v>137</v>
      </c>
      <c r="Q990">
        <v>1200</v>
      </c>
      <c r="R990" s="1" t="s">
        <v>63</v>
      </c>
      <c r="S990">
        <v>22</v>
      </c>
      <c r="T990">
        <v>1</v>
      </c>
      <c r="U990">
        <v>4</v>
      </c>
      <c r="V990">
        <v>75</v>
      </c>
      <c r="W990">
        <v>3</v>
      </c>
      <c r="X990">
        <v>2</v>
      </c>
      <c r="Y990" s="1" t="s">
        <v>5</v>
      </c>
      <c r="Z990">
        <v>4</v>
      </c>
      <c r="AA990">
        <v>5467</v>
      </c>
      <c r="AB990">
        <v>13953</v>
      </c>
      <c r="AC990" s="1" t="s">
        <v>18</v>
      </c>
      <c r="AD990">
        <v>14</v>
      </c>
      <c r="AE990">
        <v>3</v>
      </c>
      <c r="AF990">
        <v>1</v>
      </c>
      <c r="AG990">
        <v>80</v>
      </c>
      <c r="AH990">
        <v>2</v>
      </c>
      <c r="AI990">
        <v>2</v>
      </c>
      <c r="AJ990">
        <v>0</v>
      </c>
      <c r="AK990" s="1" t="s">
        <v>136</v>
      </c>
    </row>
    <row r="991" spans="1:37" x14ac:dyDescent="0.25">
      <c r="A991">
        <v>1394</v>
      </c>
      <c r="B991">
        <v>37</v>
      </c>
      <c r="C991" s="1" t="s">
        <v>25</v>
      </c>
      <c r="D991" s="1" t="s">
        <v>70</v>
      </c>
      <c r="E991">
        <v>1</v>
      </c>
      <c r="F991" s="1" t="s">
        <v>134</v>
      </c>
      <c r="G991">
        <v>7</v>
      </c>
      <c r="H991" s="1" t="s">
        <v>18</v>
      </c>
      <c r="I991">
        <v>8</v>
      </c>
      <c r="J991">
        <v>2</v>
      </c>
      <c r="K991">
        <v>6</v>
      </c>
      <c r="L991">
        <v>4</v>
      </c>
      <c r="M991">
        <v>1</v>
      </c>
      <c r="N991">
        <v>3</v>
      </c>
      <c r="O991" s="1" t="s">
        <v>19</v>
      </c>
      <c r="P991" s="1" t="s">
        <v>135</v>
      </c>
      <c r="Q991">
        <v>1439</v>
      </c>
      <c r="R991" s="1" t="s">
        <v>63</v>
      </c>
      <c r="S991">
        <v>4</v>
      </c>
      <c r="T991">
        <v>1</v>
      </c>
      <c r="U991">
        <v>3</v>
      </c>
      <c r="V991">
        <v>54</v>
      </c>
      <c r="W991">
        <v>3</v>
      </c>
      <c r="X991">
        <v>1</v>
      </c>
      <c r="Y991" s="1" t="s">
        <v>5</v>
      </c>
      <c r="Z991">
        <v>3</v>
      </c>
      <c r="AA991">
        <v>2996</v>
      </c>
      <c r="AB991">
        <v>5182</v>
      </c>
      <c r="AC991" s="1" t="s">
        <v>18</v>
      </c>
      <c r="AD991">
        <v>15</v>
      </c>
      <c r="AE991">
        <v>3</v>
      </c>
      <c r="AF991">
        <v>4</v>
      </c>
      <c r="AG991">
        <v>80</v>
      </c>
      <c r="AH991">
        <v>0</v>
      </c>
      <c r="AI991">
        <v>3</v>
      </c>
      <c r="AJ991">
        <v>0</v>
      </c>
      <c r="AK991" s="1" t="s">
        <v>136</v>
      </c>
    </row>
    <row r="992" spans="1:37" x14ac:dyDescent="0.25">
      <c r="A992">
        <v>1395</v>
      </c>
      <c r="B992">
        <v>33</v>
      </c>
      <c r="C992" s="1" t="s">
        <v>25</v>
      </c>
      <c r="D992" s="1" t="s">
        <v>70</v>
      </c>
      <c r="E992">
        <v>1</v>
      </c>
      <c r="F992" s="1" t="s">
        <v>134</v>
      </c>
      <c r="G992">
        <v>6</v>
      </c>
      <c r="H992" s="1" t="s">
        <v>18</v>
      </c>
      <c r="I992">
        <v>8</v>
      </c>
      <c r="J992">
        <v>2</v>
      </c>
      <c r="K992">
        <v>5</v>
      </c>
      <c r="L992">
        <v>4</v>
      </c>
      <c r="M992">
        <v>1</v>
      </c>
      <c r="N992">
        <v>2</v>
      </c>
      <c r="O992" s="1" t="s">
        <v>19</v>
      </c>
      <c r="P992" s="1" t="s">
        <v>137</v>
      </c>
      <c r="Q992">
        <v>1111</v>
      </c>
      <c r="R992" s="1" t="s">
        <v>64</v>
      </c>
      <c r="S992">
        <v>5</v>
      </c>
      <c r="T992">
        <v>1</v>
      </c>
      <c r="U992">
        <v>2</v>
      </c>
      <c r="V992">
        <v>61</v>
      </c>
      <c r="W992">
        <v>3</v>
      </c>
      <c r="X992">
        <v>2</v>
      </c>
      <c r="Y992" s="1" t="s">
        <v>4</v>
      </c>
      <c r="Z992">
        <v>4</v>
      </c>
      <c r="AA992">
        <v>9998</v>
      </c>
      <c r="AB992">
        <v>19293</v>
      </c>
      <c r="AC992" s="1" t="s">
        <v>19</v>
      </c>
      <c r="AD992">
        <v>13</v>
      </c>
      <c r="AE992">
        <v>3</v>
      </c>
      <c r="AF992">
        <v>1</v>
      </c>
      <c r="AG992">
        <v>80</v>
      </c>
      <c r="AH992">
        <v>0</v>
      </c>
      <c r="AI992">
        <v>4</v>
      </c>
      <c r="AJ992">
        <v>0</v>
      </c>
      <c r="AK992" s="1" t="s">
        <v>136</v>
      </c>
    </row>
    <row r="993" spans="1:37" x14ac:dyDescent="0.25">
      <c r="A993">
        <v>1396</v>
      </c>
      <c r="B993">
        <v>32</v>
      </c>
      <c r="C993" s="1" t="s">
        <v>25</v>
      </c>
      <c r="D993" s="1" t="s">
        <v>70</v>
      </c>
      <c r="E993">
        <v>1</v>
      </c>
      <c r="F993" s="1" t="s">
        <v>142</v>
      </c>
      <c r="G993">
        <v>0</v>
      </c>
      <c r="H993" s="1" t="s">
        <v>18</v>
      </c>
      <c r="I993">
        <v>4</v>
      </c>
      <c r="J993">
        <v>3</v>
      </c>
      <c r="K993">
        <v>3</v>
      </c>
      <c r="L993">
        <v>2</v>
      </c>
      <c r="M993">
        <v>1</v>
      </c>
      <c r="N993">
        <v>2</v>
      </c>
      <c r="O993" s="1" t="s">
        <v>19</v>
      </c>
      <c r="P993" s="1" t="s">
        <v>135</v>
      </c>
      <c r="Q993">
        <v>499</v>
      </c>
      <c r="R993" s="1" t="s">
        <v>64</v>
      </c>
      <c r="S993">
        <v>2</v>
      </c>
      <c r="T993">
        <v>1</v>
      </c>
      <c r="U993">
        <v>3</v>
      </c>
      <c r="V993">
        <v>36</v>
      </c>
      <c r="W993">
        <v>3</v>
      </c>
      <c r="X993">
        <v>2</v>
      </c>
      <c r="Y993" s="1" t="s">
        <v>4</v>
      </c>
      <c r="Z993">
        <v>2</v>
      </c>
      <c r="AA993">
        <v>4078</v>
      </c>
      <c r="AB993">
        <v>20497</v>
      </c>
      <c r="AC993" s="1" t="s">
        <v>18</v>
      </c>
      <c r="AD993">
        <v>13</v>
      </c>
      <c r="AE993">
        <v>3</v>
      </c>
      <c r="AF993">
        <v>1</v>
      </c>
      <c r="AG993">
        <v>80</v>
      </c>
      <c r="AH993">
        <v>3</v>
      </c>
      <c r="AI993">
        <v>2</v>
      </c>
      <c r="AJ993">
        <v>0</v>
      </c>
      <c r="AK993" s="1" t="s">
        <v>136</v>
      </c>
    </row>
    <row r="994" spans="1:37" x14ac:dyDescent="0.25">
      <c r="A994">
        <v>1397</v>
      </c>
      <c r="B994">
        <v>39</v>
      </c>
      <c r="C994" s="1" t="s">
        <v>25</v>
      </c>
      <c r="D994" s="1" t="s">
        <v>70</v>
      </c>
      <c r="E994">
        <v>2</v>
      </c>
      <c r="F994" s="1" t="s">
        <v>134</v>
      </c>
      <c r="G994">
        <v>3</v>
      </c>
      <c r="H994" s="1" t="s">
        <v>18</v>
      </c>
      <c r="I994">
        <v>13</v>
      </c>
      <c r="J994">
        <v>2</v>
      </c>
      <c r="K994">
        <v>6</v>
      </c>
      <c r="L994">
        <v>4</v>
      </c>
      <c r="M994">
        <v>0</v>
      </c>
      <c r="N994">
        <v>5</v>
      </c>
      <c r="O994" s="1" t="s">
        <v>19</v>
      </c>
      <c r="P994" s="1" t="s">
        <v>141</v>
      </c>
      <c r="Q994">
        <v>1485</v>
      </c>
      <c r="R994" s="1" t="s">
        <v>63</v>
      </c>
      <c r="S994">
        <v>25</v>
      </c>
      <c r="T994">
        <v>1</v>
      </c>
      <c r="U994">
        <v>3</v>
      </c>
      <c r="V994">
        <v>71</v>
      </c>
      <c r="W994">
        <v>3</v>
      </c>
      <c r="X994">
        <v>3</v>
      </c>
      <c r="Y994" s="1" t="s">
        <v>8</v>
      </c>
      <c r="Z994">
        <v>3</v>
      </c>
      <c r="AA994">
        <v>10920</v>
      </c>
      <c r="AB994">
        <v>3449</v>
      </c>
      <c r="AC994" s="1" t="s">
        <v>19</v>
      </c>
      <c r="AD994">
        <v>21</v>
      </c>
      <c r="AE994">
        <v>4</v>
      </c>
      <c r="AF994">
        <v>2</v>
      </c>
      <c r="AG994">
        <v>80</v>
      </c>
      <c r="AH994">
        <v>1</v>
      </c>
      <c r="AI994">
        <v>3</v>
      </c>
      <c r="AJ994">
        <v>0</v>
      </c>
      <c r="AK994" s="1" t="s">
        <v>136</v>
      </c>
    </row>
    <row r="995" spans="1:37" x14ac:dyDescent="0.25">
      <c r="A995">
        <v>1399</v>
      </c>
      <c r="B995">
        <v>25</v>
      </c>
      <c r="C995" s="1" t="s">
        <v>25</v>
      </c>
      <c r="D995" s="1" t="s">
        <v>70</v>
      </c>
      <c r="E995">
        <v>1</v>
      </c>
      <c r="F995" s="1" t="s">
        <v>134</v>
      </c>
      <c r="G995">
        <v>2</v>
      </c>
      <c r="H995" s="1" t="s">
        <v>18</v>
      </c>
      <c r="I995">
        <v>6</v>
      </c>
      <c r="J995">
        <v>3</v>
      </c>
      <c r="K995">
        <v>3</v>
      </c>
      <c r="L995">
        <v>2</v>
      </c>
      <c r="M995">
        <v>1</v>
      </c>
      <c r="N995">
        <v>2</v>
      </c>
      <c r="O995" s="1" t="s">
        <v>19</v>
      </c>
      <c r="P995" s="1" t="s">
        <v>135</v>
      </c>
      <c r="Q995">
        <v>1372</v>
      </c>
      <c r="R995" s="1" t="s">
        <v>64</v>
      </c>
      <c r="S995">
        <v>18</v>
      </c>
      <c r="T995">
        <v>1</v>
      </c>
      <c r="U995">
        <v>1</v>
      </c>
      <c r="V995">
        <v>93</v>
      </c>
      <c r="W995">
        <v>4</v>
      </c>
      <c r="X995">
        <v>2</v>
      </c>
      <c r="Y995" s="1" t="s">
        <v>4</v>
      </c>
      <c r="Z995">
        <v>3</v>
      </c>
      <c r="AA995">
        <v>6232</v>
      </c>
      <c r="AB995">
        <v>12477</v>
      </c>
      <c r="AC995" s="1" t="s">
        <v>19</v>
      </c>
      <c r="AD995">
        <v>11</v>
      </c>
      <c r="AE995">
        <v>3</v>
      </c>
      <c r="AF995">
        <v>2</v>
      </c>
      <c r="AG995">
        <v>80</v>
      </c>
      <c r="AH995">
        <v>0</v>
      </c>
      <c r="AI995">
        <v>2</v>
      </c>
      <c r="AJ995">
        <v>0</v>
      </c>
      <c r="AK995" s="1" t="s">
        <v>136</v>
      </c>
    </row>
    <row r="996" spans="1:37" x14ac:dyDescent="0.25">
      <c r="A996">
        <v>1401</v>
      </c>
      <c r="B996">
        <v>52</v>
      </c>
      <c r="C996" s="1" t="s">
        <v>24</v>
      </c>
      <c r="D996" s="1" t="s">
        <v>70</v>
      </c>
      <c r="E996">
        <v>2</v>
      </c>
      <c r="F996" s="1" t="s">
        <v>139</v>
      </c>
      <c r="G996">
        <v>2</v>
      </c>
      <c r="H996" s="1" t="s">
        <v>18</v>
      </c>
      <c r="I996">
        <v>24</v>
      </c>
      <c r="J996">
        <v>3</v>
      </c>
      <c r="K996">
        <v>5</v>
      </c>
      <c r="L996">
        <v>3</v>
      </c>
      <c r="M996">
        <v>0</v>
      </c>
      <c r="N996">
        <v>2</v>
      </c>
      <c r="O996" s="1" t="s">
        <v>19</v>
      </c>
      <c r="P996" s="1" t="s">
        <v>137</v>
      </c>
      <c r="Q996">
        <v>322</v>
      </c>
      <c r="R996" s="1" t="s">
        <v>63</v>
      </c>
      <c r="S996">
        <v>28</v>
      </c>
      <c r="T996">
        <v>1</v>
      </c>
      <c r="U996">
        <v>4</v>
      </c>
      <c r="V996">
        <v>59</v>
      </c>
      <c r="W996">
        <v>4</v>
      </c>
      <c r="X996">
        <v>4</v>
      </c>
      <c r="Y996" s="1" t="s">
        <v>7</v>
      </c>
      <c r="Z996">
        <v>3</v>
      </c>
      <c r="AA996">
        <v>13247</v>
      </c>
      <c r="AB996">
        <v>9731</v>
      </c>
      <c r="AC996" s="1" t="s">
        <v>18</v>
      </c>
      <c r="AD996">
        <v>11</v>
      </c>
      <c r="AE996">
        <v>3</v>
      </c>
      <c r="AF996">
        <v>2</v>
      </c>
      <c r="AG996">
        <v>80</v>
      </c>
      <c r="AH996">
        <v>1</v>
      </c>
      <c r="AI996">
        <v>2</v>
      </c>
      <c r="AJ996">
        <v>0</v>
      </c>
      <c r="AK996" s="1" t="s">
        <v>140</v>
      </c>
    </row>
    <row r="997" spans="1:37" x14ac:dyDescent="0.25">
      <c r="A997">
        <v>1402</v>
      </c>
      <c r="B997">
        <v>43</v>
      </c>
      <c r="C997" s="1" t="s">
        <v>24</v>
      </c>
      <c r="D997" s="1" t="s">
        <v>71</v>
      </c>
      <c r="E997">
        <v>3</v>
      </c>
      <c r="F997" s="1" t="s">
        <v>139</v>
      </c>
      <c r="G997">
        <v>1</v>
      </c>
      <c r="H997" s="1" t="s">
        <v>18</v>
      </c>
      <c r="I997">
        <v>20</v>
      </c>
      <c r="J997">
        <v>3</v>
      </c>
      <c r="K997">
        <v>20</v>
      </c>
      <c r="L997">
        <v>7</v>
      </c>
      <c r="M997">
        <v>1</v>
      </c>
      <c r="N997">
        <v>8</v>
      </c>
      <c r="O997" s="1" t="s">
        <v>19</v>
      </c>
      <c r="P997" s="1" t="s">
        <v>135</v>
      </c>
      <c r="Q997">
        <v>930</v>
      </c>
      <c r="R997" s="1" t="s">
        <v>63</v>
      </c>
      <c r="S997">
        <v>6</v>
      </c>
      <c r="T997">
        <v>1</v>
      </c>
      <c r="U997">
        <v>1</v>
      </c>
      <c r="V997">
        <v>73</v>
      </c>
      <c r="W997">
        <v>2</v>
      </c>
      <c r="X997">
        <v>2</v>
      </c>
      <c r="Y997" s="1" t="s">
        <v>5</v>
      </c>
      <c r="Z997">
        <v>3</v>
      </c>
      <c r="AA997">
        <v>4081</v>
      </c>
      <c r="AB997">
        <v>20003</v>
      </c>
      <c r="AC997" s="1" t="s">
        <v>18</v>
      </c>
      <c r="AD997">
        <v>14</v>
      </c>
      <c r="AE997">
        <v>3</v>
      </c>
      <c r="AF997">
        <v>1</v>
      </c>
      <c r="AG997">
        <v>80</v>
      </c>
      <c r="AH997">
        <v>0</v>
      </c>
      <c r="AI997">
        <v>1</v>
      </c>
      <c r="AJ997">
        <v>0</v>
      </c>
      <c r="AK997" s="1" t="s">
        <v>136</v>
      </c>
    </row>
    <row r="998" spans="1:37" x14ac:dyDescent="0.25">
      <c r="A998">
        <v>1403</v>
      </c>
      <c r="B998">
        <v>27</v>
      </c>
      <c r="C998" s="1" t="s">
        <v>24</v>
      </c>
      <c r="D998" s="1" t="s">
        <v>70</v>
      </c>
      <c r="E998">
        <v>3</v>
      </c>
      <c r="F998" s="1" t="s">
        <v>142</v>
      </c>
      <c r="G998">
        <v>1</v>
      </c>
      <c r="H998" s="1" t="s">
        <v>18</v>
      </c>
      <c r="I998">
        <v>6</v>
      </c>
      <c r="J998">
        <v>3</v>
      </c>
      <c r="K998">
        <v>6</v>
      </c>
      <c r="L998">
        <v>2</v>
      </c>
      <c r="M998">
        <v>4</v>
      </c>
      <c r="N998">
        <v>4</v>
      </c>
      <c r="O998" s="1" t="s">
        <v>19</v>
      </c>
      <c r="P998" s="1" t="s">
        <v>135</v>
      </c>
      <c r="Q998">
        <v>205</v>
      </c>
      <c r="R998" s="1" t="s">
        <v>64</v>
      </c>
      <c r="S998">
        <v>10</v>
      </c>
      <c r="T998">
        <v>1</v>
      </c>
      <c r="U998">
        <v>4</v>
      </c>
      <c r="V998">
        <v>98</v>
      </c>
      <c r="W998">
        <v>2</v>
      </c>
      <c r="X998">
        <v>2</v>
      </c>
      <c r="Y998" s="1" t="s">
        <v>4</v>
      </c>
      <c r="Z998">
        <v>4</v>
      </c>
      <c r="AA998">
        <v>5769</v>
      </c>
      <c r="AB998">
        <v>7100</v>
      </c>
      <c r="AC998" s="1" t="s">
        <v>18</v>
      </c>
      <c r="AD998">
        <v>11</v>
      </c>
      <c r="AE998">
        <v>3</v>
      </c>
      <c r="AF998">
        <v>4</v>
      </c>
      <c r="AG998">
        <v>80</v>
      </c>
      <c r="AH998">
        <v>0</v>
      </c>
      <c r="AI998">
        <v>3</v>
      </c>
      <c r="AJ998">
        <v>0</v>
      </c>
      <c r="AK998" s="1" t="s">
        <v>136</v>
      </c>
    </row>
    <row r="999" spans="1:37" x14ac:dyDescent="0.25">
      <c r="A999">
        <v>1405</v>
      </c>
      <c r="B999">
        <v>27</v>
      </c>
      <c r="C999" s="1" t="s">
        <v>24</v>
      </c>
      <c r="D999" s="1" t="s">
        <v>71</v>
      </c>
      <c r="E999">
        <v>4</v>
      </c>
      <c r="F999" s="1" t="s">
        <v>134</v>
      </c>
      <c r="G999">
        <v>1</v>
      </c>
      <c r="H999" s="1" t="s">
        <v>18</v>
      </c>
      <c r="I999">
        <v>8</v>
      </c>
      <c r="J999">
        <v>2</v>
      </c>
      <c r="K999">
        <v>8</v>
      </c>
      <c r="L999">
        <v>2</v>
      </c>
      <c r="M999">
        <v>7</v>
      </c>
      <c r="N999">
        <v>7</v>
      </c>
      <c r="O999" s="1" t="s">
        <v>18</v>
      </c>
      <c r="P999" s="1" t="s">
        <v>135</v>
      </c>
      <c r="Q999">
        <v>135</v>
      </c>
      <c r="R999" s="1" t="s">
        <v>63</v>
      </c>
      <c r="S999">
        <v>17</v>
      </c>
      <c r="T999">
        <v>1</v>
      </c>
      <c r="U999">
        <v>4</v>
      </c>
      <c r="V999">
        <v>51</v>
      </c>
      <c r="W999">
        <v>3</v>
      </c>
      <c r="X999">
        <v>1</v>
      </c>
      <c r="Y999" s="1" t="s">
        <v>5</v>
      </c>
      <c r="Z999">
        <v>3</v>
      </c>
      <c r="AA999">
        <v>2394</v>
      </c>
      <c r="AB999">
        <v>25681</v>
      </c>
      <c r="AC999" s="1" t="s">
        <v>18</v>
      </c>
      <c r="AD999">
        <v>13</v>
      </c>
      <c r="AE999">
        <v>3</v>
      </c>
      <c r="AF999">
        <v>4</v>
      </c>
      <c r="AG999">
        <v>80</v>
      </c>
      <c r="AH999">
        <v>0</v>
      </c>
      <c r="AI999">
        <v>3</v>
      </c>
      <c r="AJ999">
        <v>1</v>
      </c>
      <c r="AK999" s="1" t="s">
        <v>136</v>
      </c>
    </row>
    <row r="1000" spans="1:37" x14ac:dyDescent="0.25">
      <c r="A1000">
        <v>1407</v>
      </c>
      <c r="B1000">
        <v>26</v>
      </c>
      <c r="C1000" s="1" t="s">
        <v>25</v>
      </c>
      <c r="D1000" s="1" t="s">
        <v>71</v>
      </c>
      <c r="E1000">
        <v>1</v>
      </c>
      <c r="F1000" s="1" t="s">
        <v>139</v>
      </c>
      <c r="G1000">
        <v>0</v>
      </c>
      <c r="H1000" s="1" t="s">
        <v>18</v>
      </c>
      <c r="I1000">
        <v>5</v>
      </c>
      <c r="J1000">
        <v>2</v>
      </c>
      <c r="K1000">
        <v>4</v>
      </c>
      <c r="L1000">
        <v>3</v>
      </c>
      <c r="M1000">
        <v>1</v>
      </c>
      <c r="N1000">
        <v>1</v>
      </c>
      <c r="O1000" s="1" t="s">
        <v>19</v>
      </c>
      <c r="P1000" s="1" t="s">
        <v>135</v>
      </c>
      <c r="Q1000">
        <v>683</v>
      </c>
      <c r="R1000" s="1" t="s">
        <v>63</v>
      </c>
      <c r="S1000">
        <v>2</v>
      </c>
      <c r="T1000">
        <v>1</v>
      </c>
      <c r="U1000">
        <v>1</v>
      </c>
      <c r="V1000">
        <v>36</v>
      </c>
      <c r="W1000">
        <v>2</v>
      </c>
      <c r="X1000">
        <v>1</v>
      </c>
      <c r="Y1000" s="1" t="s">
        <v>5</v>
      </c>
      <c r="Z1000">
        <v>4</v>
      </c>
      <c r="AA1000">
        <v>3904</v>
      </c>
      <c r="AB1000">
        <v>4050</v>
      </c>
      <c r="AC1000" s="1" t="s">
        <v>19</v>
      </c>
      <c r="AD1000">
        <v>12</v>
      </c>
      <c r="AE1000">
        <v>3</v>
      </c>
      <c r="AF1000">
        <v>4</v>
      </c>
      <c r="AG1000">
        <v>80</v>
      </c>
      <c r="AH1000">
        <v>0</v>
      </c>
      <c r="AI1000">
        <v>3</v>
      </c>
      <c r="AJ1000">
        <v>0</v>
      </c>
      <c r="AK1000" s="1" t="s">
        <v>136</v>
      </c>
    </row>
    <row r="1001" spans="1:37" x14ac:dyDescent="0.25">
      <c r="A1001">
        <v>1408</v>
      </c>
      <c r="B1001">
        <v>42</v>
      </c>
      <c r="C1001" s="1" t="s">
        <v>24</v>
      </c>
      <c r="D1001" s="1" t="s">
        <v>70</v>
      </c>
      <c r="E1001">
        <v>3</v>
      </c>
      <c r="F1001" s="1" t="s">
        <v>12</v>
      </c>
      <c r="G1001">
        <v>0</v>
      </c>
      <c r="H1001" s="1" t="s">
        <v>18</v>
      </c>
      <c r="I1001">
        <v>21</v>
      </c>
      <c r="J1001">
        <v>5</v>
      </c>
      <c r="K1001">
        <v>20</v>
      </c>
      <c r="L1001">
        <v>7</v>
      </c>
      <c r="M1001">
        <v>0</v>
      </c>
      <c r="N1001">
        <v>9</v>
      </c>
      <c r="O1001" s="1" t="s">
        <v>19</v>
      </c>
      <c r="P1001" s="1" t="s">
        <v>135</v>
      </c>
      <c r="Q1001">
        <v>1147</v>
      </c>
      <c r="R1001" s="1" t="s">
        <v>12</v>
      </c>
      <c r="S1001">
        <v>10</v>
      </c>
      <c r="T1001">
        <v>1</v>
      </c>
      <c r="U1001">
        <v>3</v>
      </c>
      <c r="V1001">
        <v>31</v>
      </c>
      <c r="W1001">
        <v>3</v>
      </c>
      <c r="X1001">
        <v>4</v>
      </c>
      <c r="Y1001" s="1" t="s">
        <v>9</v>
      </c>
      <c r="Z1001">
        <v>1</v>
      </c>
      <c r="AA1001">
        <v>16799</v>
      </c>
      <c r="AB1001">
        <v>16616</v>
      </c>
      <c r="AC1001" s="1" t="s">
        <v>19</v>
      </c>
      <c r="AD1001">
        <v>14</v>
      </c>
      <c r="AE1001">
        <v>3</v>
      </c>
      <c r="AF1001">
        <v>3</v>
      </c>
      <c r="AG1001">
        <v>80</v>
      </c>
      <c r="AH1001">
        <v>1</v>
      </c>
      <c r="AI1001">
        <v>3</v>
      </c>
      <c r="AJ1001">
        <v>0</v>
      </c>
      <c r="AK1001" s="1" t="s">
        <v>136</v>
      </c>
    </row>
    <row r="1002" spans="1:37" x14ac:dyDescent="0.25">
      <c r="A1002">
        <v>1409</v>
      </c>
      <c r="B1002">
        <v>52</v>
      </c>
      <c r="C1002" s="1" t="s">
        <v>24</v>
      </c>
      <c r="D1002" s="1" t="s">
        <v>70</v>
      </c>
      <c r="E1002">
        <v>4</v>
      </c>
      <c r="F1002" s="1" t="s">
        <v>138</v>
      </c>
      <c r="G1002">
        <v>9</v>
      </c>
      <c r="H1002" s="1" t="s">
        <v>18</v>
      </c>
      <c r="I1002">
        <v>12</v>
      </c>
      <c r="J1002">
        <v>2</v>
      </c>
      <c r="K1002">
        <v>5</v>
      </c>
      <c r="L1002">
        <v>4</v>
      </c>
      <c r="M1002">
        <v>0</v>
      </c>
      <c r="N1002">
        <v>4</v>
      </c>
      <c r="O1002" s="1" t="s">
        <v>19</v>
      </c>
      <c r="P1002" s="1" t="s">
        <v>135</v>
      </c>
      <c r="Q1002">
        <v>258</v>
      </c>
      <c r="R1002" s="1" t="s">
        <v>63</v>
      </c>
      <c r="S1002">
        <v>8</v>
      </c>
      <c r="T1002">
        <v>1</v>
      </c>
      <c r="U1002">
        <v>3</v>
      </c>
      <c r="V1002">
        <v>54</v>
      </c>
      <c r="W1002">
        <v>3</v>
      </c>
      <c r="X1002">
        <v>1</v>
      </c>
      <c r="Y1002" s="1" t="s">
        <v>6</v>
      </c>
      <c r="Z1002">
        <v>1</v>
      </c>
      <c r="AA1002">
        <v>2950</v>
      </c>
      <c r="AB1002">
        <v>17363</v>
      </c>
      <c r="AC1002" s="1" t="s">
        <v>19</v>
      </c>
      <c r="AD1002">
        <v>13</v>
      </c>
      <c r="AE1002">
        <v>3</v>
      </c>
      <c r="AF1002">
        <v>3</v>
      </c>
      <c r="AG1002">
        <v>80</v>
      </c>
      <c r="AH1002">
        <v>0</v>
      </c>
      <c r="AI1002">
        <v>1</v>
      </c>
      <c r="AJ1002">
        <v>0</v>
      </c>
      <c r="AK1002" s="1" t="s">
        <v>140</v>
      </c>
    </row>
    <row r="1003" spans="1:37" x14ac:dyDescent="0.25">
      <c r="A1003">
        <v>1411</v>
      </c>
      <c r="B1003">
        <v>37</v>
      </c>
      <c r="C1003" s="1" t="s">
        <v>24</v>
      </c>
      <c r="D1003" s="1" t="s">
        <v>71</v>
      </c>
      <c r="E1003">
        <v>3</v>
      </c>
      <c r="F1003" s="1" t="s">
        <v>139</v>
      </c>
      <c r="G1003">
        <v>4</v>
      </c>
      <c r="H1003" s="1" t="s">
        <v>18</v>
      </c>
      <c r="I1003">
        <v>8</v>
      </c>
      <c r="J1003">
        <v>6</v>
      </c>
      <c r="K1003">
        <v>3</v>
      </c>
      <c r="L1003">
        <v>2</v>
      </c>
      <c r="M1003">
        <v>0</v>
      </c>
      <c r="N1003">
        <v>2</v>
      </c>
      <c r="O1003" s="1" t="s">
        <v>19</v>
      </c>
      <c r="P1003" s="1" t="s">
        <v>135</v>
      </c>
      <c r="Q1003">
        <v>1462</v>
      </c>
      <c r="R1003" s="1" t="s">
        <v>63</v>
      </c>
      <c r="S1003">
        <v>11</v>
      </c>
      <c r="T1003">
        <v>1</v>
      </c>
      <c r="U1003">
        <v>1</v>
      </c>
      <c r="V1003">
        <v>94</v>
      </c>
      <c r="W1003">
        <v>3</v>
      </c>
      <c r="X1003">
        <v>1</v>
      </c>
      <c r="Y1003" s="1" t="s">
        <v>6</v>
      </c>
      <c r="Z1003">
        <v>3</v>
      </c>
      <c r="AA1003">
        <v>3629</v>
      </c>
      <c r="AB1003">
        <v>19106</v>
      </c>
      <c r="AC1003" s="1" t="s">
        <v>19</v>
      </c>
      <c r="AD1003">
        <v>18</v>
      </c>
      <c r="AE1003">
        <v>3</v>
      </c>
      <c r="AF1003">
        <v>1</v>
      </c>
      <c r="AG1003">
        <v>80</v>
      </c>
      <c r="AH1003">
        <v>0</v>
      </c>
      <c r="AI1003">
        <v>3</v>
      </c>
      <c r="AJ1003">
        <v>0</v>
      </c>
      <c r="AK1003" s="1" t="s">
        <v>136</v>
      </c>
    </row>
    <row r="1004" spans="1:37" x14ac:dyDescent="0.25">
      <c r="A1004">
        <v>1412</v>
      </c>
      <c r="B1004">
        <v>35</v>
      </c>
      <c r="C1004" s="1" t="s">
        <v>25</v>
      </c>
      <c r="D1004" s="1" t="s">
        <v>71</v>
      </c>
      <c r="E1004">
        <v>2</v>
      </c>
      <c r="F1004" s="1" t="s">
        <v>134</v>
      </c>
      <c r="G1004">
        <v>2</v>
      </c>
      <c r="H1004" s="1" t="s">
        <v>18</v>
      </c>
      <c r="I1004">
        <v>10</v>
      </c>
      <c r="J1004">
        <v>2</v>
      </c>
      <c r="K1004">
        <v>2</v>
      </c>
      <c r="L1004">
        <v>2</v>
      </c>
      <c r="M1004">
        <v>2</v>
      </c>
      <c r="N1004">
        <v>2</v>
      </c>
      <c r="O1004" s="1" t="s">
        <v>19</v>
      </c>
      <c r="P1004" s="1" t="s">
        <v>137</v>
      </c>
      <c r="Q1004">
        <v>200</v>
      </c>
      <c r="R1004" s="1" t="s">
        <v>63</v>
      </c>
      <c r="S1004">
        <v>18</v>
      </c>
      <c r="T1004">
        <v>1</v>
      </c>
      <c r="U1004">
        <v>3</v>
      </c>
      <c r="V1004">
        <v>60</v>
      </c>
      <c r="W1004">
        <v>3</v>
      </c>
      <c r="X1004">
        <v>3</v>
      </c>
      <c r="Y1004" s="1" t="s">
        <v>7</v>
      </c>
      <c r="Z1004">
        <v>4</v>
      </c>
      <c r="AA1004">
        <v>9362</v>
      </c>
      <c r="AB1004">
        <v>19944</v>
      </c>
      <c r="AC1004" s="1" t="s">
        <v>19</v>
      </c>
      <c r="AD1004">
        <v>11</v>
      </c>
      <c r="AE1004">
        <v>3</v>
      </c>
      <c r="AF1004">
        <v>3</v>
      </c>
      <c r="AG1004">
        <v>80</v>
      </c>
      <c r="AH1004">
        <v>0</v>
      </c>
      <c r="AI1004">
        <v>3</v>
      </c>
      <c r="AJ1004">
        <v>0</v>
      </c>
      <c r="AK1004" s="1" t="s">
        <v>136</v>
      </c>
    </row>
    <row r="1005" spans="1:37" x14ac:dyDescent="0.25">
      <c r="A1005">
        <v>1415</v>
      </c>
      <c r="B1005">
        <v>25</v>
      </c>
      <c r="C1005" s="1" t="s">
        <v>25</v>
      </c>
      <c r="D1005" s="1" t="s">
        <v>70</v>
      </c>
      <c r="E1005">
        <v>3</v>
      </c>
      <c r="F1005" s="1" t="s">
        <v>143</v>
      </c>
      <c r="G1005">
        <v>4</v>
      </c>
      <c r="H1005" s="1" t="s">
        <v>18</v>
      </c>
      <c r="I1005">
        <v>7</v>
      </c>
      <c r="J1005">
        <v>2</v>
      </c>
      <c r="K1005">
        <v>3</v>
      </c>
      <c r="L1005">
        <v>2</v>
      </c>
      <c r="M1005">
        <v>0</v>
      </c>
      <c r="N1005">
        <v>2</v>
      </c>
      <c r="O1005" s="1" t="s">
        <v>19</v>
      </c>
      <c r="P1005" s="1" t="s">
        <v>135</v>
      </c>
      <c r="Q1005">
        <v>949</v>
      </c>
      <c r="R1005" s="1" t="s">
        <v>63</v>
      </c>
      <c r="S1005">
        <v>1</v>
      </c>
      <c r="T1005">
        <v>1</v>
      </c>
      <c r="U1005">
        <v>1</v>
      </c>
      <c r="V1005">
        <v>81</v>
      </c>
      <c r="W1005">
        <v>3</v>
      </c>
      <c r="X1005">
        <v>1</v>
      </c>
      <c r="Y1005" s="1" t="s">
        <v>6</v>
      </c>
      <c r="Z1005">
        <v>4</v>
      </c>
      <c r="AA1005">
        <v>3229</v>
      </c>
      <c r="AB1005">
        <v>4910</v>
      </c>
      <c r="AC1005" s="1" t="s">
        <v>19</v>
      </c>
      <c r="AD1005">
        <v>11</v>
      </c>
      <c r="AE1005">
        <v>3</v>
      </c>
      <c r="AF1005">
        <v>2</v>
      </c>
      <c r="AG1005">
        <v>80</v>
      </c>
      <c r="AH1005">
        <v>1</v>
      </c>
      <c r="AI1005">
        <v>2</v>
      </c>
      <c r="AJ1005">
        <v>0</v>
      </c>
      <c r="AK1005" s="1" t="s">
        <v>136</v>
      </c>
    </row>
    <row r="1006" spans="1:37" x14ac:dyDescent="0.25">
      <c r="A1006">
        <v>1417</v>
      </c>
      <c r="B1006">
        <v>26</v>
      </c>
      <c r="C1006" s="1" t="s">
        <v>25</v>
      </c>
      <c r="D1006" s="1" t="s">
        <v>71</v>
      </c>
      <c r="E1006">
        <v>3</v>
      </c>
      <c r="F1006" s="1" t="s">
        <v>138</v>
      </c>
      <c r="G1006">
        <v>0</v>
      </c>
      <c r="H1006" s="1" t="s">
        <v>18</v>
      </c>
      <c r="I1006">
        <v>8</v>
      </c>
      <c r="J1006">
        <v>2</v>
      </c>
      <c r="K1006">
        <v>7</v>
      </c>
      <c r="L1006">
        <v>7</v>
      </c>
      <c r="M1006">
        <v>0</v>
      </c>
      <c r="N1006">
        <v>7</v>
      </c>
      <c r="O1006" s="1" t="s">
        <v>19</v>
      </c>
      <c r="P1006" s="1" t="s">
        <v>135</v>
      </c>
      <c r="Q1006">
        <v>652</v>
      </c>
      <c r="R1006" s="1" t="s">
        <v>63</v>
      </c>
      <c r="S1006">
        <v>7</v>
      </c>
      <c r="T1006">
        <v>1</v>
      </c>
      <c r="U1006">
        <v>3</v>
      </c>
      <c r="V1006">
        <v>100</v>
      </c>
      <c r="W1006">
        <v>4</v>
      </c>
      <c r="X1006">
        <v>1</v>
      </c>
      <c r="Y1006" s="1" t="s">
        <v>6</v>
      </c>
      <c r="Z1006">
        <v>1</v>
      </c>
      <c r="AA1006">
        <v>3578</v>
      </c>
      <c r="AB1006">
        <v>23577</v>
      </c>
      <c r="AC1006" s="1" t="s">
        <v>19</v>
      </c>
      <c r="AD1006">
        <v>12</v>
      </c>
      <c r="AE1006">
        <v>3</v>
      </c>
      <c r="AF1006">
        <v>4</v>
      </c>
      <c r="AG1006">
        <v>80</v>
      </c>
      <c r="AH1006">
        <v>0</v>
      </c>
      <c r="AI1006">
        <v>3</v>
      </c>
      <c r="AJ1006">
        <v>0</v>
      </c>
      <c r="AK1006" s="1" t="s">
        <v>136</v>
      </c>
    </row>
    <row r="1007" spans="1:37" x14ac:dyDescent="0.25">
      <c r="A1007">
        <v>1419</v>
      </c>
      <c r="B1007">
        <v>29</v>
      </c>
      <c r="C1007" s="1" t="s">
        <v>25</v>
      </c>
      <c r="D1007" s="1" t="s">
        <v>71</v>
      </c>
      <c r="E1007">
        <v>3</v>
      </c>
      <c r="F1007" s="1" t="s">
        <v>138</v>
      </c>
      <c r="G1007">
        <v>1</v>
      </c>
      <c r="H1007" s="1" t="s">
        <v>18</v>
      </c>
      <c r="I1007">
        <v>10</v>
      </c>
      <c r="J1007">
        <v>3</v>
      </c>
      <c r="K1007">
        <v>10</v>
      </c>
      <c r="L1007">
        <v>9</v>
      </c>
      <c r="M1007">
        <v>0</v>
      </c>
      <c r="N1007">
        <v>9</v>
      </c>
      <c r="O1007" s="1" t="s">
        <v>19</v>
      </c>
      <c r="P1007" s="1" t="s">
        <v>135</v>
      </c>
      <c r="Q1007">
        <v>332</v>
      </c>
      <c r="R1007" s="1" t="s">
        <v>12</v>
      </c>
      <c r="S1007">
        <v>17</v>
      </c>
      <c r="T1007">
        <v>1</v>
      </c>
      <c r="U1007">
        <v>2</v>
      </c>
      <c r="V1007">
        <v>51</v>
      </c>
      <c r="W1007">
        <v>2</v>
      </c>
      <c r="X1007">
        <v>3</v>
      </c>
      <c r="Y1007" s="1" t="s">
        <v>12</v>
      </c>
      <c r="Z1007">
        <v>1</v>
      </c>
      <c r="AA1007">
        <v>7988</v>
      </c>
      <c r="AB1007">
        <v>9769</v>
      </c>
      <c r="AC1007" s="1" t="s">
        <v>19</v>
      </c>
      <c r="AD1007">
        <v>13</v>
      </c>
      <c r="AE1007">
        <v>3</v>
      </c>
      <c r="AF1007">
        <v>1</v>
      </c>
      <c r="AG1007">
        <v>80</v>
      </c>
      <c r="AH1007">
        <v>0</v>
      </c>
      <c r="AI1007">
        <v>2</v>
      </c>
      <c r="AJ1007">
        <v>0</v>
      </c>
      <c r="AK1007" s="1" t="s">
        <v>136</v>
      </c>
    </row>
    <row r="1008" spans="1:37" x14ac:dyDescent="0.25">
      <c r="A1008">
        <v>1420</v>
      </c>
      <c r="B1008">
        <v>49</v>
      </c>
      <c r="C1008" s="1" t="s">
        <v>25</v>
      </c>
      <c r="D1008" s="1" t="s">
        <v>71</v>
      </c>
      <c r="E1008">
        <v>2</v>
      </c>
      <c r="F1008" s="1" t="s">
        <v>134</v>
      </c>
      <c r="G1008">
        <v>3</v>
      </c>
      <c r="H1008" s="1" t="s">
        <v>18</v>
      </c>
      <c r="I1008">
        <v>20</v>
      </c>
      <c r="J1008">
        <v>2</v>
      </c>
      <c r="K1008">
        <v>4</v>
      </c>
      <c r="L1008">
        <v>3</v>
      </c>
      <c r="M1008">
        <v>1</v>
      </c>
      <c r="N1008">
        <v>3</v>
      </c>
      <c r="O1008" s="1" t="s">
        <v>18</v>
      </c>
      <c r="P1008" s="1" t="s">
        <v>137</v>
      </c>
      <c r="Q1008">
        <v>1475</v>
      </c>
      <c r="R1008" s="1" t="s">
        <v>63</v>
      </c>
      <c r="S1008">
        <v>28</v>
      </c>
      <c r="T1008">
        <v>1</v>
      </c>
      <c r="U1008">
        <v>1</v>
      </c>
      <c r="V1008">
        <v>97</v>
      </c>
      <c r="W1008">
        <v>2</v>
      </c>
      <c r="X1008">
        <v>2</v>
      </c>
      <c r="Y1008" s="1" t="s">
        <v>6</v>
      </c>
      <c r="Z1008">
        <v>1</v>
      </c>
      <c r="AA1008">
        <v>4284</v>
      </c>
      <c r="AB1008">
        <v>22710</v>
      </c>
      <c r="AC1008" s="1" t="s">
        <v>19</v>
      </c>
      <c r="AD1008">
        <v>20</v>
      </c>
      <c r="AE1008">
        <v>4</v>
      </c>
      <c r="AF1008">
        <v>1</v>
      </c>
      <c r="AG1008">
        <v>80</v>
      </c>
      <c r="AH1008">
        <v>0</v>
      </c>
      <c r="AI1008">
        <v>3</v>
      </c>
      <c r="AJ1008">
        <v>1</v>
      </c>
      <c r="AK1008" s="1" t="s">
        <v>136</v>
      </c>
    </row>
    <row r="1009" spans="1:37" x14ac:dyDescent="0.25">
      <c r="A1009">
        <v>1421</v>
      </c>
      <c r="B1009">
        <v>29</v>
      </c>
      <c r="C1009" s="1" t="s">
        <v>24</v>
      </c>
      <c r="D1009" s="1" t="s">
        <v>71</v>
      </c>
      <c r="E1009">
        <v>1</v>
      </c>
      <c r="F1009" s="1" t="s">
        <v>138</v>
      </c>
      <c r="G1009">
        <v>0</v>
      </c>
      <c r="H1009" s="1" t="s">
        <v>18</v>
      </c>
      <c r="I1009">
        <v>9</v>
      </c>
      <c r="J1009">
        <v>1</v>
      </c>
      <c r="K1009">
        <v>8</v>
      </c>
      <c r="L1009">
        <v>7</v>
      </c>
      <c r="M1009">
        <v>7</v>
      </c>
      <c r="N1009">
        <v>7</v>
      </c>
      <c r="O1009" s="1" t="s">
        <v>18</v>
      </c>
      <c r="P1009" s="1" t="s">
        <v>137</v>
      </c>
      <c r="Q1009">
        <v>337</v>
      </c>
      <c r="R1009" s="1" t="s">
        <v>63</v>
      </c>
      <c r="S1009">
        <v>14</v>
      </c>
      <c r="T1009">
        <v>1</v>
      </c>
      <c r="U1009">
        <v>3</v>
      </c>
      <c r="V1009">
        <v>84</v>
      </c>
      <c r="W1009">
        <v>3</v>
      </c>
      <c r="X1009">
        <v>3</v>
      </c>
      <c r="Y1009" s="1" t="s">
        <v>8</v>
      </c>
      <c r="Z1009">
        <v>4</v>
      </c>
      <c r="AA1009">
        <v>7553</v>
      </c>
      <c r="AB1009">
        <v>22930</v>
      </c>
      <c r="AC1009" s="1" t="s">
        <v>18</v>
      </c>
      <c r="AD1009">
        <v>12</v>
      </c>
      <c r="AE1009">
        <v>3</v>
      </c>
      <c r="AF1009">
        <v>1</v>
      </c>
      <c r="AG1009">
        <v>80</v>
      </c>
      <c r="AH1009">
        <v>0</v>
      </c>
      <c r="AI1009">
        <v>3</v>
      </c>
      <c r="AJ1009">
        <v>1</v>
      </c>
      <c r="AK1009" s="1" t="s">
        <v>136</v>
      </c>
    </row>
    <row r="1010" spans="1:37" x14ac:dyDescent="0.25">
      <c r="A1010">
        <v>1422</v>
      </c>
      <c r="B1010">
        <v>54</v>
      </c>
      <c r="C1010" s="1" t="s">
        <v>24</v>
      </c>
      <c r="D1010" s="1" t="s">
        <v>71</v>
      </c>
      <c r="E1010">
        <v>3</v>
      </c>
      <c r="F1010" s="1" t="s">
        <v>139</v>
      </c>
      <c r="G1010">
        <v>6</v>
      </c>
      <c r="H1010" s="1" t="s">
        <v>18</v>
      </c>
      <c r="I1010">
        <v>29</v>
      </c>
      <c r="J1010">
        <v>3</v>
      </c>
      <c r="K1010">
        <v>20</v>
      </c>
      <c r="L1010">
        <v>7</v>
      </c>
      <c r="M1010">
        <v>12</v>
      </c>
      <c r="N1010">
        <v>7</v>
      </c>
      <c r="O1010" s="1" t="s">
        <v>19</v>
      </c>
      <c r="P1010" s="1" t="s">
        <v>135</v>
      </c>
      <c r="Q1010">
        <v>971</v>
      </c>
      <c r="R1010" s="1" t="s">
        <v>63</v>
      </c>
      <c r="S1010">
        <v>1</v>
      </c>
      <c r="T1010">
        <v>1</v>
      </c>
      <c r="U1010">
        <v>4</v>
      </c>
      <c r="V1010">
        <v>54</v>
      </c>
      <c r="W1010">
        <v>3</v>
      </c>
      <c r="X1010">
        <v>4</v>
      </c>
      <c r="Y1010" s="1" t="s">
        <v>11</v>
      </c>
      <c r="Z1010">
        <v>4</v>
      </c>
      <c r="AA1010">
        <v>17328</v>
      </c>
      <c r="AB1010">
        <v>5652</v>
      </c>
      <c r="AC1010" s="1" t="s">
        <v>19</v>
      </c>
      <c r="AD1010">
        <v>19</v>
      </c>
      <c r="AE1010">
        <v>3</v>
      </c>
      <c r="AF1010">
        <v>4</v>
      </c>
      <c r="AG1010">
        <v>80</v>
      </c>
      <c r="AH1010">
        <v>0</v>
      </c>
      <c r="AI1010">
        <v>2</v>
      </c>
      <c r="AJ1010">
        <v>0</v>
      </c>
      <c r="AK1010" s="1" t="s">
        <v>140</v>
      </c>
    </row>
    <row r="1011" spans="1:37" x14ac:dyDescent="0.25">
      <c r="A1011">
        <v>1423</v>
      </c>
      <c r="B1011">
        <v>58</v>
      </c>
      <c r="C1011" s="1" t="s">
        <v>24</v>
      </c>
      <c r="D1011" s="1" t="s">
        <v>70</v>
      </c>
      <c r="E1011">
        <v>3</v>
      </c>
      <c r="F1011" s="1" t="s">
        <v>139</v>
      </c>
      <c r="G1011">
        <v>3</v>
      </c>
      <c r="H1011" s="1" t="s">
        <v>18</v>
      </c>
      <c r="I1011">
        <v>32</v>
      </c>
      <c r="J1011">
        <v>3</v>
      </c>
      <c r="K1011">
        <v>9</v>
      </c>
      <c r="L1011">
        <v>8</v>
      </c>
      <c r="M1011">
        <v>1</v>
      </c>
      <c r="N1011">
        <v>5</v>
      </c>
      <c r="O1011" s="1" t="s">
        <v>19</v>
      </c>
      <c r="P1011" s="1" t="s">
        <v>135</v>
      </c>
      <c r="Q1011">
        <v>1055</v>
      </c>
      <c r="R1011" s="1" t="s">
        <v>63</v>
      </c>
      <c r="S1011">
        <v>1</v>
      </c>
      <c r="T1011">
        <v>1</v>
      </c>
      <c r="U1011">
        <v>4</v>
      </c>
      <c r="V1011">
        <v>76</v>
      </c>
      <c r="W1011">
        <v>3</v>
      </c>
      <c r="X1011">
        <v>5</v>
      </c>
      <c r="Y1011" s="1" t="s">
        <v>11</v>
      </c>
      <c r="Z1011">
        <v>1</v>
      </c>
      <c r="AA1011">
        <v>19701</v>
      </c>
      <c r="AB1011">
        <v>22456</v>
      </c>
      <c r="AC1011" s="1" t="s">
        <v>18</v>
      </c>
      <c r="AD1011">
        <v>21</v>
      </c>
      <c r="AE1011">
        <v>4</v>
      </c>
      <c r="AF1011">
        <v>3</v>
      </c>
      <c r="AG1011">
        <v>80</v>
      </c>
      <c r="AH1011">
        <v>1</v>
      </c>
      <c r="AI1011">
        <v>3</v>
      </c>
      <c r="AJ1011">
        <v>0</v>
      </c>
      <c r="AK1011" s="1" t="s">
        <v>140</v>
      </c>
    </row>
    <row r="1012" spans="1:37" x14ac:dyDescent="0.25">
      <c r="A1012">
        <v>1424</v>
      </c>
      <c r="B1012">
        <v>55</v>
      </c>
      <c r="C1012" s="1" t="s">
        <v>25</v>
      </c>
      <c r="D1012" s="1" t="s">
        <v>69</v>
      </c>
      <c r="E1012">
        <v>4</v>
      </c>
      <c r="F1012" s="1" t="s">
        <v>139</v>
      </c>
      <c r="G1012">
        <v>2</v>
      </c>
      <c r="H1012" s="1" t="s">
        <v>18</v>
      </c>
      <c r="I1012">
        <v>31</v>
      </c>
      <c r="J1012">
        <v>4</v>
      </c>
      <c r="K1012">
        <v>7</v>
      </c>
      <c r="L1012">
        <v>7</v>
      </c>
      <c r="M1012">
        <v>0</v>
      </c>
      <c r="N1012">
        <v>0</v>
      </c>
      <c r="O1012" s="1" t="s">
        <v>19</v>
      </c>
      <c r="P1012" s="1" t="s">
        <v>135</v>
      </c>
      <c r="Q1012">
        <v>1136</v>
      </c>
      <c r="R1012" s="1" t="s">
        <v>63</v>
      </c>
      <c r="S1012">
        <v>1</v>
      </c>
      <c r="T1012">
        <v>1</v>
      </c>
      <c r="U1012">
        <v>2</v>
      </c>
      <c r="V1012">
        <v>81</v>
      </c>
      <c r="W1012">
        <v>4</v>
      </c>
      <c r="X1012">
        <v>4</v>
      </c>
      <c r="Y1012" s="1" t="s">
        <v>11</v>
      </c>
      <c r="Z1012">
        <v>4</v>
      </c>
      <c r="AA1012">
        <v>14732</v>
      </c>
      <c r="AB1012">
        <v>12414</v>
      </c>
      <c r="AC1012" s="1" t="s">
        <v>19</v>
      </c>
      <c r="AD1012">
        <v>13</v>
      </c>
      <c r="AE1012">
        <v>3</v>
      </c>
      <c r="AF1012">
        <v>4</v>
      </c>
      <c r="AG1012">
        <v>80</v>
      </c>
      <c r="AH1012">
        <v>2</v>
      </c>
      <c r="AI1012">
        <v>4</v>
      </c>
      <c r="AJ1012">
        <v>0</v>
      </c>
      <c r="AK1012" s="1" t="s">
        <v>140</v>
      </c>
    </row>
    <row r="1013" spans="1:37" x14ac:dyDescent="0.25">
      <c r="A1013">
        <v>1425</v>
      </c>
      <c r="B1013">
        <v>36</v>
      </c>
      <c r="C1013" s="1" t="s">
        <v>24</v>
      </c>
      <c r="D1013" s="1" t="s">
        <v>71</v>
      </c>
      <c r="E1013">
        <v>4</v>
      </c>
      <c r="F1013" s="1" t="s">
        <v>142</v>
      </c>
      <c r="G1013">
        <v>3</v>
      </c>
      <c r="H1013" s="1" t="s">
        <v>18</v>
      </c>
      <c r="I1013">
        <v>15</v>
      </c>
      <c r="J1013">
        <v>3</v>
      </c>
      <c r="K1013">
        <v>5</v>
      </c>
      <c r="L1013">
        <v>4</v>
      </c>
      <c r="M1013">
        <v>0</v>
      </c>
      <c r="N1013">
        <v>1</v>
      </c>
      <c r="O1013" s="1" t="s">
        <v>19</v>
      </c>
      <c r="P1013" s="1" t="s">
        <v>135</v>
      </c>
      <c r="Q1013">
        <v>1174</v>
      </c>
      <c r="R1013" s="1" t="s">
        <v>64</v>
      </c>
      <c r="S1013">
        <v>3</v>
      </c>
      <c r="T1013">
        <v>1</v>
      </c>
      <c r="U1013">
        <v>1</v>
      </c>
      <c r="V1013">
        <v>99</v>
      </c>
      <c r="W1013">
        <v>3</v>
      </c>
      <c r="X1013">
        <v>2</v>
      </c>
      <c r="Y1013" s="1" t="s">
        <v>4</v>
      </c>
      <c r="Z1013">
        <v>2</v>
      </c>
      <c r="AA1013">
        <v>9278</v>
      </c>
      <c r="AB1013">
        <v>20763</v>
      </c>
      <c r="AC1013" s="1" t="s">
        <v>18</v>
      </c>
      <c r="AD1013">
        <v>16</v>
      </c>
      <c r="AE1013">
        <v>3</v>
      </c>
      <c r="AF1013">
        <v>4</v>
      </c>
      <c r="AG1013">
        <v>80</v>
      </c>
      <c r="AH1013">
        <v>0</v>
      </c>
      <c r="AI1013">
        <v>3</v>
      </c>
      <c r="AJ1013">
        <v>0</v>
      </c>
      <c r="AK1013" s="1" t="s">
        <v>136</v>
      </c>
    </row>
    <row r="1014" spans="1:37" x14ac:dyDescent="0.25">
      <c r="A1014">
        <v>1427</v>
      </c>
      <c r="B1014">
        <v>31</v>
      </c>
      <c r="C1014" s="1" t="s">
        <v>24</v>
      </c>
      <c r="D1014" s="1" t="s">
        <v>71</v>
      </c>
      <c r="E1014">
        <v>4</v>
      </c>
      <c r="F1014" s="1" t="s">
        <v>134</v>
      </c>
      <c r="G1014">
        <v>1</v>
      </c>
      <c r="H1014" s="1" t="s">
        <v>18</v>
      </c>
      <c r="I1014">
        <v>1</v>
      </c>
      <c r="J1014">
        <v>3</v>
      </c>
      <c r="K1014">
        <v>1</v>
      </c>
      <c r="L1014">
        <v>0</v>
      </c>
      <c r="M1014">
        <v>0</v>
      </c>
      <c r="N1014">
        <v>0</v>
      </c>
      <c r="O1014" s="1" t="s">
        <v>18</v>
      </c>
      <c r="P1014" s="1" t="s">
        <v>137</v>
      </c>
      <c r="Q1014">
        <v>667</v>
      </c>
      <c r="R1014" s="1" t="s">
        <v>64</v>
      </c>
      <c r="S1014">
        <v>1</v>
      </c>
      <c r="T1014">
        <v>1</v>
      </c>
      <c r="U1014">
        <v>2</v>
      </c>
      <c r="V1014">
        <v>50</v>
      </c>
      <c r="W1014">
        <v>1</v>
      </c>
      <c r="X1014">
        <v>1</v>
      </c>
      <c r="Y1014" s="1" t="s">
        <v>10</v>
      </c>
      <c r="Z1014">
        <v>3</v>
      </c>
      <c r="AA1014">
        <v>1359</v>
      </c>
      <c r="AB1014">
        <v>16154</v>
      </c>
      <c r="AC1014" s="1" t="s">
        <v>19</v>
      </c>
      <c r="AD1014">
        <v>12</v>
      </c>
      <c r="AE1014">
        <v>3</v>
      </c>
      <c r="AF1014">
        <v>2</v>
      </c>
      <c r="AG1014">
        <v>80</v>
      </c>
      <c r="AH1014">
        <v>0</v>
      </c>
      <c r="AI1014">
        <v>3</v>
      </c>
      <c r="AJ1014">
        <v>1</v>
      </c>
      <c r="AK1014" s="1" t="s">
        <v>136</v>
      </c>
    </row>
    <row r="1015" spans="1:37" x14ac:dyDescent="0.25">
      <c r="A1015">
        <v>1428</v>
      </c>
      <c r="B1015">
        <v>30</v>
      </c>
      <c r="C1015" s="1" t="s">
        <v>24</v>
      </c>
      <c r="D1015" s="1" t="s">
        <v>69</v>
      </c>
      <c r="E1015">
        <v>4</v>
      </c>
      <c r="F1015" s="1" t="s">
        <v>142</v>
      </c>
      <c r="G1015">
        <v>7</v>
      </c>
      <c r="H1015" s="1" t="s">
        <v>18</v>
      </c>
      <c r="I1015">
        <v>8</v>
      </c>
      <c r="J1015">
        <v>3</v>
      </c>
      <c r="K1015">
        <v>3</v>
      </c>
      <c r="L1015">
        <v>2</v>
      </c>
      <c r="M1015">
        <v>0</v>
      </c>
      <c r="N1015">
        <v>2</v>
      </c>
      <c r="O1015" s="1" t="s">
        <v>19</v>
      </c>
      <c r="P1015" s="1" t="s">
        <v>135</v>
      </c>
      <c r="Q1015">
        <v>855</v>
      </c>
      <c r="R1015" s="1" t="s">
        <v>64</v>
      </c>
      <c r="S1015">
        <v>7</v>
      </c>
      <c r="T1015">
        <v>1</v>
      </c>
      <c r="U1015">
        <v>4</v>
      </c>
      <c r="V1015">
        <v>73</v>
      </c>
      <c r="W1015">
        <v>3</v>
      </c>
      <c r="X1015">
        <v>2</v>
      </c>
      <c r="Y1015" s="1" t="s">
        <v>4</v>
      </c>
      <c r="Z1015">
        <v>1</v>
      </c>
      <c r="AA1015">
        <v>4779</v>
      </c>
      <c r="AB1015">
        <v>12761</v>
      </c>
      <c r="AC1015" s="1" t="s">
        <v>19</v>
      </c>
      <c r="AD1015">
        <v>14</v>
      </c>
      <c r="AE1015">
        <v>3</v>
      </c>
      <c r="AF1015">
        <v>2</v>
      </c>
      <c r="AG1015">
        <v>80</v>
      </c>
      <c r="AH1015">
        <v>2</v>
      </c>
      <c r="AI1015">
        <v>3</v>
      </c>
      <c r="AJ1015">
        <v>0</v>
      </c>
      <c r="AK1015" s="1" t="s">
        <v>136</v>
      </c>
    </row>
    <row r="1016" spans="1:37" x14ac:dyDescent="0.25">
      <c r="A1016">
        <v>1430</v>
      </c>
      <c r="B1016">
        <v>31</v>
      </c>
      <c r="C1016" s="1" t="s">
        <v>24</v>
      </c>
      <c r="D1016" s="1" t="s">
        <v>71</v>
      </c>
      <c r="E1016">
        <v>5</v>
      </c>
      <c r="F1016" s="1" t="s">
        <v>134</v>
      </c>
      <c r="G1016">
        <v>3</v>
      </c>
      <c r="H1016" s="1" t="s">
        <v>18</v>
      </c>
      <c r="I1016">
        <v>9</v>
      </c>
      <c r="J1016">
        <v>3</v>
      </c>
      <c r="K1016">
        <v>3</v>
      </c>
      <c r="L1016">
        <v>2</v>
      </c>
      <c r="M1016">
        <v>1</v>
      </c>
      <c r="N1016">
        <v>0</v>
      </c>
      <c r="O1016" s="1" t="s">
        <v>19</v>
      </c>
      <c r="P1016" s="1" t="s">
        <v>135</v>
      </c>
      <c r="Q1016">
        <v>182</v>
      </c>
      <c r="R1016" s="1" t="s">
        <v>63</v>
      </c>
      <c r="S1016">
        <v>8</v>
      </c>
      <c r="T1016">
        <v>1</v>
      </c>
      <c r="U1016">
        <v>1</v>
      </c>
      <c r="V1016">
        <v>93</v>
      </c>
      <c r="W1016">
        <v>3</v>
      </c>
      <c r="X1016">
        <v>4</v>
      </c>
      <c r="Y1016" s="1" t="s">
        <v>11</v>
      </c>
      <c r="Z1016">
        <v>2</v>
      </c>
      <c r="AA1016">
        <v>16422</v>
      </c>
      <c r="AB1016">
        <v>8847</v>
      </c>
      <c r="AC1016" s="1" t="s">
        <v>19</v>
      </c>
      <c r="AD1016">
        <v>11</v>
      </c>
      <c r="AE1016">
        <v>3</v>
      </c>
      <c r="AF1016">
        <v>3</v>
      </c>
      <c r="AG1016">
        <v>80</v>
      </c>
      <c r="AH1016">
        <v>0</v>
      </c>
      <c r="AI1016">
        <v>4</v>
      </c>
      <c r="AJ1016">
        <v>0</v>
      </c>
      <c r="AK1016" s="1" t="s">
        <v>136</v>
      </c>
    </row>
    <row r="1017" spans="1:37" x14ac:dyDescent="0.25">
      <c r="A1017">
        <v>1431</v>
      </c>
      <c r="B1017">
        <v>34</v>
      </c>
      <c r="C1017" s="1" t="s">
        <v>25</v>
      </c>
      <c r="D1017" s="1" t="s">
        <v>69</v>
      </c>
      <c r="E1017">
        <v>4</v>
      </c>
      <c r="F1017" s="1" t="s">
        <v>138</v>
      </c>
      <c r="G1017">
        <v>5</v>
      </c>
      <c r="H1017" s="1" t="s">
        <v>18</v>
      </c>
      <c r="I1017">
        <v>10</v>
      </c>
      <c r="J1017">
        <v>2</v>
      </c>
      <c r="K1017">
        <v>4</v>
      </c>
      <c r="L1017">
        <v>3</v>
      </c>
      <c r="M1017">
        <v>1</v>
      </c>
      <c r="N1017">
        <v>3</v>
      </c>
      <c r="O1017" s="1" t="s">
        <v>19</v>
      </c>
      <c r="P1017" s="1" t="s">
        <v>137</v>
      </c>
      <c r="Q1017">
        <v>560</v>
      </c>
      <c r="R1017" s="1" t="s">
        <v>63</v>
      </c>
      <c r="S1017">
        <v>1</v>
      </c>
      <c r="T1017">
        <v>1</v>
      </c>
      <c r="U1017">
        <v>4</v>
      </c>
      <c r="V1017">
        <v>91</v>
      </c>
      <c r="W1017">
        <v>3</v>
      </c>
      <c r="X1017">
        <v>1</v>
      </c>
      <c r="Y1017" s="1" t="s">
        <v>5</v>
      </c>
      <c r="Z1017">
        <v>1</v>
      </c>
      <c r="AA1017">
        <v>2996</v>
      </c>
      <c r="AB1017">
        <v>20284</v>
      </c>
      <c r="AC1017" s="1" t="s">
        <v>19</v>
      </c>
      <c r="AD1017">
        <v>14</v>
      </c>
      <c r="AE1017">
        <v>3</v>
      </c>
      <c r="AF1017">
        <v>3</v>
      </c>
      <c r="AG1017">
        <v>80</v>
      </c>
      <c r="AH1017">
        <v>2</v>
      </c>
      <c r="AI1017">
        <v>3</v>
      </c>
      <c r="AJ1017">
        <v>0</v>
      </c>
      <c r="AK1017" s="1" t="s">
        <v>136</v>
      </c>
    </row>
    <row r="1018" spans="1:37" x14ac:dyDescent="0.25">
      <c r="A1018">
        <v>1433</v>
      </c>
      <c r="B1018">
        <v>31</v>
      </c>
      <c r="C1018" s="1" t="s">
        <v>24</v>
      </c>
      <c r="D1018" s="1" t="s">
        <v>71</v>
      </c>
      <c r="E1018">
        <v>3</v>
      </c>
      <c r="F1018" s="1" t="s">
        <v>134</v>
      </c>
      <c r="G1018">
        <v>1</v>
      </c>
      <c r="H1018" s="1" t="s">
        <v>18</v>
      </c>
      <c r="I1018">
        <v>1</v>
      </c>
      <c r="J1018">
        <v>3</v>
      </c>
      <c r="K1018">
        <v>1</v>
      </c>
      <c r="L1018">
        <v>0</v>
      </c>
      <c r="M1018">
        <v>0</v>
      </c>
      <c r="N1018">
        <v>0</v>
      </c>
      <c r="O1018" s="1" t="s">
        <v>18</v>
      </c>
      <c r="P1018" s="1" t="s">
        <v>135</v>
      </c>
      <c r="Q1018">
        <v>202</v>
      </c>
      <c r="R1018" s="1" t="s">
        <v>63</v>
      </c>
      <c r="S1018">
        <v>8</v>
      </c>
      <c r="T1018">
        <v>1</v>
      </c>
      <c r="U1018">
        <v>1</v>
      </c>
      <c r="V1018">
        <v>34</v>
      </c>
      <c r="W1018">
        <v>2</v>
      </c>
      <c r="X1018">
        <v>1</v>
      </c>
      <c r="Y1018" s="1" t="s">
        <v>5</v>
      </c>
      <c r="Z1018">
        <v>2</v>
      </c>
      <c r="AA1018">
        <v>1261</v>
      </c>
      <c r="AB1018">
        <v>22262</v>
      </c>
      <c r="AC1018" s="1" t="s">
        <v>19</v>
      </c>
      <c r="AD1018">
        <v>12</v>
      </c>
      <c r="AE1018">
        <v>3</v>
      </c>
      <c r="AF1018">
        <v>3</v>
      </c>
      <c r="AG1018">
        <v>80</v>
      </c>
      <c r="AH1018">
        <v>0</v>
      </c>
      <c r="AI1018">
        <v>4</v>
      </c>
      <c r="AJ1018">
        <v>1</v>
      </c>
      <c r="AK1018" s="1" t="s">
        <v>136</v>
      </c>
    </row>
    <row r="1019" spans="1:37" x14ac:dyDescent="0.25">
      <c r="A1019">
        <v>1434</v>
      </c>
      <c r="B1019">
        <v>27</v>
      </c>
      <c r="C1019" s="1" t="s">
        <v>25</v>
      </c>
      <c r="D1019" s="1" t="s">
        <v>70</v>
      </c>
      <c r="E1019">
        <v>1</v>
      </c>
      <c r="F1019" s="1" t="s">
        <v>134</v>
      </c>
      <c r="G1019">
        <v>0</v>
      </c>
      <c r="H1019" s="1" t="s">
        <v>18</v>
      </c>
      <c r="I1019">
        <v>6</v>
      </c>
      <c r="J1019">
        <v>3</v>
      </c>
      <c r="K1019">
        <v>5</v>
      </c>
      <c r="L1019">
        <v>0</v>
      </c>
      <c r="M1019">
        <v>1</v>
      </c>
      <c r="N1019">
        <v>4</v>
      </c>
      <c r="O1019" s="1" t="s">
        <v>19</v>
      </c>
      <c r="P1019" s="1" t="s">
        <v>135</v>
      </c>
      <c r="Q1019">
        <v>1377</v>
      </c>
      <c r="R1019" s="1" t="s">
        <v>63</v>
      </c>
      <c r="S1019">
        <v>11</v>
      </c>
      <c r="T1019">
        <v>1</v>
      </c>
      <c r="U1019">
        <v>2</v>
      </c>
      <c r="V1019">
        <v>91</v>
      </c>
      <c r="W1019">
        <v>3</v>
      </c>
      <c r="X1019">
        <v>1</v>
      </c>
      <c r="Y1019" s="1" t="s">
        <v>6</v>
      </c>
      <c r="Z1019">
        <v>1</v>
      </c>
      <c r="AA1019">
        <v>2099</v>
      </c>
      <c r="AB1019">
        <v>7679</v>
      </c>
      <c r="AC1019" s="1" t="s">
        <v>19</v>
      </c>
      <c r="AD1019">
        <v>14</v>
      </c>
      <c r="AE1019">
        <v>3</v>
      </c>
      <c r="AF1019">
        <v>2</v>
      </c>
      <c r="AG1019">
        <v>80</v>
      </c>
      <c r="AH1019">
        <v>0</v>
      </c>
      <c r="AI1019">
        <v>4</v>
      </c>
      <c r="AJ1019">
        <v>0</v>
      </c>
      <c r="AK1019" s="1" t="s">
        <v>136</v>
      </c>
    </row>
    <row r="1020" spans="1:37" x14ac:dyDescent="0.25">
      <c r="A1020">
        <v>1435</v>
      </c>
      <c r="B1020">
        <v>36</v>
      </c>
      <c r="C1020" s="1" t="s">
        <v>25</v>
      </c>
      <c r="D1020" s="1" t="s">
        <v>71</v>
      </c>
      <c r="E1020">
        <v>4</v>
      </c>
      <c r="F1020" s="1" t="s">
        <v>134</v>
      </c>
      <c r="G1020">
        <v>1</v>
      </c>
      <c r="H1020" s="1" t="s">
        <v>18</v>
      </c>
      <c r="I1020">
        <v>10</v>
      </c>
      <c r="J1020">
        <v>2</v>
      </c>
      <c r="K1020">
        <v>10</v>
      </c>
      <c r="L1020">
        <v>4</v>
      </c>
      <c r="M1020">
        <v>1</v>
      </c>
      <c r="N1020">
        <v>8</v>
      </c>
      <c r="O1020" s="1" t="s">
        <v>19</v>
      </c>
      <c r="P1020" s="1" t="s">
        <v>135</v>
      </c>
      <c r="Q1020">
        <v>172</v>
      </c>
      <c r="R1020" s="1" t="s">
        <v>63</v>
      </c>
      <c r="S1020">
        <v>4</v>
      </c>
      <c r="T1020">
        <v>1</v>
      </c>
      <c r="U1020">
        <v>1</v>
      </c>
      <c r="V1020">
        <v>37</v>
      </c>
      <c r="W1020">
        <v>2</v>
      </c>
      <c r="X1020">
        <v>2</v>
      </c>
      <c r="Y1020" s="1" t="s">
        <v>6</v>
      </c>
      <c r="Z1020">
        <v>4</v>
      </c>
      <c r="AA1020">
        <v>5810</v>
      </c>
      <c r="AB1020">
        <v>22604</v>
      </c>
      <c r="AC1020" s="1" t="s">
        <v>19</v>
      </c>
      <c r="AD1020">
        <v>16</v>
      </c>
      <c r="AE1020">
        <v>3</v>
      </c>
      <c r="AF1020">
        <v>3</v>
      </c>
      <c r="AG1020">
        <v>80</v>
      </c>
      <c r="AH1020">
        <v>0</v>
      </c>
      <c r="AI1020">
        <v>2</v>
      </c>
      <c r="AJ1020">
        <v>0</v>
      </c>
      <c r="AK1020" s="1" t="s">
        <v>136</v>
      </c>
    </row>
    <row r="1021" spans="1:37" x14ac:dyDescent="0.25">
      <c r="A1021">
        <v>1436</v>
      </c>
      <c r="B1021">
        <v>36</v>
      </c>
      <c r="C1021" s="1" t="s">
        <v>24</v>
      </c>
      <c r="D1021" s="1" t="s">
        <v>70</v>
      </c>
      <c r="E1021">
        <v>4</v>
      </c>
      <c r="F1021" s="1" t="s">
        <v>142</v>
      </c>
      <c r="G1021">
        <v>4</v>
      </c>
      <c r="H1021" s="1" t="s">
        <v>18</v>
      </c>
      <c r="I1021">
        <v>11</v>
      </c>
      <c r="J1021">
        <v>3</v>
      </c>
      <c r="K1021">
        <v>3</v>
      </c>
      <c r="L1021">
        <v>2</v>
      </c>
      <c r="M1021">
        <v>0</v>
      </c>
      <c r="N1021">
        <v>2</v>
      </c>
      <c r="O1021" s="1" t="s">
        <v>19</v>
      </c>
      <c r="P1021" s="1" t="s">
        <v>135</v>
      </c>
      <c r="Q1021">
        <v>329</v>
      </c>
      <c r="R1021" s="1" t="s">
        <v>64</v>
      </c>
      <c r="S1021">
        <v>16</v>
      </c>
      <c r="T1021">
        <v>1</v>
      </c>
      <c r="U1021">
        <v>3</v>
      </c>
      <c r="V1021">
        <v>98</v>
      </c>
      <c r="W1021">
        <v>2</v>
      </c>
      <c r="X1021">
        <v>2</v>
      </c>
      <c r="Y1021" s="1" t="s">
        <v>4</v>
      </c>
      <c r="Z1021">
        <v>1</v>
      </c>
      <c r="AA1021">
        <v>5647</v>
      </c>
      <c r="AB1021">
        <v>13494</v>
      </c>
      <c r="AC1021" s="1" t="s">
        <v>19</v>
      </c>
      <c r="AD1021">
        <v>13</v>
      </c>
      <c r="AE1021">
        <v>3</v>
      </c>
      <c r="AF1021">
        <v>1</v>
      </c>
      <c r="AG1021">
        <v>80</v>
      </c>
      <c r="AH1021">
        <v>2</v>
      </c>
      <c r="AI1021">
        <v>2</v>
      </c>
      <c r="AJ1021">
        <v>0</v>
      </c>
      <c r="AK1021" s="1" t="s">
        <v>136</v>
      </c>
    </row>
    <row r="1022" spans="1:37" x14ac:dyDescent="0.25">
      <c r="A1022">
        <v>1438</v>
      </c>
      <c r="B1022">
        <v>47</v>
      </c>
      <c r="C1022" s="1" t="s">
        <v>25</v>
      </c>
      <c r="D1022" s="1" t="s">
        <v>70</v>
      </c>
      <c r="E1022">
        <v>3</v>
      </c>
      <c r="F1022" s="1" t="s">
        <v>143</v>
      </c>
      <c r="G1022">
        <v>7</v>
      </c>
      <c r="H1022" s="1" t="s">
        <v>18</v>
      </c>
      <c r="I1022">
        <v>17</v>
      </c>
      <c r="J1022">
        <v>2</v>
      </c>
      <c r="K1022">
        <v>6</v>
      </c>
      <c r="L1022">
        <v>5</v>
      </c>
      <c r="M1022">
        <v>1</v>
      </c>
      <c r="N1022">
        <v>2</v>
      </c>
      <c r="O1022" s="1" t="s">
        <v>19</v>
      </c>
      <c r="P1022" s="1" t="s">
        <v>135</v>
      </c>
      <c r="Q1022">
        <v>465</v>
      </c>
      <c r="R1022" s="1" t="s">
        <v>63</v>
      </c>
      <c r="S1022">
        <v>1</v>
      </c>
      <c r="T1022">
        <v>1</v>
      </c>
      <c r="U1022">
        <v>1</v>
      </c>
      <c r="V1022">
        <v>74</v>
      </c>
      <c r="W1022">
        <v>3</v>
      </c>
      <c r="X1022">
        <v>1</v>
      </c>
      <c r="Y1022" s="1" t="s">
        <v>5</v>
      </c>
      <c r="Z1022">
        <v>4</v>
      </c>
      <c r="AA1022">
        <v>3420</v>
      </c>
      <c r="AB1022">
        <v>10205</v>
      </c>
      <c r="AC1022" s="1" t="s">
        <v>19</v>
      </c>
      <c r="AD1022">
        <v>12</v>
      </c>
      <c r="AE1022">
        <v>3</v>
      </c>
      <c r="AF1022">
        <v>3</v>
      </c>
      <c r="AG1022">
        <v>80</v>
      </c>
      <c r="AH1022">
        <v>1</v>
      </c>
      <c r="AI1022">
        <v>2</v>
      </c>
      <c r="AJ1022">
        <v>0</v>
      </c>
      <c r="AK1022" s="1" t="s">
        <v>136</v>
      </c>
    </row>
    <row r="1023" spans="1:37" x14ac:dyDescent="0.25">
      <c r="A1023">
        <v>1439</v>
      </c>
      <c r="B1023">
        <v>25</v>
      </c>
      <c r="C1023" s="1" t="s">
        <v>25</v>
      </c>
      <c r="D1023" s="1" t="s">
        <v>70</v>
      </c>
      <c r="E1023">
        <v>2</v>
      </c>
      <c r="F1023" s="1" t="s">
        <v>134</v>
      </c>
      <c r="G1023">
        <v>3</v>
      </c>
      <c r="H1023" s="1" t="s">
        <v>18</v>
      </c>
      <c r="I1023">
        <v>6</v>
      </c>
      <c r="J1023">
        <v>2</v>
      </c>
      <c r="K1023">
        <v>3</v>
      </c>
      <c r="L1023">
        <v>2</v>
      </c>
      <c r="M1023">
        <v>2</v>
      </c>
      <c r="N1023">
        <v>2</v>
      </c>
      <c r="O1023" s="1" t="s">
        <v>18</v>
      </c>
      <c r="P1023" s="1" t="s">
        <v>135</v>
      </c>
      <c r="Q1023">
        <v>383</v>
      </c>
      <c r="R1023" s="1" t="s">
        <v>64</v>
      </c>
      <c r="S1023">
        <v>9</v>
      </c>
      <c r="T1023">
        <v>1</v>
      </c>
      <c r="U1023">
        <v>1</v>
      </c>
      <c r="V1023">
        <v>68</v>
      </c>
      <c r="W1023">
        <v>2</v>
      </c>
      <c r="X1023">
        <v>1</v>
      </c>
      <c r="Y1023" s="1" t="s">
        <v>10</v>
      </c>
      <c r="Z1023">
        <v>1</v>
      </c>
      <c r="AA1023">
        <v>4400</v>
      </c>
      <c r="AB1023">
        <v>15182</v>
      </c>
      <c r="AC1023" s="1" t="s">
        <v>19</v>
      </c>
      <c r="AD1023">
        <v>12</v>
      </c>
      <c r="AE1023">
        <v>3</v>
      </c>
      <c r="AF1023">
        <v>1</v>
      </c>
      <c r="AG1023">
        <v>80</v>
      </c>
      <c r="AH1023">
        <v>0</v>
      </c>
      <c r="AI1023">
        <v>3</v>
      </c>
      <c r="AJ1023">
        <v>1</v>
      </c>
      <c r="AK1023" s="1" t="s">
        <v>136</v>
      </c>
    </row>
    <row r="1024" spans="1:37" x14ac:dyDescent="0.25">
      <c r="A1024">
        <v>1440</v>
      </c>
      <c r="B1024">
        <v>37</v>
      </c>
      <c r="C1024" s="1" t="s">
        <v>25</v>
      </c>
      <c r="D1024" s="1" t="s">
        <v>71</v>
      </c>
      <c r="E1024">
        <v>2</v>
      </c>
      <c r="F1024" s="1" t="s">
        <v>143</v>
      </c>
      <c r="G1024">
        <v>0</v>
      </c>
      <c r="H1024" s="1" t="s">
        <v>18</v>
      </c>
      <c r="I1024">
        <v>7</v>
      </c>
      <c r="J1024">
        <v>2</v>
      </c>
      <c r="K1024">
        <v>6</v>
      </c>
      <c r="L1024">
        <v>5</v>
      </c>
      <c r="M1024">
        <v>1</v>
      </c>
      <c r="N1024">
        <v>3</v>
      </c>
      <c r="O1024" s="1" t="s">
        <v>19</v>
      </c>
      <c r="P1024" s="1" t="s">
        <v>141</v>
      </c>
      <c r="Q1024">
        <v>1413</v>
      </c>
      <c r="R1024" s="1" t="s">
        <v>63</v>
      </c>
      <c r="S1024">
        <v>5</v>
      </c>
      <c r="T1024">
        <v>1</v>
      </c>
      <c r="U1024">
        <v>3</v>
      </c>
      <c r="V1024">
        <v>84</v>
      </c>
      <c r="W1024">
        <v>4</v>
      </c>
      <c r="X1024">
        <v>1</v>
      </c>
      <c r="Y1024" s="1" t="s">
        <v>6</v>
      </c>
      <c r="Z1024">
        <v>3</v>
      </c>
      <c r="AA1024">
        <v>3500</v>
      </c>
      <c r="AB1024">
        <v>25470</v>
      </c>
      <c r="AC1024" s="1" t="s">
        <v>19</v>
      </c>
      <c r="AD1024">
        <v>14</v>
      </c>
      <c r="AE1024">
        <v>3</v>
      </c>
      <c r="AF1024">
        <v>1</v>
      </c>
      <c r="AG1024">
        <v>80</v>
      </c>
      <c r="AH1024">
        <v>0</v>
      </c>
      <c r="AI1024">
        <v>1</v>
      </c>
      <c r="AJ1024">
        <v>0</v>
      </c>
      <c r="AK1024" s="1" t="s">
        <v>136</v>
      </c>
    </row>
    <row r="1025" spans="1:37" x14ac:dyDescent="0.25">
      <c r="A1025">
        <v>1441</v>
      </c>
      <c r="B1025">
        <v>56</v>
      </c>
      <c r="C1025" s="1" t="s">
        <v>24</v>
      </c>
      <c r="D1025" s="1" t="s">
        <v>70</v>
      </c>
      <c r="E1025">
        <v>2</v>
      </c>
      <c r="F1025" s="1" t="s">
        <v>134</v>
      </c>
      <c r="G1025">
        <v>2</v>
      </c>
      <c r="H1025" s="1" t="s">
        <v>18</v>
      </c>
      <c r="I1025">
        <v>5</v>
      </c>
      <c r="J1025">
        <v>3</v>
      </c>
      <c r="K1025">
        <v>3</v>
      </c>
      <c r="L1025">
        <v>2</v>
      </c>
      <c r="M1025">
        <v>1</v>
      </c>
      <c r="N1025">
        <v>0</v>
      </c>
      <c r="O1025" s="1" t="s">
        <v>19</v>
      </c>
      <c r="P1025" s="1" t="s">
        <v>135</v>
      </c>
      <c r="Q1025">
        <v>1255</v>
      </c>
      <c r="R1025" s="1" t="s">
        <v>63</v>
      </c>
      <c r="S1025">
        <v>1</v>
      </c>
      <c r="T1025">
        <v>1</v>
      </c>
      <c r="U1025">
        <v>1</v>
      </c>
      <c r="V1025">
        <v>90</v>
      </c>
      <c r="W1025">
        <v>3</v>
      </c>
      <c r="X1025">
        <v>1</v>
      </c>
      <c r="Y1025" s="1" t="s">
        <v>5</v>
      </c>
      <c r="Z1025">
        <v>1</v>
      </c>
      <c r="AA1025">
        <v>2066</v>
      </c>
      <c r="AB1025">
        <v>10494</v>
      </c>
      <c r="AC1025" s="1" t="s">
        <v>19</v>
      </c>
      <c r="AD1025">
        <v>22</v>
      </c>
      <c r="AE1025">
        <v>4</v>
      </c>
      <c r="AF1025">
        <v>4</v>
      </c>
      <c r="AG1025">
        <v>80</v>
      </c>
      <c r="AH1025">
        <v>1</v>
      </c>
      <c r="AI1025">
        <v>4</v>
      </c>
      <c r="AJ1025">
        <v>0</v>
      </c>
      <c r="AK1025" s="1" t="s">
        <v>140</v>
      </c>
    </row>
    <row r="1026" spans="1:37" x14ac:dyDescent="0.25">
      <c r="A1026">
        <v>1443</v>
      </c>
      <c r="B1026">
        <v>47</v>
      </c>
      <c r="C1026" s="1" t="s">
        <v>24</v>
      </c>
      <c r="D1026" s="1" t="s">
        <v>70</v>
      </c>
      <c r="E1026">
        <v>4</v>
      </c>
      <c r="F1026" s="1" t="s">
        <v>139</v>
      </c>
      <c r="G1026">
        <v>3</v>
      </c>
      <c r="H1026" s="1" t="s">
        <v>18</v>
      </c>
      <c r="I1026">
        <v>26</v>
      </c>
      <c r="J1026">
        <v>2</v>
      </c>
      <c r="K1026">
        <v>20</v>
      </c>
      <c r="L1026">
        <v>17</v>
      </c>
      <c r="M1026">
        <v>5</v>
      </c>
      <c r="N1026">
        <v>6</v>
      </c>
      <c r="O1026" s="1" t="s">
        <v>19</v>
      </c>
      <c r="P1026" s="1" t="s">
        <v>135</v>
      </c>
      <c r="Q1026">
        <v>359</v>
      </c>
      <c r="R1026" s="1" t="s">
        <v>63</v>
      </c>
      <c r="S1026">
        <v>2</v>
      </c>
      <c r="T1026">
        <v>1</v>
      </c>
      <c r="U1026">
        <v>1</v>
      </c>
      <c r="V1026">
        <v>82</v>
      </c>
      <c r="W1026">
        <v>3</v>
      </c>
      <c r="X1026">
        <v>4</v>
      </c>
      <c r="Y1026" s="1" t="s">
        <v>11</v>
      </c>
      <c r="Z1026">
        <v>3</v>
      </c>
      <c r="AA1026">
        <v>17169</v>
      </c>
      <c r="AB1026">
        <v>26703</v>
      </c>
      <c r="AC1026" s="1" t="s">
        <v>19</v>
      </c>
      <c r="AD1026">
        <v>19</v>
      </c>
      <c r="AE1026">
        <v>3</v>
      </c>
      <c r="AF1026">
        <v>2</v>
      </c>
      <c r="AG1026">
        <v>80</v>
      </c>
      <c r="AH1026">
        <v>2</v>
      </c>
      <c r="AI1026">
        <v>4</v>
      </c>
      <c r="AJ1026">
        <v>0</v>
      </c>
      <c r="AK1026" s="1" t="s">
        <v>136</v>
      </c>
    </row>
    <row r="1027" spans="1:37" x14ac:dyDescent="0.25">
      <c r="A1027">
        <v>1445</v>
      </c>
      <c r="B1027">
        <v>24</v>
      </c>
      <c r="C1027" s="1" t="s">
        <v>24</v>
      </c>
      <c r="D1027" s="1" t="s">
        <v>70</v>
      </c>
      <c r="E1027">
        <v>1</v>
      </c>
      <c r="F1027" s="1" t="s">
        <v>139</v>
      </c>
      <c r="G1027">
        <v>1</v>
      </c>
      <c r="H1027" s="1" t="s">
        <v>18</v>
      </c>
      <c r="I1027">
        <v>5</v>
      </c>
      <c r="J1027">
        <v>3</v>
      </c>
      <c r="K1027">
        <v>5</v>
      </c>
      <c r="L1027">
        <v>4</v>
      </c>
      <c r="M1027">
        <v>0</v>
      </c>
      <c r="N1027">
        <v>3</v>
      </c>
      <c r="O1027" s="1" t="s">
        <v>19</v>
      </c>
      <c r="P1027" s="1" t="s">
        <v>135</v>
      </c>
      <c r="Q1027">
        <v>1476</v>
      </c>
      <c r="R1027" s="1" t="s">
        <v>64</v>
      </c>
      <c r="S1027">
        <v>4</v>
      </c>
      <c r="T1027">
        <v>1</v>
      </c>
      <c r="U1027">
        <v>4</v>
      </c>
      <c r="V1027">
        <v>42</v>
      </c>
      <c r="W1027">
        <v>3</v>
      </c>
      <c r="X1027">
        <v>2</v>
      </c>
      <c r="Y1027" s="1" t="s">
        <v>4</v>
      </c>
      <c r="Z1027">
        <v>3</v>
      </c>
      <c r="AA1027">
        <v>4162</v>
      </c>
      <c r="AB1027">
        <v>15211</v>
      </c>
      <c r="AC1027" s="1" t="s">
        <v>18</v>
      </c>
      <c r="AD1027">
        <v>12</v>
      </c>
      <c r="AE1027">
        <v>3</v>
      </c>
      <c r="AF1027">
        <v>3</v>
      </c>
      <c r="AG1027">
        <v>80</v>
      </c>
      <c r="AH1027">
        <v>2</v>
      </c>
      <c r="AI1027">
        <v>3</v>
      </c>
      <c r="AJ1027">
        <v>0</v>
      </c>
      <c r="AK1027" s="1" t="s">
        <v>136</v>
      </c>
    </row>
    <row r="1028" spans="1:37" x14ac:dyDescent="0.25">
      <c r="A1028">
        <v>1446</v>
      </c>
      <c r="B1028">
        <v>32</v>
      </c>
      <c r="C1028" s="1" t="s">
        <v>25</v>
      </c>
      <c r="D1028" s="1" t="s">
        <v>70</v>
      </c>
      <c r="E1028">
        <v>5</v>
      </c>
      <c r="F1028" s="1" t="s">
        <v>142</v>
      </c>
      <c r="G1028">
        <v>4</v>
      </c>
      <c r="H1028" s="1" t="s">
        <v>18</v>
      </c>
      <c r="I1028">
        <v>7</v>
      </c>
      <c r="J1028">
        <v>3</v>
      </c>
      <c r="K1028">
        <v>4</v>
      </c>
      <c r="L1028">
        <v>3</v>
      </c>
      <c r="M1028">
        <v>0</v>
      </c>
      <c r="N1028">
        <v>3</v>
      </c>
      <c r="O1028" s="1" t="s">
        <v>19</v>
      </c>
      <c r="P1028" s="1" t="s">
        <v>135</v>
      </c>
      <c r="Q1028">
        <v>601</v>
      </c>
      <c r="R1028" s="1" t="s">
        <v>64</v>
      </c>
      <c r="S1028">
        <v>7</v>
      </c>
      <c r="T1028">
        <v>1</v>
      </c>
      <c r="U1028">
        <v>4</v>
      </c>
      <c r="V1028">
        <v>97</v>
      </c>
      <c r="W1028">
        <v>3</v>
      </c>
      <c r="X1028">
        <v>2</v>
      </c>
      <c r="Y1028" s="1" t="s">
        <v>4</v>
      </c>
      <c r="Z1028">
        <v>4</v>
      </c>
      <c r="AA1028">
        <v>9204</v>
      </c>
      <c r="AB1028">
        <v>23343</v>
      </c>
      <c r="AC1028" s="1" t="s">
        <v>19</v>
      </c>
      <c r="AD1028">
        <v>12</v>
      </c>
      <c r="AE1028">
        <v>3</v>
      </c>
      <c r="AF1028">
        <v>3</v>
      </c>
      <c r="AG1028">
        <v>80</v>
      </c>
      <c r="AH1028">
        <v>1</v>
      </c>
      <c r="AI1028">
        <v>2</v>
      </c>
      <c r="AJ1028">
        <v>0</v>
      </c>
      <c r="AK1028" s="1" t="s">
        <v>136</v>
      </c>
    </row>
    <row r="1029" spans="1:37" x14ac:dyDescent="0.25">
      <c r="A1029">
        <v>1447</v>
      </c>
      <c r="B1029">
        <v>34</v>
      </c>
      <c r="C1029" s="1" t="s">
        <v>24</v>
      </c>
      <c r="D1029" s="1" t="s">
        <v>70</v>
      </c>
      <c r="E1029">
        <v>3</v>
      </c>
      <c r="F1029" s="1" t="s">
        <v>134</v>
      </c>
      <c r="G1029">
        <v>5</v>
      </c>
      <c r="H1029" s="1" t="s">
        <v>18</v>
      </c>
      <c r="I1029">
        <v>7</v>
      </c>
      <c r="J1029">
        <v>2</v>
      </c>
      <c r="K1029">
        <v>5</v>
      </c>
      <c r="L1029">
        <v>4</v>
      </c>
      <c r="M1029">
        <v>0</v>
      </c>
      <c r="N1029">
        <v>2</v>
      </c>
      <c r="O1029" s="1" t="s">
        <v>19</v>
      </c>
      <c r="P1029" s="1" t="s">
        <v>135</v>
      </c>
      <c r="Q1029">
        <v>401</v>
      </c>
      <c r="R1029" s="1" t="s">
        <v>63</v>
      </c>
      <c r="S1029">
        <v>1</v>
      </c>
      <c r="T1029">
        <v>1</v>
      </c>
      <c r="U1029">
        <v>4</v>
      </c>
      <c r="V1029">
        <v>86</v>
      </c>
      <c r="W1029">
        <v>2</v>
      </c>
      <c r="X1029">
        <v>1</v>
      </c>
      <c r="Y1029" s="1" t="s">
        <v>6</v>
      </c>
      <c r="Z1029">
        <v>2</v>
      </c>
      <c r="AA1029">
        <v>3294</v>
      </c>
      <c r="AB1029">
        <v>3708</v>
      </c>
      <c r="AC1029" s="1" t="s">
        <v>19</v>
      </c>
      <c r="AD1029">
        <v>17</v>
      </c>
      <c r="AE1029">
        <v>3</v>
      </c>
      <c r="AF1029">
        <v>1</v>
      </c>
      <c r="AG1029">
        <v>80</v>
      </c>
      <c r="AH1029">
        <v>1</v>
      </c>
      <c r="AI1029">
        <v>2</v>
      </c>
      <c r="AJ1029">
        <v>0</v>
      </c>
      <c r="AK1029" s="1" t="s">
        <v>136</v>
      </c>
    </row>
    <row r="1030" spans="1:37" x14ac:dyDescent="0.25">
      <c r="A1030">
        <v>1448</v>
      </c>
      <c r="B1030">
        <v>41</v>
      </c>
      <c r="C1030" s="1" t="s">
        <v>25</v>
      </c>
      <c r="D1030" s="1" t="s">
        <v>70</v>
      </c>
      <c r="E1030">
        <v>5</v>
      </c>
      <c r="F1030" s="1" t="s">
        <v>139</v>
      </c>
      <c r="G1030">
        <v>2</v>
      </c>
      <c r="H1030" s="1" t="s">
        <v>18</v>
      </c>
      <c r="I1030">
        <v>7</v>
      </c>
      <c r="J1030">
        <v>5</v>
      </c>
      <c r="K1030">
        <v>4</v>
      </c>
      <c r="L1030">
        <v>2</v>
      </c>
      <c r="M1030">
        <v>0</v>
      </c>
      <c r="N1030">
        <v>3</v>
      </c>
      <c r="O1030" s="1" t="s">
        <v>19</v>
      </c>
      <c r="P1030" s="1" t="s">
        <v>135</v>
      </c>
      <c r="Q1030">
        <v>1283</v>
      </c>
      <c r="R1030" s="1" t="s">
        <v>63</v>
      </c>
      <c r="S1030">
        <v>5</v>
      </c>
      <c r="T1030">
        <v>1</v>
      </c>
      <c r="U1030">
        <v>2</v>
      </c>
      <c r="V1030">
        <v>90</v>
      </c>
      <c r="W1030">
        <v>4</v>
      </c>
      <c r="X1030">
        <v>1</v>
      </c>
      <c r="Y1030" s="1" t="s">
        <v>5</v>
      </c>
      <c r="Z1030">
        <v>3</v>
      </c>
      <c r="AA1030">
        <v>2127</v>
      </c>
      <c r="AB1030">
        <v>5561</v>
      </c>
      <c r="AC1030" s="1" t="s">
        <v>18</v>
      </c>
      <c r="AD1030">
        <v>12</v>
      </c>
      <c r="AE1030">
        <v>3</v>
      </c>
      <c r="AF1030">
        <v>1</v>
      </c>
      <c r="AG1030">
        <v>80</v>
      </c>
      <c r="AH1030">
        <v>0</v>
      </c>
      <c r="AI1030">
        <v>2</v>
      </c>
      <c r="AJ1030">
        <v>0</v>
      </c>
      <c r="AK1030" s="1" t="s">
        <v>136</v>
      </c>
    </row>
    <row r="1031" spans="1:37" x14ac:dyDescent="0.25">
      <c r="A1031">
        <v>1449</v>
      </c>
      <c r="B1031">
        <v>40</v>
      </c>
      <c r="C1031" s="1" t="s">
        <v>25</v>
      </c>
      <c r="D1031" s="1" t="s">
        <v>69</v>
      </c>
      <c r="E1031">
        <v>4</v>
      </c>
      <c r="F1031" s="1" t="s">
        <v>138</v>
      </c>
      <c r="G1031">
        <v>3</v>
      </c>
      <c r="H1031" s="1" t="s">
        <v>18</v>
      </c>
      <c r="I1031">
        <v>11</v>
      </c>
      <c r="J1031">
        <v>2</v>
      </c>
      <c r="K1031">
        <v>8</v>
      </c>
      <c r="L1031">
        <v>7</v>
      </c>
      <c r="M1031">
        <v>0</v>
      </c>
      <c r="N1031">
        <v>7</v>
      </c>
      <c r="O1031" s="1" t="s">
        <v>19</v>
      </c>
      <c r="P1031" s="1" t="s">
        <v>141</v>
      </c>
      <c r="Q1031">
        <v>663</v>
      </c>
      <c r="R1031" s="1" t="s">
        <v>63</v>
      </c>
      <c r="S1031">
        <v>9</v>
      </c>
      <c r="T1031">
        <v>1</v>
      </c>
      <c r="U1031">
        <v>3</v>
      </c>
      <c r="V1031">
        <v>81</v>
      </c>
      <c r="W1031">
        <v>3</v>
      </c>
      <c r="X1031">
        <v>2</v>
      </c>
      <c r="Y1031" s="1" t="s">
        <v>6</v>
      </c>
      <c r="Z1031">
        <v>3</v>
      </c>
      <c r="AA1031">
        <v>3975</v>
      </c>
      <c r="AB1031">
        <v>23099</v>
      </c>
      <c r="AC1031" s="1" t="s">
        <v>19</v>
      </c>
      <c r="AD1031">
        <v>11</v>
      </c>
      <c r="AE1031">
        <v>3</v>
      </c>
      <c r="AF1031">
        <v>3</v>
      </c>
      <c r="AG1031">
        <v>80</v>
      </c>
      <c r="AH1031">
        <v>2</v>
      </c>
      <c r="AI1031">
        <v>4</v>
      </c>
      <c r="AJ1031">
        <v>0</v>
      </c>
      <c r="AK1031" s="1" t="s">
        <v>136</v>
      </c>
    </row>
    <row r="1032" spans="1:37" x14ac:dyDescent="0.25">
      <c r="A1032">
        <v>1453</v>
      </c>
      <c r="B1032">
        <v>31</v>
      </c>
      <c r="C1032" s="1" t="s">
        <v>25</v>
      </c>
      <c r="D1032" s="1" t="s">
        <v>69</v>
      </c>
      <c r="E1032">
        <v>2</v>
      </c>
      <c r="F1032" s="1" t="s">
        <v>134</v>
      </c>
      <c r="G1032">
        <v>1</v>
      </c>
      <c r="H1032" s="1" t="s">
        <v>18</v>
      </c>
      <c r="I1032">
        <v>13</v>
      </c>
      <c r="J1032">
        <v>5</v>
      </c>
      <c r="K1032">
        <v>13</v>
      </c>
      <c r="L1032">
        <v>7</v>
      </c>
      <c r="M1032">
        <v>9</v>
      </c>
      <c r="N1032">
        <v>9</v>
      </c>
      <c r="O1032" s="1" t="s">
        <v>19</v>
      </c>
      <c r="P1032" s="1" t="s">
        <v>135</v>
      </c>
      <c r="Q1032">
        <v>326</v>
      </c>
      <c r="R1032" s="1" t="s">
        <v>64</v>
      </c>
      <c r="S1032">
        <v>8</v>
      </c>
      <c r="T1032">
        <v>1</v>
      </c>
      <c r="U1032">
        <v>1</v>
      </c>
      <c r="V1032">
        <v>31</v>
      </c>
      <c r="W1032">
        <v>3</v>
      </c>
      <c r="X1032">
        <v>3</v>
      </c>
      <c r="Y1032" s="1" t="s">
        <v>4</v>
      </c>
      <c r="Z1032">
        <v>4</v>
      </c>
      <c r="AA1032">
        <v>10793</v>
      </c>
      <c r="AB1032">
        <v>8386</v>
      </c>
      <c r="AC1032" s="1" t="s">
        <v>19</v>
      </c>
      <c r="AD1032">
        <v>18</v>
      </c>
      <c r="AE1032">
        <v>3</v>
      </c>
      <c r="AF1032">
        <v>1</v>
      </c>
      <c r="AG1032">
        <v>80</v>
      </c>
      <c r="AH1032">
        <v>1</v>
      </c>
      <c r="AI1032">
        <v>3</v>
      </c>
      <c r="AJ1032">
        <v>0</v>
      </c>
      <c r="AK1032" s="1" t="s">
        <v>136</v>
      </c>
    </row>
    <row r="1033" spans="1:37" x14ac:dyDescent="0.25">
      <c r="A1033">
        <v>1457</v>
      </c>
      <c r="B1033">
        <v>46</v>
      </c>
      <c r="C1033" s="1" t="s">
        <v>25</v>
      </c>
      <c r="D1033" s="1" t="s">
        <v>69</v>
      </c>
      <c r="E1033">
        <v>3</v>
      </c>
      <c r="F1033" s="1" t="s">
        <v>142</v>
      </c>
      <c r="G1033">
        <v>4</v>
      </c>
      <c r="H1033" s="1" t="s">
        <v>18</v>
      </c>
      <c r="I1033">
        <v>28</v>
      </c>
      <c r="J1033">
        <v>1</v>
      </c>
      <c r="K1033">
        <v>7</v>
      </c>
      <c r="L1033">
        <v>7</v>
      </c>
      <c r="M1033">
        <v>4</v>
      </c>
      <c r="N1033">
        <v>3</v>
      </c>
      <c r="O1033" s="1" t="s">
        <v>18</v>
      </c>
      <c r="P1033" s="1" t="s">
        <v>135</v>
      </c>
      <c r="Q1033">
        <v>377</v>
      </c>
      <c r="R1033" s="1" t="s">
        <v>64</v>
      </c>
      <c r="S1033">
        <v>9</v>
      </c>
      <c r="T1033">
        <v>1</v>
      </c>
      <c r="U1033">
        <v>1</v>
      </c>
      <c r="V1033">
        <v>52</v>
      </c>
      <c r="W1033">
        <v>3</v>
      </c>
      <c r="X1033">
        <v>3</v>
      </c>
      <c r="Y1033" s="1" t="s">
        <v>4</v>
      </c>
      <c r="Z1033">
        <v>4</v>
      </c>
      <c r="AA1033">
        <v>10096</v>
      </c>
      <c r="AB1033">
        <v>15986</v>
      </c>
      <c r="AC1033" s="1" t="s">
        <v>19</v>
      </c>
      <c r="AD1033">
        <v>11</v>
      </c>
      <c r="AE1033">
        <v>3</v>
      </c>
      <c r="AF1033">
        <v>1</v>
      </c>
      <c r="AG1033">
        <v>80</v>
      </c>
      <c r="AH1033">
        <v>1</v>
      </c>
      <c r="AI1033">
        <v>4</v>
      </c>
      <c r="AJ1033">
        <v>1</v>
      </c>
      <c r="AK1033" s="1" t="s">
        <v>136</v>
      </c>
    </row>
    <row r="1034" spans="1:37" x14ac:dyDescent="0.25">
      <c r="A1034">
        <v>1458</v>
      </c>
      <c r="B1034">
        <v>39</v>
      </c>
      <c r="C1034" s="1" t="s">
        <v>24</v>
      </c>
      <c r="D1034" s="1" t="s">
        <v>71</v>
      </c>
      <c r="E1034">
        <v>3</v>
      </c>
      <c r="F1034" s="1" t="s">
        <v>134</v>
      </c>
      <c r="G1034">
        <v>2</v>
      </c>
      <c r="H1034" s="1" t="s">
        <v>18</v>
      </c>
      <c r="I1034">
        <v>11</v>
      </c>
      <c r="J1034">
        <v>2</v>
      </c>
      <c r="K1034">
        <v>1</v>
      </c>
      <c r="L1034">
        <v>0</v>
      </c>
      <c r="M1034">
        <v>0</v>
      </c>
      <c r="N1034">
        <v>0</v>
      </c>
      <c r="O1034" s="1" t="s">
        <v>18</v>
      </c>
      <c r="P1034" s="1" t="s">
        <v>141</v>
      </c>
      <c r="Q1034">
        <v>592</v>
      </c>
      <c r="R1034" s="1" t="s">
        <v>63</v>
      </c>
      <c r="S1034">
        <v>2</v>
      </c>
      <c r="T1034">
        <v>1</v>
      </c>
      <c r="U1034">
        <v>1</v>
      </c>
      <c r="V1034">
        <v>54</v>
      </c>
      <c r="W1034">
        <v>2</v>
      </c>
      <c r="X1034">
        <v>1</v>
      </c>
      <c r="Y1034" s="1" t="s">
        <v>6</v>
      </c>
      <c r="Z1034">
        <v>1</v>
      </c>
      <c r="AA1034">
        <v>3646</v>
      </c>
      <c r="AB1034">
        <v>17181</v>
      </c>
      <c r="AC1034" s="1" t="s">
        <v>18</v>
      </c>
      <c r="AD1034">
        <v>23</v>
      </c>
      <c r="AE1034">
        <v>4</v>
      </c>
      <c r="AF1034">
        <v>2</v>
      </c>
      <c r="AG1034">
        <v>80</v>
      </c>
      <c r="AH1034">
        <v>0</v>
      </c>
      <c r="AI1034">
        <v>4</v>
      </c>
      <c r="AJ1034">
        <v>1</v>
      </c>
      <c r="AK1034" s="1" t="s">
        <v>136</v>
      </c>
    </row>
    <row r="1035" spans="1:37" x14ac:dyDescent="0.25">
      <c r="A1035">
        <v>1459</v>
      </c>
      <c r="B1035">
        <v>31</v>
      </c>
      <c r="C1035" s="1" t="s">
        <v>24</v>
      </c>
      <c r="D1035" s="1" t="s">
        <v>71</v>
      </c>
      <c r="E1035">
        <v>5</v>
      </c>
      <c r="F1035" s="1" t="s">
        <v>134</v>
      </c>
      <c r="G1035">
        <v>1</v>
      </c>
      <c r="H1035" s="1" t="s">
        <v>18</v>
      </c>
      <c r="I1035">
        <v>10</v>
      </c>
      <c r="J1035">
        <v>2</v>
      </c>
      <c r="K1035">
        <v>10</v>
      </c>
      <c r="L1035">
        <v>8</v>
      </c>
      <c r="M1035">
        <v>4</v>
      </c>
      <c r="N1035">
        <v>7</v>
      </c>
      <c r="O1035" s="1" t="s">
        <v>18</v>
      </c>
      <c r="P1035" s="1" t="s">
        <v>137</v>
      </c>
      <c r="Q1035">
        <v>1445</v>
      </c>
      <c r="R1035" s="1" t="s">
        <v>63</v>
      </c>
      <c r="S1035">
        <v>1</v>
      </c>
      <c r="T1035">
        <v>1</v>
      </c>
      <c r="U1035">
        <v>3</v>
      </c>
      <c r="V1035">
        <v>100</v>
      </c>
      <c r="W1035">
        <v>4</v>
      </c>
      <c r="X1035">
        <v>3</v>
      </c>
      <c r="Y1035" s="1" t="s">
        <v>7</v>
      </c>
      <c r="Z1035">
        <v>2</v>
      </c>
      <c r="AA1035">
        <v>7446</v>
      </c>
      <c r="AB1035">
        <v>8931</v>
      </c>
      <c r="AC1035" s="1" t="s">
        <v>19</v>
      </c>
      <c r="AD1035">
        <v>11</v>
      </c>
      <c r="AE1035">
        <v>3</v>
      </c>
      <c r="AF1035">
        <v>1</v>
      </c>
      <c r="AG1035">
        <v>80</v>
      </c>
      <c r="AH1035">
        <v>0</v>
      </c>
      <c r="AI1035">
        <v>3</v>
      </c>
      <c r="AJ1035">
        <v>1</v>
      </c>
      <c r="AK1035" s="1" t="s">
        <v>136</v>
      </c>
    </row>
    <row r="1036" spans="1:37" x14ac:dyDescent="0.25">
      <c r="A1036">
        <v>1460</v>
      </c>
      <c r="B1036">
        <v>45</v>
      </c>
      <c r="C1036" s="1" t="s">
        <v>25</v>
      </c>
      <c r="D1036" s="1" t="s">
        <v>69</v>
      </c>
      <c r="E1036">
        <v>3</v>
      </c>
      <c r="F1036" s="1" t="s">
        <v>139</v>
      </c>
      <c r="G1036">
        <v>2</v>
      </c>
      <c r="H1036" s="1" t="s">
        <v>18</v>
      </c>
      <c r="I1036">
        <v>24</v>
      </c>
      <c r="J1036">
        <v>2</v>
      </c>
      <c r="K1036">
        <v>7</v>
      </c>
      <c r="L1036">
        <v>7</v>
      </c>
      <c r="M1036">
        <v>0</v>
      </c>
      <c r="N1036">
        <v>7</v>
      </c>
      <c r="O1036" s="1" t="s">
        <v>19</v>
      </c>
      <c r="P1036" s="1" t="s">
        <v>135</v>
      </c>
      <c r="Q1036">
        <v>1038</v>
      </c>
      <c r="R1036" s="1" t="s">
        <v>63</v>
      </c>
      <c r="S1036">
        <v>20</v>
      </c>
      <c r="T1036">
        <v>1</v>
      </c>
      <c r="U1036">
        <v>2</v>
      </c>
      <c r="V1036">
        <v>95</v>
      </c>
      <c r="W1036">
        <v>1</v>
      </c>
      <c r="X1036">
        <v>3</v>
      </c>
      <c r="Y1036" s="1" t="s">
        <v>8</v>
      </c>
      <c r="Z1036">
        <v>1</v>
      </c>
      <c r="AA1036">
        <v>10851</v>
      </c>
      <c r="AB1036">
        <v>19863</v>
      </c>
      <c r="AC1036" s="1" t="s">
        <v>18</v>
      </c>
      <c r="AD1036">
        <v>18</v>
      </c>
      <c r="AE1036">
        <v>3</v>
      </c>
      <c r="AF1036">
        <v>2</v>
      </c>
      <c r="AG1036">
        <v>80</v>
      </c>
      <c r="AH1036">
        <v>1</v>
      </c>
      <c r="AI1036">
        <v>3</v>
      </c>
      <c r="AJ1036">
        <v>0</v>
      </c>
      <c r="AK1036" s="1" t="s">
        <v>136</v>
      </c>
    </row>
    <row r="1037" spans="1:37" x14ac:dyDescent="0.25">
      <c r="A1037">
        <v>1461</v>
      </c>
      <c r="B1037">
        <v>31</v>
      </c>
      <c r="C1037" s="1" t="s">
        <v>24</v>
      </c>
      <c r="D1037" s="1" t="s">
        <v>71</v>
      </c>
      <c r="E1037">
        <v>2</v>
      </c>
      <c r="F1037" s="1" t="s">
        <v>139</v>
      </c>
      <c r="G1037">
        <v>9</v>
      </c>
      <c r="H1037" s="1" t="s">
        <v>18</v>
      </c>
      <c r="I1037">
        <v>8</v>
      </c>
      <c r="J1037">
        <v>3</v>
      </c>
      <c r="K1037">
        <v>3</v>
      </c>
      <c r="L1037">
        <v>2</v>
      </c>
      <c r="M1037">
        <v>0</v>
      </c>
      <c r="N1037">
        <v>2</v>
      </c>
      <c r="O1037" s="1" t="s">
        <v>19</v>
      </c>
      <c r="P1037" s="1" t="s">
        <v>135</v>
      </c>
      <c r="Q1037">
        <v>1398</v>
      </c>
      <c r="R1037" s="1" t="s">
        <v>12</v>
      </c>
      <c r="S1037">
        <v>8</v>
      </c>
      <c r="T1037">
        <v>1</v>
      </c>
      <c r="U1037">
        <v>4</v>
      </c>
      <c r="V1037">
        <v>96</v>
      </c>
      <c r="W1037">
        <v>4</v>
      </c>
      <c r="X1037">
        <v>1</v>
      </c>
      <c r="Y1037" s="1" t="s">
        <v>12</v>
      </c>
      <c r="Z1037">
        <v>2</v>
      </c>
      <c r="AA1037">
        <v>2109</v>
      </c>
      <c r="AB1037">
        <v>24609</v>
      </c>
      <c r="AC1037" s="1" t="s">
        <v>19</v>
      </c>
      <c r="AD1037">
        <v>18</v>
      </c>
      <c r="AE1037">
        <v>3</v>
      </c>
      <c r="AF1037">
        <v>4</v>
      </c>
      <c r="AG1037">
        <v>80</v>
      </c>
      <c r="AH1037">
        <v>0</v>
      </c>
      <c r="AI1037">
        <v>3</v>
      </c>
      <c r="AJ1037">
        <v>0</v>
      </c>
      <c r="AK1037" s="1" t="s">
        <v>136</v>
      </c>
    </row>
    <row r="1038" spans="1:37" x14ac:dyDescent="0.25">
      <c r="A1038">
        <v>1464</v>
      </c>
      <c r="B1038">
        <v>31</v>
      </c>
      <c r="C1038" s="1" t="s">
        <v>25</v>
      </c>
      <c r="D1038" s="1" t="s">
        <v>70</v>
      </c>
      <c r="E1038">
        <v>3</v>
      </c>
      <c r="F1038" s="1" t="s">
        <v>134</v>
      </c>
      <c r="G1038">
        <v>6</v>
      </c>
      <c r="H1038" s="1" t="s">
        <v>18</v>
      </c>
      <c r="I1038">
        <v>7</v>
      </c>
      <c r="J1038">
        <v>2</v>
      </c>
      <c r="K1038">
        <v>2</v>
      </c>
      <c r="L1038">
        <v>2</v>
      </c>
      <c r="M1038">
        <v>2</v>
      </c>
      <c r="N1038">
        <v>2</v>
      </c>
      <c r="O1038" s="1" t="s">
        <v>18</v>
      </c>
      <c r="P1038" s="1" t="s">
        <v>137</v>
      </c>
      <c r="Q1038">
        <v>523</v>
      </c>
      <c r="R1038" s="1" t="s">
        <v>63</v>
      </c>
      <c r="S1038">
        <v>2</v>
      </c>
      <c r="T1038">
        <v>1</v>
      </c>
      <c r="U1038">
        <v>2</v>
      </c>
      <c r="V1038">
        <v>94</v>
      </c>
      <c r="W1038">
        <v>3</v>
      </c>
      <c r="X1038">
        <v>1</v>
      </c>
      <c r="Y1038" s="1" t="s">
        <v>6</v>
      </c>
      <c r="Z1038">
        <v>4</v>
      </c>
      <c r="AA1038">
        <v>3722</v>
      </c>
      <c r="AB1038">
        <v>21081</v>
      </c>
      <c r="AC1038" s="1" t="s">
        <v>18</v>
      </c>
      <c r="AD1038">
        <v>13</v>
      </c>
      <c r="AE1038">
        <v>3</v>
      </c>
      <c r="AF1038">
        <v>3</v>
      </c>
      <c r="AG1038">
        <v>80</v>
      </c>
      <c r="AH1038">
        <v>1</v>
      </c>
      <c r="AI1038">
        <v>1</v>
      </c>
      <c r="AJ1038">
        <v>1</v>
      </c>
      <c r="AK1038" s="1" t="s">
        <v>136</v>
      </c>
    </row>
    <row r="1039" spans="1:37" x14ac:dyDescent="0.25">
      <c r="A1039">
        <v>1465</v>
      </c>
      <c r="B1039">
        <v>45</v>
      </c>
      <c r="C1039" s="1" t="s">
        <v>25</v>
      </c>
      <c r="D1039" s="1" t="s">
        <v>70</v>
      </c>
      <c r="E1039">
        <v>3</v>
      </c>
      <c r="F1039" s="1" t="s">
        <v>143</v>
      </c>
      <c r="G1039">
        <v>4</v>
      </c>
      <c r="H1039" s="1" t="s">
        <v>18</v>
      </c>
      <c r="I1039">
        <v>10</v>
      </c>
      <c r="J1039">
        <v>4</v>
      </c>
      <c r="K1039">
        <v>3</v>
      </c>
      <c r="L1039">
        <v>1</v>
      </c>
      <c r="M1039">
        <v>1</v>
      </c>
      <c r="N1039">
        <v>2</v>
      </c>
      <c r="O1039" s="1" t="s">
        <v>19</v>
      </c>
      <c r="P1039" s="1" t="s">
        <v>135</v>
      </c>
      <c r="Q1039">
        <v>1448</v>
      </c>
      <c r="R1039" s="1" t="s">
        <v>63</v>
      </c>
      <c r="S1039">
        <v>29</v>
      </c>
      <c r="T1039">
        <v>1</v>
      </c>
      <c r="U1039">
        <v>2</v>
      </c>
      <c r="V1039">
        <v>55</v>
      </c>
      <c r="W1039">
        <v>3</v>
      </c>
      <c r="X1039">
        <v>3</v>
      </c>
      <c r="Y1039" s="1" t="s">
        <v>7</v>
      </c>
      <c r="Z1039">
        <v>4</v>
      </c>
      <c r="AA1039">
        <v>9380</v>
      </c>
      <c r="AB1039">
        <v>14720</v>
      </c>
      <c r="AC1039" s="1" t="s">
        <v>18</v>
      </c>
      <c r="AD1039">
        <v>18</v>
      </c>
      <c r="AE1039">
        <v>3</v>
      </c>
      <c r="AF1039">
        <v>4</v>
      </c>
      <c r="AG1039">
        <v>80</v>
      </c>
      <c r="AH1039">
        <v>2</v>
      </c>
      <c r="AI1039">
        <v>4</v>
      </c>
      <c r="AJ1039">
        <v>0</v>
      </c>
      <c r="AK1039" s="1" t="s">
        <v>136</v>
      </c>
    </row>
    <row r="1040" spans="1:37" x14ac:dyDescent="0.25">
      <c r="A1040">
        <v>1466</v>
      </c>
      <c r="B1040">
        <v>48</v>
      </c>
      <c r="C1040" s="1" t="s">
        <v>25</v>
      </c>
      <c r="D1040" s="1" t="s">
        <v>69</v>
      </c>
      <c r="E1040">
        <v>3</v>
      </c>
      <c r="F1040" s="1" t="s">
        <v>142</v>
      </c>
      <c r="G1040">
        <v>4</v>
      </c>
      <c r="H1040" s="1" t="s">
        <v>18</v>
      </c>
      <c r="I1040">
        <v>15</v>
      </c>
      <c r="J1040">
        <v>3</v>
      </c>
      <c r="K1040">
        <v>2</v>
      </c>
      <c r="L1040">
        <v>2</v>
      </c>
      <c r="M1040">
        <v>2</v>
      </c>
      <c r="N1040">
        <v>2</v>
      </c>
      <c r="O1040" s="1" t="s">
        <v>19</v>
      </c>
      <c r="P1040" s="1" t="s">
        <v>135</v>
      </c>
      <c r="Q1040">
        <v>1221</v>
      </c>
      <c r="R1040" s="1" t="s">
        <v>64</v>
      </c>
      <c r="S1040">
        <v>7</v>
      </c>
      <c r="T1040">
        <v>1</v>
      </c>
      <c r="U1040">
        <v>3</v>
      </c>
      <c r="V1040">
        <v>96</v>
      </c>
      <c r="W1040">
        <v>3</v>
      </c>
      <c r="X1040">
        <v>2</v>
      </c>
      <c r="Y1040" s="1" t="s">
        <v>4</v>
      </c>
      <c r="Z1040">
        <v>1</v>
      </c>
      <c r="AA1040">
        <v>5486</v>
      </c>
      <c r="AB1040">
        <v>24795</v>
      </c>
      <c r="AC1040" s="1" t="s">
        <v>19</v>
      </c>
      <c r="AD1040">
        <v>11</v>
      </c>
      <c r="AE1040">
        <v>3</v>
      </c>
      <c r="AF1040">
        <v>1</v>
      </c>
      <c r="AG1040">
        <v>80</v>
      </c>
      <c r="AH1040">
        <v>3</v>
      </c>
      <c r="AI1040">
        <v>3</v>
      </c>
      <c r="AJ1040">
        <v>0</v>
      </c>
      <c r="AK1040" s="1" t="s">
        <v>136</v>
      </c>
    </row>
    <row r="1041" spans="1:37" x14ac:dyDescent="0.25">
      <c r="A1041">
        <v>1467</v>
      </c>
      <c r="B1041">
        <v>34</v>
      </c>
      <c r="C1041" s="1" t="s">
        <v>24</v>
      </c>
      <c r="D1041" s="1" t="s">
        <v>70</v>
      </c>
      <c r="E1041">
        <v>4</v>
      </c>
      <c r="F1041" s="1" t="s">
        <v>143</v>
      </c>
      <c r="G1041">
        <v>1</v>
      </c>
      <c r="H1041" s="1" t="s">
        <v>18</v>
      </c>
      <c r="I1041">
        <v>2</v>
      </c>
      <c r="J1041">
        <v>0</v>
      </c>
      <c r="K1041">
        <v>2</v>
      </c>
      <c r="L1041">
        <v>2</v>
      </c>
      <c r="M1041">
        <v>2</v>
      </c>
      <c r="N1041">
        <v>2</v>
      </c>
      <c r="O1041" s="1" t="s">
        <v>18</v>
      </c>
      <c r="P1041" s="1" t="s">
        <v>135</v>
      </c>
      <c r="Q1041">
        <v>1107</v>
      </c>
      <c r="R1041" s="1" t="s">
        <v>12</v>
      </c>
      <c r="S1041">
        <v>9</v>
      </c>
      <c r="T1041">
        <v>1</v>
      </c>
      <c r="U1041">
        <v>1</v>
      </c>
      <c r="V1041">
        <v>52</v>
      </c>
      <c r="W1041">
        <v>3</v>
      </c>
      <c r="X1041">
        <v>1</v>
      </c>
      <c r="Y1041" s="1" t="s">
        <v>12</v>
      </c>
      <c r="Z1041">
        <v>3</v>
      </c>
      <c r="AA1041">
        <v>2742</v>
      </c>
      <c r="AB1041">
        <v>3072</v>
      </c>
      <c r="AC1041" s="1" t="s">
        <v>19</v>
      </c>
      <c r="AD1041">
        <v>15</v>
      </c>
      <c r="AE1041">
        <v>3</v>
      </c>
      <c r="AF1041">
        <v>4</v>
      </c>
      <c r="AG1041">
        <v>80</v>
      </c>
      <c r="AH1041">
        <v>0</v>
      </c>
      <c r="AI1041">
        <v>3</v>
      </c>
      <c r="AJ1041">
        <v>1</v>
      </c>
      <c r="AK1041" s="1" t="s">
        <v>136</v>
      </c>
    </row>
    <row r="1042" spans="1:37" x14ac:dyDescent="0.25">
      <c r="A1042">
        <v>1468</v>
      </c>
      <c r="B1042">
        <v>40</v>
      </c>
      <c r="C1042" s="1" t="s">
        <v>25</v>
      </c>
      <c r="D1042" s="1" t="s">
        <v>69</v>
      </c>
      <c r="E1042">
        <v>1</v>
      </c>
      <c r="F1042" s="1" t="s">
        <v>139</v>
      </c>
      <c r="G1042">
        <v>2</v>
      </c>
      <c r="H1042" s="1" t="s">
        <v>18</v>
      </c>
      <c r="I1042">
        <v>16</v>
      </c>
      <c r="J1042">
        <v>5</v>
      </c>
      <c r="K1042">
        <v>9</v>
      </c>
      <c r="L1042">
        <v>8</v>
      </c>
      <c r="M1042">
        <v>4</v>
      </c>
      <c r="N1042">
        <v>8</v>
      </c>
      <c r="O1042" s="1" t="s">
        <v>19</v>
      </c>
      <c r="P1042" s="1" t="s">
        <v>141</v>
      </c>
      <c r="Q1042">
        <v>218</v>
      </c>
      <c r="R1042" s="1" t="s">
        <v>63</v>
      </c>
      <c r="S1042">
        <v>8</v>
      </c>
      <c r="T1042">
        <v>1</v>
      </c>
      <c r="U1042">
        <v>4</v>
      </c>
      <c r="V1042">
        <v>55</v>
      </c>
      <c r="W1042">
        <v>2</v>
      </c>
      <c r="X1042">
        <v>3</v>
      </c>
      <c r="Y1042" s="1" t="s">
        <v>11</v>
      </c>
      <c r="Z1042">
        <v>2</v>
      </c>
      <c r="AA1042">
        <v>13757</v>
      </c>
      <c r="AB1042">
        <v>25178</v>
      </c>
      <c r="AC1042" s="1" t="s">
        <v>19</v>
      </c>
      <c r="AD1042">
        <v>11</v>
      </c>
      <c r="AE1042">
        <v>3</v>
      </c>
      <c r="AF1042">
        <v>3</v>
      </c>
      <c r="AG1042">
        <v>80</v>
      </c>
      <c r="AH1042">
        <v>1</v>
      </c>
      <c r="AI1042">
        <v>3</v>
      </c>
      <c r="AJ1042">
        <v>0</v>
      </c>
      <c r="AK1042" s="1" t="s">
        <v>136</v>
      </c>
    </row>
    <row r="1043" spans="1:37" x14ac:dyDescent="0.25">
      <c r="A1043">
        <v>1469</v>
      </c>
      <c r="B1043">
        <v>28</v>
      </c>
      <c r="C1043" s="1" t="s">
        <v>25</v>
      </c>
      <c r="D1043" s="1" t="s">
        <v>71</v>
      </c>
      <c r="E1043">
        <v>3</v>
      </c>
      <c r="F1043" s="1" t="s">
        <v>139</v>
      </c>
      <c r="G1043">
        <v>0</v>
      </c>
      <c r="H1043" s="1" t="s">
        <v>18</v>
      </c>
      <c r="I1043">
        <v>6</v>
      </c>
      <c r="J1043">
        <v>4</v>
      </c>
      <c r="K1043">
        <v>5</v>
      </c>
      <c r="L1043">
        <v>4</v>
      </c>
      <c r="M1043">
        <v>1</v>
      </c>
      <c r="N1043">
        <v>3</v>
      </c>
      <c r="O1043" s="1" t="s">
        <v>19</v>
      </c>
      <c r="P1043" s="1" t="s">
        <v>135</v>
      </c>
      <c r="Q1043">
        <v>866</v>
      </c>
      <c r="R1043" s="1" t="s">
        <v>64</v>
      </c>
      <c r="S1043">
        <v>5</v>
      </c>
      <c r="T1043">
        <v>1</v>
      </c>
      <c r="U1043">
        <v>4</v>
      </c>
      <c r="V1043">
        <v>84</v>
      </c>
      <c r="W1043">
        <v>3</v>
      </c>
      <c r="X1043">
        <v>2</v>
      </c>
      <c r="Y1043" s="1" t="s">
        <v>4</v>
      </c>
      <c r="Z1043">
        <v>1</v>
      </c>
      <c r="AA1043">
        <v>8463</v>
      </c>
      <c r="AB1043">
        <v>23490</v>
      </c>
      <c r="AC1043" s="1" t="s">
        <v>19</v>
      </c>
      <c r="AD1043">
        <v>18</v>
      </c>
      <c r="AE1043">
        <v>3</v>
      </c>
      <c r="AF1043">
        <v>4</v>
      </c>
      <c r="AG1043">
        <v>80</v>
      </c>
      <c r="AH1043">
        <v>0</v>
      </c>
      <c r="AI1043">
        <v>3</v>
      </c>
      <c r="AJ1043">
        <v>0</v>
      </c>
      <c r="AK1043" s="1" t="s">
        <v>136</v>
      </c>
    </row>
    <row r="1044" spans="1:37" x14ac:dyDescent="0.25">
      <c r="A1044">
        <v>1471</v>
      </c>
      <c r="B1044">
        <v>44</v>
      </c>
      <c r="C1044" s="1" t="s">
        <v>25</v>
      </c>
      <c r="D1044" s="1" t="s">
        <v>71</v>
      </c>
      <c r="E1044">
        <v>3</v>
      </c>
      <c r="F1044" s="1" t="s">
        <v>134</v>
      </c>
      <c r="G1044">
        <v>3</v>
      </c>
      <c r="H1044" s="1" t="s">
        <v>18</v>
      </c>
      <c r="I1044">
        <v>7</v>
      </c>
      <c r="J1044">
        <v>5</v>
      </c>
      <c r="K1044">
        <v>5</v>
      </c>
      <c r="L1044">
        <v>2</v>
      </c>
      <c r="M1044">
        <v>0</v>
      </c>
      <c r="N1044">
        <v>3</v>
      </c>
      <c r="O1044" s="1" t="s">
        <v>19</v>
      </c>
      <c r="P1044" s="1" t="s">
        <v>141</v>
      </c>
      <c r="Q1044">
        <v>981</v>
      </c>
      <c r="R1044" s="1" t="s">
        <v>63</v>
      </c>
      <c r="S1044">
        <v>5</v>
      </c>
      <c r="T1044">
        <v>1</v>
      </c>
      <c r="U1044">
        <v>3</v>
      </c>
      <c r="V1044">
        <v>90</v>
      </c>
      <c r="W1044">
        <v>2</v>
      </c>
      <c r="X1044">
        <v>1</v>
      </c>
      <c r="Y1044" s="1" t="s">
        <v>6</v>
      </c>
      <c r="Z1044">
        <v>3</v>
      </c>
      <c r="AA1044">
        <v>3162</v>
      </c>
      <c r="AB1044">
        <v>7973</v>
      </c>
      <c r="AC1044" s="1" t="s">
        <v>19</v>
      </c>
      <c r="AD1044">
        <v>14</v>
      </c>
      <c r="AE1044">
        <v>3</v>
      </c>
      <c r="AF1044">
        <v>4</v>
      </c>
      <c r="AG1044">
        <v>80</v>
      </c>
      <c r="AH1044">
        <v>0</v>
      </c>
      <c r="AI1044">
        <v>3</v>
      </c>
      <c r="AJ1044">
        <v>0</v>
      </c>
      <c r="AK1044" s="1" t="s">
        <v>136</v>
      </c>
    </row>
    <row r="1045" spans="1:37" x14ac:dyDescent="0.25">
      <c r="A1045">
        <v>1472</v>
      </c>
      <c r="B1045">
        <v>53</v>
      </c>
      <c r="C1045" s="1" t="s">
        <v>25</v>
      </c>
      <c r="D1045" s="1" t="s">
        <v>71</v>
      </c>
      <c r="E1045">
        <v>3</v>
      </c>
      <c r="F1045" s="1" t="s">
        <v>139</v>
      </c>
      <c r="G1045">
        <v>4</v>
      </c>
      <c r="H1045" s="1" t="s">
        <v>18</v>
      </c>
      <c r="I1045">
        <v>35</v>
      </c>
      <c r="J1045">
        <v>2</v>
      </c>
      <c r="K1045">
        <v>9</v>
      </c>
      <c r="L1045">
        <v>8</v>
      </c>
      <c r="M1045">
        <v>8</v>
      </c>
      <c r="N1045">
        <v>8</v>
      </c>
      <c r="O1045" s="1" t="s">
        <v>19</v>
      </c>
      <c r="P1045" s="1" t="s">
        <v>135</v>
      </c>
      <c r="Q1045">
        <v>447</v>
      </c>
      <c r="R1045" s="1" t="s">
        <v>63</v>
      </c>
      <c r="S1045">
        <v>2</v>
      </c>
      <c r="T1045">
        <v>1</v>
      </c>
      <c r="U1045">
        <v>4</v>
      </c>
      <c r="V1045">
        <v>39</v>
      </c>
      <c r="W1045">
        <v>4</v>
      </c>
      <c r="X1045">
        <v>4</v>
      </c>
      <c r="Y1045" s="1" t="s">
        <v>11</v>
      </c>
      <c r="Z1045">
        <v>2</v>
      </c>
      <c r="AA1045">
        <v>16598</v>
      </c>
      <c r="AB1045">
        <v>19764</v>
      </c>
      <c r="AC1045" s="1" t="s">
        <v>19</v>
      </c>
      <c r="AD1045">
        <v>12</v>
      </c>
      <c r="AE1045">
        <v>3</v>
      </c>
      <c r="AF1045">
        <v>2</v>
      </c>
      <c r="AG1045">
        <v>80</v>
      </c>
      <c r="AH1045">
        <v>0</v>
      </c>
      <c r="AI1045">
        <v>2</v>
      </c>
      <c r="AJ1045">
        <v>0</v>
      </c>
      <c r="AK1045" s="1" t="s">
        <v>140</v>
      </c>
    </row>
    <row r="1046" spans="1:37" x14ac:dyDescent="0.25">
      <c r="A1046">
        <v>1473</v>
      </c>
      <c r="B1046">
        <v>49</v>
      </c>
      <c r="C1046" s="1" t="s">
        <v>25</v>
      </c>
      <c r="D1046" s="1" t="s">
        <v>70</v>
      </c>
      <c r="E1046">
        <v>4</v>
      </c>
      <c r="F1046" s="1" t="s">
        <v>143</v>
      </c>
      <c r="G1046">
        <v>2</v>
      </c>
      <c r="H1046" s="1" t="s">
        <v>18</v>
      </c>
      <c r="I1046">
        <v>20</v>
      </c>
      <c r="J1046">
        <v>0</v>
      </c>
      <c r="K1046">
        <v>3</v>
      </c>
      <c r="L1046">
        <v>2</v>
      </c>
      <c r="M1046">
        <v>1</v>
      </c>
      <c r="N1046">
        <v>2</v>
      </c>
      <c r="O1046" s="1" t="s">
        <v>19</v>
      </c>
      <c r="P1046" s="1" t="s">
        <v>135</v>
      </c>
      <c r="Q1046">
        <v>1495</v>
      </c>
      <c r="R1046" s="1" t="s">
        <v>63</v>
      </c>
      <c r="S1046">
        <v>5</v>
      </c>
      <c r="T1046">
        <v>1</v>
      </c>
      <c r="U1046">
        <v>1</v>
      </c>
      <c r="V1046">
        <v>96</v>
      </c>
      <c r="W1046">
        <v>3</v>
      </c>
      <c r="X1046">
        <v>2</v>
      </c>
      <c r="Y1046" s="1" t="s">
        <v>8</v>
      </c>
      <c r="Z1046">
        <v>3</v>
      </c>
      <c r="AA1046">
        <v>6651</v>
      </c>
      <c r="AB1046">
        <v>21534</v>
      </c>
      <c r="AC1046" s="1" t="s">
        <v>19</v>
      </c>
      <c r="AD1046">
        <v>14</v>
      </c>
      <c r="AE1046">
        <v>3</v>
      </c>
      <c r="AF1046">
        <v>2</v>
      </c>
      <c r="AG1046">
        <v>80</v>
      </c>
      <c r="AH1046">
        <v>1</v>
      </c>
      <c r="AI1046">
        <v>2</v>
      </c>
      <c r="AJ1046">
        <v>0</v>
      </c>
      <c r="AK1046" s="1" t="s">
        <v>136</v>
      </c>
    </row>
    <row r="1047" spans="1:37" x14ac:dyDescent="0.25">
      <c r="A1047">
        <v>1474</v>
      </c>
      <c r="B1047">
        <v>40</v>
      </c>
      <c r="C1047" s="1" t="s">
        <v>25</v>
      </c>
      <c r="D1047" s="1" t="s">
        <v>69</v>
      </c>
      <c r="E1047">
        <v>3</v>
      </c>
      <c r="F1047" s="1" t="s">
        <v>139</v>
      </c>
      <c r="G1047">
        <v>2</v>
      </c>
      <c r="H1047" s="1" t="s">
        <v>18</v>
      </c>
      <c r="I1047">
        <v>8</v>
      </c>
      <c r="J1047">
        <v>3</v>
      </c>
      <c r="K1047">
        <v>3</v>
      </c>
      <c r="L1047">
        <v>1</v>
      </c>
      <c r="M1047">
        <v>1</v>
      </c>
      <c r="N1047">
        <v>2</v>
      </c>
      <c r="O1047" s="1" t="s">
        <v>19</v>
      </c>
      <c r="P1047" s="1" t="s">
        <v>135</v>
      </c>
      <c r="Q1047">
        <v>896</v>
      </c>
      <c r="R1047" s="1" t="s">
        <v>63</v>
      </c>
      <c r="S1047">
        <v>2</v>
      </c>
      <c r="T1047">
        <v>1</v>
      </c>
      <c r="U1047">
        <v>3</v>
      </c>
      <c r="V1047">
        <v>68</v>
      </c>
      <c r="W1047">
        <v>3</v>
      </c>
      <c r="X1047">
        <v>1</v>
      </c>
      <c r="Y1047" s="1" t="s">
        <v>5</v>
      </c>
      <c r="Z1047">
        <v>3</v>
      </c>
      <c r="AA1047">
        <v>2345</v>
      </c>
      <c r="AB1047">
        <v>8045</v>
      </c>
      <c r="AC1047" s="1" t="s">
        <v>19</v>
      </c>
      <c r="AD1047">
        <v>14</v>
      </c>
      <c r="AE1047">
        <v>3</v>
      </c>
      <c r="AF1047">
        <v>3</v>
      </c>
      <c r="AG1047">
        <v>80</v>
      </c>
      <c r="AH1047">
        <v>1</v>
      </c>
      <c r="AI1047">
        <v>4</v>
      </c>
      <c r="AJ1047">
        <v>0</v>
      </c>
      <c r="AK1047" s="1" t="s">
        <v>136</v>
      </c>
    </row>
    <row r="1048" spans="1:37" x14ac:dyDescent="0.25">
      <c r="A1048">
        <v>1475</v>
      </c>
      <c r="B1048">
        <v>44</v>
      </c>
      <c r="C1048" s="1" t="s">
        <v>25</v>
      </c>
      <c r="D1048" s="1" t="s">
        <v>71</v>
      </c>
      <c r="E1048">
        <v>3</v>
      </c>
      <c r="F1048" s="1" t="s">
        <v>134</v>
      </c>
      <c r="G1048">
        <v>1</v>
      </c>
      <c r="H1048" s="1" t="s">
        <v>18</v>
      </c>
      <c r="I1048">
        <v>6</v>
      </c>
      <c r="J1048">
        <v>3</v>
      </c>
      <c r="K1048">
        <v>5</v>
      </c>
      <c r="L1048">
        <v>2</v>
      </c>
      <c r="M1048">
        <v>1</v>
      </c>
      <c r="N1048">
        <v>3</v>
      </c>
      <c r="O1048" s="1" t="s">
        <v>19</v>
      </c>
      <c r="P1048" s="1" t="s">
        <v>135</v>
      </c>
      <c r="Q1048">
        <v>1467</v>
      </c>
      <c r="R1048" s="1" t="s">
        <v>63</v>
      </c>
      <c r="S1048">
        <v>20</v>
      </c>
      <c r="T1048">
        <v>1</v>
      </c>
      <c r="U1048">
        <v>4</v>
      </c>
      <c r="V1048">
        <v>49</v>
      </c>
      <c r="W1048">
        <v>3</v>
      </c>
      <c r="X1048">
        <v>1</v>
      </c>
      <c r="Y1048" s="1" t="s">
        <v>5</v>
      </c>
      <c r="Z1048">
        <v>2</v>
      </c>
      <c r="AA1048">
        <v>3420</v>
      </c>
      <c r="AB1048">
        <v>21158</v>
      </c>
      <c r="AC1048" s="1" t="s">
        <v>19</v>
      </c>
      <c r="AD1048">
        <v>13</v>
      </c>
      <c r="AE1048">
        <v>3</v>
      </c>
      <c r="AF1048">
        <v>3</v>
      </c>
      <c r="AG1048">
        <v>80</v>
      </c>
      <c r="AH1048">
        <v>0</v>
      </c>
      <c r="AI1048">
        <v>2</v>
      </c>
      <c r="AJ1048">
        <v>0</v>
      </c>
      <c r="AK1048" s="1" t="s">
        <v>136</v>
      </c>
    </row>
    <row r="1049" spans="1:37" x14ac:dyDescent="0.25">
      <c r="A1049">
        <v>1477</v>
      </c>
      <c r="B1049">
        <v>33</v>
      </c>
      <c r="C1049" s="1" t="s">
        <v>25</v>
      </c>
      <c r="D1049" s="1" t="s">
        <v>70</v>
      </c>
      <c r="E1049">
        <v>3</v>
      </c>
      <c r="F1049" s="1" t="s">
        <v>139</v>
      </c>
      <c r="G1049">
        <v>0</v>
      </c>
      <c r="H1049" s="1" t="s">
        <v>18</v>
      </c>
      <c r="I1049">
        <v>5</v>
      </c>
      <c r="J1049">
        <v>2</v>
      </c>
      <c r="K1049">
        <v>4</v>
      </c>
      <c r="L1049">
        <v>3</v>
      </c>
      <c r="M1049">
        <v>0</v>
      </c>
      <c r="N1049">
        <v>3</v>
      </c>
      <c r="O1049" s="1" t="s">
        <v>19</v>
      </c>
      <c r="P1049" s="1" t="s">
        <v>137</v>
      </c>
      <c r="Q1049">
        <v>430</v>
      </c>
      <c r="R1049" s="1" t="s">
        <v>64</v>
      </c>
      <c r="S1049">
        <v>7</v>
      </c>
      <c r="T1049">
        <v>1</v>
      </c>
      <c r="U1049">
        <v>4</v>
      </c>
      <c r="V1049">
        <v>54</v>
      </c>
      <c r="W1049">
        <v>3</v>
      </c>
      <c r="X1049">
        <v>2</v>
      </c>
      <c r="Y1049" s="1" t="s">
        <v>4</v>
      </c>
      <c r="Z1049">
        <v>1</v>
      </c>
      <c r="AA1049">
        <v>4373</v>
      </c>
      <c r="AB1049">
        <v>17456</v>
      </c>
      <c r="AC1049" s="1" t="s">
        <v>19</v>
      </c>
      <c r="AD1049">
        <v>14</v>
      </c>
      <c r="AE1049">
        <v>3</v>
      </c>
      <c r="AF1049">
        <v>1</v>
      </c>
      <c r="AG1049">
        <v>80</v>
      </c>
      <c r="AH1049">
        <v>2</v>
      </c>
      <c r="AI1049">
        <v>3</v>
      </c>
      <c r="AJ1049">
        <v>0</v>
      </c>
      <c r="AK1049" s="1" t="s">
        <v>136</v>
      </c>
    </row>
    <row r="1050" spans="1:37" x14ac:dyDescent="0.25">
      <c r="A1050">
        <v>1478</v>
      </c>
      <c r="B1050">
        <v>34</v>
      </c>
      <c r="C1050" s="1" t="s">
        <v>25</v>
      </c>
      <c r="D1050" s="1" t="s">
        <v>71</v>
      </c>
      <c r="E1050">
        <v>3</v>
      </c>
      <c r="F1050" s="1" t="s">
        <v>138</v>
      </c>
      <c r="G1050">
        <v>3</v>
      </c>
      <c r="H1050" s="1" t="s">
        <v>18</v>
      </c>
      <c r="I1050">
        <v>15</v>
      </c>
      <c r="J1050">
        <v>2</v>
      </c>
      <c r="K1050">
        <v>13</v>
      </c>
      <c r="L1050">
        <v>9</v>
      </c>
      <c r="M1050">
        <v>3</v>
      </c>
      <c r="N1050">
        <v>12</v>
      </c>
      <c r="O1050" s="1" t="s">
        <v>19</v>
      </c>
      <c r="P1050" s="1" t="s">
        <v>135</v>
      </c>
      <c r="Q1050">
        <v>1326</v>
      </c>
      <c r="R1050" s="1" t="s">
        <v>64</v>
      </c>
      <c r="S1050">
        <v>3</v>
      </c>
      <c r="T1050">
        <v>1</v>
      </c>
      <c r="U1050">
        <v>4</v>
      </c>
      <c r="V1050">
        <v>81</v>
      </c>
      <c r="W1050">
        <v>1</v>
      </c>
      <c r="X1050">
        <v>2</v>
      </c>
      <c r="Y1050" s="1" t="s">
        <v>4</v>
      </c>
      <c r="Z1050">
        <v>1</v>
      </c>
      <c r="AA1050">
        <v>4759</v>
      </c>
      <c r="AB1050">
        <v>15891</v>
      </c>
      <c r="AC1050" s="1" t="s">
        <v>19</v>
      </c>
      <c r="AD1050">
        <v>18</v>
      </c>
      <c r="AE1050">
        <v>3</v>
      </c>
      <c r="AF1050">
        <v>4</v>
      </c>
      <c r="AG1050">
        <v>80</v>
      </c>
      <c r="AH1050">
        <v>0</v>
      </c>
      <c r="AI1050">
        <v>3</v>
      </c>
      <c r="AJ1050">
        <v>0</v>
      </c>
      <c r="AK1050" s="1" t="s">
        <v>136</v>
      </c>
    </row>
    <row r="1051" spans="1:37" x14ac:dyDescent="0.25">
      <c r="A1051">
        <v>1479</v>
      </c>
      <c r="B1051">
        <v>30</v>
      </c>
      <c r="C1051" s="1" t="s">
        <v>25</v>
      </c>
      <c r="D1051" s="1" t="s">
        <v>70</v>
      </c>
      <c r="E1051">
        <v>1</v>
      </c>
      <c r="F1051" s="1" t="s">
        <v>134</v>
      </c>
      <c r="G1051">
        <v>8</v>
      </c>
      <c r="H1051" s="1" t="s">
        <v>18</v>
      </c>
      <c r="I1051">
        <v>4</v>
      </c>
      <c r="J1051">
        <v>2</v>
      </c>
      <c r="K1051">
        <v>2</v>
      </c>
      <c r="L1051">
        <v>1</v>
      </c>
      <c r="M1051">
        <v>2</v>
      </c>
      <c r="N1051">
        <v>2</v>
      </c>
      <c r="O1051" s="1" t="s">
        <v>19</v>
      </c>
      <c r="P1051" s="1" t="s">
        <v>135</v>
      </c>
      <c r="Q1051">
        <v>1358</v>
      </c>
      <c r="R1051" s="1" t="s">
        <v>64</v>
      </c>
      <c r="S1051">
        <v>16</v>
      </c>
      <c r="T1051">
        <v>1</v>
      </c>
      <c r="U1051">
        <v>4</v>
      </c>
      <c r="V1051">
        <v>96</v>
      </c>
      <c r="W1051">
        <v>3</v>
      </c>
      <c r="X1051">
        <v>2</v>
      </c>
      <c r="Y1051" s="1" t="s">
        <v>4</v>
      </c>
      <c r="Z1051">
        <v>3</v>
      </c>
      <c r="AA1051">
        <v>5301</v>
      </c>
      <c r="AB1051">
        <v>2939</v>
      </c>
      <c r="AC1051" s="1" t="s">
        <v>19</v>
      </c>
      <c r="AD1051">
        <v>15</v>
      </c>
      <c r="AE1051">
        <v>3</v>
      </c>
      <c r="AF1051">
        <v>3</v>
      </c>
      <c r="AG1051">
        <v>80</v>
      </c>
      <c r="AH1051">
        <v>2</v>
      </c>
      <c r="AI1051">
        <v>2</v>
      </c>
      <c r="AJ1051">
        <v>0</v>
      </c>
      <c r="AK1051" s="1" t="s">
        <v>136</v>
      </c>
    </row>
    <row r="1052" spans="1:37" x14ac:dyDescent="0.25">
      <c r="A1052">
        <v>1480</v>
      </c>
      <c r="B1052">
        <v>42</v>
      </c>
      <c r="C1052" s="1" t="s">
        <v>24</v>
      </c>
      <c r="D1052" s="1" t="s">
        <v>71</v>
      </c>
      <c r="E1052">
        <v>2</v>
      </c>
      <c r="F1052" s="1" t="s">
        <v>139</v>
      </c>
      <c r="G1052">
        <v>1</v>
      </c>
      <c r="H1052" s="1" t="s">
        <v>18</v>
      </c>
      <c r="I1052">
        <v>12</v>
      </c>
      <c r="J1052">
        <v>3</v>
      </c>
      <c r="K1052">
        <v>12</v>
      </c>
      <c r="L1052">
        <v>9</v>
      </c>
      <c r="M1052">
        <v>5</v>
      </c>
      <c r="N1052">
        <v>8</v>
      </c>
      <c r="O1052" s="1" t="s">
        <v>19</v>
      </c>
      <c r="P1052" s="1" t="s">
        <v>137</v>
      </c>
      <c r="Q1052">
        <v>748</v>
      </c>
      <c r="R1052" s="1" t="s">
        <v>63</v>
      </c>
      <c r="S1052">
        <v>9</v>
      </c>
      <c r="T1052">
        <v>1</v>
      </c>
      <c r="U1052">
        <v>1</v>
      </c>
      <c r="V1052">
        <v>74</v>
      </c>
      <c r="W1052">
        <v>3</v>
      </c>
      <c r="X1052">
        <v>1</v>
      </c>
      <c r="Y1052" s="1" t="s">
        <v>6</v>
      </c>
      <c r="Z1052">
        <v>4</v>
      </c>
      <c r="AA1052">
        <v>3673</v>
      </c>
      <c r="AB1052">
        <v>16458</v>
      </c>
      <c r="AC1052" s="1" t="s">
        <v>19</v>
      </c>
      <c r="AD1052">
        <v>13</v>
      </c>
      <c r="AE1052">
        <v>3</v>
      </c>
      <c r="AF1052">
        <v>3</v>
      </c>
      <c r="AG1052">
        <v>80</v>
      </c>
      <c r="AH1052">
        <v>0</v>
      </c>
      <c r="AI1052">
        <v>3</v>
      </c>
      <c r="AJ1052">
        <v>0</v>
      </c>
      <c r="AK1052" s="1" t="s">
        <v>136</v>
      </c>
    </row>
    <row r="1053" spans="1:37" x14ac:dyDescent="0.25">
      <c r="A1053">
        <v>1481</v>
      </c>
      <c r="B1053">
        <v>44</v>
      </c>
      <c r="C1053" s="1" t="s">
        <v>24</v>
      </c>
      <c r="D1053" s="1" t="s">
        <v>70</v>
      </c>
      <c r="E1053">
        <v>5</v>
      </c>
      <c r="F1053" s="1" t="s">
        <v>142</v>
      </c>
      <c r="G1053">
        <v>7</v>
      </c>
      <c r="H1053" s="1" t="s">
        <v>18</v>
      </c>
      <c r="I1053">
        <v>11</v>
      </c>
      <c r="J1053">
        <v>4</v>
      </c>
      <c r="K1053">
        <v>1</v>
      </c>
      <c r="L1053">
        <v>0</v>
      </c>
      <c r="M1053">
        <v>0</v>
      </c>
      <c r="N1053">
        <v>0</v>
      </c>
      <c r="O1053" s="1" t="s">
        <v>19</v>
      </c>
      <c r="P1053" s="1" t="s">
        <v>137</v>
      </c>
      <c r="Q1053">
        <v>383</v>
      </c>
      <c r="R1053" s="1" t="s">
        <v>64</v>
      </c>
      <c r="S1053">
        <v>1</v>
      </c>
      <c r="T1053">
        <v>1</v>
      </c>
      <c r="U1053">
        <v>1</v>
      </c>
      <c r="V1053">
        <v>79</v>
      </c>
      <c r="W1053">
        <v>3</v>
      </c>
      <c r="X1053">
        <v>2</v>
      </c>
      <c r="Y1053" s="1" t="s">
        <v>4</v>
      </c>
      <c r="Z1053">
        <v>3</v>
      </c>
      <c r="AA1053">
        <v>4768</v>
      </c>
      <c r="AB1053">
        <v>9282</v>
      </c>
      <c r="AC1053" s="1" t="s">
        <v>19</v>
      </c>
      <c r="AD1053">
        <v>12</v>
      </c>
      <c r="AE1053">
        <v>3</v>
      </c>
      <c r="AF1053">
        <v>3</v>
      </c>
      <c r="AG1053">
        <v>80</v>
      </c>
      <c r="AH1053">
        <v>1</v>
      </c>
      <c r="AI1053">
        <v>2</v>
      </c>
      <c r="AJ1053">
        <v>0</v>
      </c>
      <c r="AK1053" s="1" t="s">
        <v>136</v>
      </c>
    </row>
    <row r="1054" spans="1:37" x14ac:dyDescent="0.25">
      <c r="A1054">
        <v>1482</v>
      </c>
      <c r="B1054">
        <v>30</v>
      </c>
      <c r="C1054" s="1" t="s">
        <v>25</v>
      </c>
      <c r="D1054" s="1" t="s">
        <v>69</v>
      </c>
      <c r="E1054">
        <v>3</v>
      </c>
      <c r="F1054" s="1" t="s">
        <v>143</v>
      </c>
      <c r="G1054">
        <v>1</v>
      </c>
      <c r="H1054" s="1" t="s">
        <v>18</v>
      </c>
      <c r="I1054">
        <v>1</v>
      </c>
      <c r="J1054">
        <v>2</v>
      </c>
      <c r="K1054">
        <v>1</v>
      </c>
      <c r="L1054">
        <v>0</v>
      </c>
      <c r="M1054">
        <v>0</v>
      </c>
      <c r="N1054">
        <v>0</v>
      </c>
      <c r="O1054" s="1" t="s">
        <v>19</v>
      </c>
      <c r="P1054" s="1" t="s">
        <v>141</v>
      </c>
      <c r="Q1054">
        <v>990</v>
      </c>
      <c r="R1054" s="1" t="s">
        <v>63</v>
      </c>
      <c r="S1054">
        <v>7</v>
      </c>
      <c r="T1054">
        <v>1</v>
      </c>
      <c r="U1054">
        <v>3</v>
      </c>
      <c r="V1054">
        <v>64</v>
      </c>
      <c r="W1054">
        <v>3</v>
      </c>
      <c r="X1054">
        <v>1</v>
      </c>
      <c r="Y1054" s="1" t="s">
        <v>5</v>
      </c>
      <c r="Z1054">
        <v>3</v>
      </c>
      <c r="AA1054">
        <v>1274</v>
      </c>
      <c r="AB1054">
        <v>7152</v>
      </c>
      <c r="AC1054" s="1" t="s">
        <v>19</v>
      </c>
      <c r="AD1054">
        <v>13</v>
      </c>
      <c r="AE1054">
        <v>3</v>
      </c>
      <c r="AF1054">
        <v>2</v>
      </c>
      <c r="AG1054">
        <v>80</v>
      </c>
      <c r="AH1054">
        <v>2</v>
      </c>
      <c r="AI1054">
        <v>2</v>
      </c>
      <c r="AJ1054">
        <v>0</v>
      </c>
      <c r="AK1054" s="1" t="s">
        <v>136</v>
      </c>
    </row>
    <row r="1055" spans="1:37" x14ac:dyDescent="0.25">
      <c r="A1055">
        <v>1483</v>
      </c>
      <c r="B1055">
        <v>57</v>
      </c>
      <c r="C1055" s="1" t="s">
        <v>25</v>
      </c>
      <c r="D1055" s="1" t="s">
        <v>70</v>
      </c>
      <c r="E1055">
        <v>2</v>
      </c>
      <c r="F1055" s="1" t="s">
        <v>134</v>
      </c>
      <c r="G1055">
        <v>0</v>
      </c>
      <c r="H1055" s="1" t="s">
        <v>18</v>
      </c>
      <c r="I1055">
        <v>13</v>
      </c>
      <c r="J1055">
        <v>2</v>
      </c>
      <c r="K1055">
        <v>12</v>
      </c>
      <c r="L1055">
        <v>9</v>
      </c>
      <c r="M1055">
        <v>2</v>
      </c>
      <c r="N1055">
        <v>8</v>
      </c>
      <c r="O1055" s="1" t="s">
        <v>19</v>
      </c>
      <c r="P1055" s="1" t="s">
        <v>135</v>
      </c>
      <c r="Q1055">
        <v>405</v>
      </c>
      <c r="R1055" s="1" t="s">
        <v>63</v>
      </c>
      <c r="S1055">
        <v>1</v>
      </c>
      <c r="T1055">
        <v>1</v>
      </c>
      <c r="U1055">
        <v>2</v>
      </c>
      <c r="V1055">
        <v>93</v>
      </c>
      <c r="W1055">
        <v>4</v>
      </c>
      <c r="X1055">
        <v>2</v>
      </c>
      <c r="Y1055" s="1" t="s">
        <v>5</v>
      </c>
      <c r="Z1055">
        <v>3</v>
      </c>
      <c r="AA1055">
        <v>4900</v>
      </c>
      <c r="AB1055">
        <v>2721</v>
      </c>
      <c r="AC1055" s="1" t="s">
        <v>19</v>
      </c>
      <c r="AD1055">
        <v>24</v>
      </c>
      <c r="AE1055">
        <v>4</v>
      </c>
      <c r="AF1055">
        <v>1</v>
      </c>
      <c r="AG1055">
        <v>80</v>
      </c>
      <c r="AH1055">
        <v>1</v>
      </c>
      <c r="AI1055">
        <v>2</v>
      </c>
      <c r="AJ1055">
        <v>0</v>
      </c>
      <c r="AK1055" s="1" t="s">
        <v>140</v>
      </c>
    </row>
    <row r="1056" spans="1:37" x14ac:dyDescent="0.25">
      <c r="A1056">
        <v>1484</v>
      </c>
      <c r="B1056">
        <v>49</v>
      </c>
      <c r="C1056" s="1" t="s">
        <v>25</v>
      </c>
      <c r="D1056" s="1" t="s">
        <v>69</v>
      </c>
      <c r="E1056">
        <v>4</v>
      </c>
      <c r="F1056" s="1" t="s">
        <v>134</v>
      </c>
      <c r="G1056">
        <v>3</v>
      </c>
      <c r="H1056" s="1" t="s">
        <v>18</v>
      </c>
      <c r="I1056">
        <v>29</v>
      </c>
      <c r="J1056">
        <v>3</v>
      </c>
      <c r="K1056">
        <v>8</v>
      </c>
      <c r="L1056">
        <v>7</v>
      </c>
      <c r="M1056">
        <v>0</v>
      </c>
      <c r="N1056">
        <v>7</v>
      </c>
      <c r="O1056" s="1" t="s">
        <v>19</v>
      </c>
      <c r="P1056" s="1" t="s">
        <v>135</v>
      </c>
      <c r="Q1056">
        <v>1490</v>
      </c>
      <c r="R1056" s="1" t="s">
        <v>63</v>
      </c>
      <c r="S1056">
        <v>7</v>
      </c>
      <c r="T1056">
        <v>1</v>
      </c>
      <c r="U1056">
        <v>3</v>
      </c>
      <c r="V1056">
        <v>35</v>
      </c>
      <c r="W1056">
        <v>3</v>
      </c>
      <c r="X1056">
        <v>3</v>
      </c>
      <c r="Y1056" s="1" t="s">
        <v>8</v>
      </c>
      <c r="Z1056">
        <v>2</v>
      </c>
      <c r="AA1056">
        <v>10466</v>
      </c>
      <c r="AB1056">
        <v>20948</v>
      </c>
      <c r="AC1056" s="1" t="s">
        <v>19</v>
      </c>
      <c r="AD1056">
        <v>14</v>
      </c>
      <c r="AE1056">
        <v>3</v>
      </c>
      <c r="AF1056">
        <v>2</v>
      </c>
      <c r="AG1056">
        <v>80</v>
      </c>
      <c r="AH1056">
        <v>2</v>
      </c>
      <c r="AI1056">
        <v>3</v>
      </c>
      <c r="AJ1056">
        <v>0</v>
      </c>
      <c r="AK1056" s="1" t="s">
        <v>136</v>
      </c>
    </row>
    <row r="1057" spans="1:37" x14ac:dyDescent="0.25">
      <c r="A1057">
        <v>1485</v>
      </c>
      <c r="B1057">
        <v>34</v>
      </c>
      <c r="C1057" s="1" t="s">
        <v>25</v>
      </c>
      <c r="D1057" s="1" t="s">
        <v>69</v>
      </c>
      <c r="E1057">
        <v>3</v>
      </c>
      <c r="F1057" s="1" t="s">
        <v>139</v>
      </c>
      <c r="G1057">
        <v>7</v>
      </c>
      <c r="H1057" s="1" t="s">
        <v>18</v>
      </c>
      <c r="I1057">
        <v>16</v>
      </c>
      <c r="J1057">
        <v>3</v>
      </c>
      <c r="K1057">
        <v>14</v>
      </c>
      <c r="L1057">
        <v>8</v>
      </c>
      <c r="M1057">
        <v>6</v>
      </c>
      <c r="N1057">
        <v>9</v>
      </c>
      <c r="O1057" s="1" t="s">
        <v>19</v>
      </c>
      <c r="P1057" s="1" t="s">
        <v>137</v>
      </c>
      <c r="Q1057">
        <v>829</v>
      </c>
      <c r="R1057" s="1" t="s">
        <v>63</v>
      </c>
      <c r="S1057">
        <v>15</v>
      </c>
      <c r="T1057">
        <v>1</v>
      </c>
      <c r="U1057">
        <v>2</v>
      </c>
      <c r="V1057">
        <v>71</v>
      </c>
      <c r="W1057">
        <v>3</v>
      </c>
      <c r="X1057">
        <v>4</v>
      </c>
      <c r="Y1057" s="1" t="s">
        <v>11</v>
      </c>
      <c r="Z1057">
        <v>1</v>
      </c>
      <c r="AA1057">
        <v>17007</v>
      </c>
      <c r="AB1057">
        <v>11929</v>
      </c>
      <c r="AC1057" s="1" t="s">
        <v>19</v>
      </c>
      <c r="AD1057">
        <v>14</v>
      </c>
      <c r="AE1057">
        <v>3</v>
      </c>
      <c r="AF1057">
        <v>4</v>
      </c>
      <c r="AG1057">
        <v>80</v>
      </c>
      <c r="AH1057">
        <v>2</v>
      </c>
      <c r="AI1057">
        <v>2</v>
      </c>
      <c r="AJ1057">
        <v>0</v>
      </c>
      <c r="AK1057" s="1" t="s">
        <v>136</v>
      </c>
    </row>
    <row r="1058" spans="1:37" x14ac:dyDescent="0.25">
      <c r="A1058">
        <v>1486</v>
      </c>
      <c r="B1058">
        <v>28</v>
      </c>
      <c r="C1058" s="1" t="s">
        <v>25</v>
      </c>
      <c r="D1058" s="1" t="s">
        <v>70</v>
      </c>
      <c r="E1058">
        <v>3</v>
      </c>
      <c r="F1058" s="1" t="s">
        <v>143</v>
      </c>
      <c r="G1058">
        <v>3</v>
      </c>
      <c r="H1058" s="1" t="s">
        <v>18</v>
      </c>
      <c r="I1058">
        <v>5</v>
      </c>
      <c r="J1058">
        <v>3</v>
      </c>
      <c r="K1058">
        <v>3</v>
      </c>
      <c r="L1058">
        <v>2</v>
      </c>
      <c r="M1058">
        <v>1</v>
      </c>
      <c r="N1058">
        <v>2</v>
      </c>
      <c r="O1058" s="1" t="s">
        <v>18</v>
      </c>
      <c r="P1058" s="1" t="s">
        <v>137</v>
      </c>
      <c r="Q1058">
        <v>1496</v>
      </c>
      <c r="R1058" s="1" t="s">
        <v>64</v>
      </c>
      <c r="S1058">
        <v>1</v>
      </c>
      <c r="T1058">
        <v>1</v>
      </c>
      <c r="U1058">
        <v>1</v>
      </c>
      <c r="V1058">
        <v>92</v>
      </c>
      <c r="W1058">
        <v>3</v>
      </c>
      <c r="X1058">
        <v>1</v>
      </c>
      <c r="Y1058" s="1" t="s">
        <v>10</v>
      </c>
      <c r="Z1058">
        <v>3</v>
      </c>
      <c r="AA1058">
        <v>2909</v>
      </c>
      <c r="AB1058">
        <v>15747</v>
      </c>
      <c r="AC1058" s="1" t="s">
        <v>19</v>
      </c>
      <c r="AD1058">
        <v>15</v>
      </c>
      <c r="AE1058">
        <v>3</v>
      </c>
      <c r="AF1058">
        <v>4</v>
      </c>
      <c r="AG1058">
        <v>80</v>
      </c>
      <c r="AH1058">
        <v>1</v>
      </c>
      <c r="AI1058">
        <v>4</v>
      </c>
      <c r="AJ1058">
        <v>1</v>
      </c>
      <c r="AK1058" s="1" t="s">
        <v>136</v>
      </c>
    </row>
    <row r="1059" spans="1:37" x14ac:dyDescent="0.25">
      <c r="A1059">
        <v>1487</v>
      </c>
      <c r="B1059">
        <v>29</v>
      </c>
      <c r="C1059" s="1" t="s">
        <v>24</v>
      </c>
      <c r="D1059" s="1" t="s">
        <v>71</v>
      </c>
      <c r="E1059">
        <v>3</v>
      </c>
      <c r="F1059" s="1" t="s">
        <v>143</v>
      </c>
      <c r="G1059">
        <v>5</v>
      </c>
      <c r="H1059" s="1" t="s">
        <v>18</v>
      </c>
      <c r="I1059">
        <v>7</v>
      </c>
      <c r="J1059">
        <v>4</v>
      </c>
      <c r="K1059">
        <v>5</v>
      </c>
      <c r="L1059">
        <v>3</v>
      </c>
      <c r="M1059">
        <v>0</v>
      </c>
      <c r="N1059">
        <v>0</v>
      </c>
      <c r="O1059" s="1" t="s">
        <v>18</v>
      </c>
      <c r="P1059" s="1" t="s">
        <v>137</v>
      </c>
      <c r="Q1059">
        <v>115</v>
      </c>
      <c r="R1059" s="1" t="s">
        <v>64</v>
      </c>
      <c r="S1059">
        <v>13</v>
      </c>
      <c r="T1059">
        <v>1</v>
      </c>
      <c r="U1059">
        <v>1</v>
      </c>
      <c r="V1059">
        <v>51</v>
      </c>
      <c r="W1059">
        <v>3</v>
      </c>
      <c r="X1059">
        <v>2</v>
      </c>
      <c r="Y1059" s="1" t="s">
        <v>4</v>
      </c>
      <c r="Z1059">
        <v>2</v>
      </c>
      <c r="AA1059">
        <v>5765</v>
      </c>
      <c r="AB1059">
        <v>17485</v>
      </c>
      <c r="AC1059" s="1" t="s">
        <v>19</v>
      </c>
      <c r="AD1059">
        <v>11</v>
      </c>
      <c r="AE1059">
        <v>3</v>
      </c>
      <c r="AF1059">
        <v>1</v>
      </c>
      <c r="AG1059">
        <v>80</v>
      </c>
      <c r="AH1059">
        <v>0</v>
      </c>
      <c r="AI1059">
        <v>1</v>
      </c>
      <c r="AJ1059">
        <v>1</v>
      </c>
      <c r="AK1059" s="1" t="s">
        <v>136</v>
      </c>
    </row>
    <row r="1060" spans="1:37" x14ac:dyDescent="0.25">
      <c r="A1060">
        <v>1489</v>
      </c>
      <c r="B1060">
        <v>34</v>
      </c>
      <c r="C1060" s="1" t="s">
        <v>24</v>
      </c>
      <c r="D1060" s="1" t="s">
        <v>71</v>
      </c>
      <c r="E1060">
        <v>4</v>
      </c>
      <c r="F1060" s="1" t="s">
        <v>139</v>
      </c>
      <c r="G1060">
        <v>0</v>
      </c>
      <c r="H1060" s="1" t="s">
        <v>18</v>
      </c>
      <c r="I1060">
        <v>16</v>
      </c>
      <c r="J1060">
        <v>2</v>
      </c>
      <c r="K1060">
        <v>15</v>
      </c>
      <c r="L1060">
        <v>9</v>
      </c>
      <c r="M1060">
        <v>10</v>
      </c>
      <c r="N1060">
        <v>10</v>
      </c>
      <c r="O1060" s="1" t="s">
        <v>18</v>
      </c>
      <c r="P1060" s="1" t="s">
        <v>135</v>
      </c>
      <c r="Q1060">
        <v>790</v>
      </c>
      <c r="R1060" s="1" t="s">
        <v>64</v>
      </c>
      <c r="S1060">
        <v>24</v>
      </c>
      <c r="T1060">
        <v>1</v>
      </c>
      <c r="U1060">
        <v>1</v>
      </c>
      <c r="V1060">
        <v>40</v>
      </c>
      <c r="W1060">
        <v>2</v>
      </c>
      <c r="X1060">
        <v>2</v>
      </c>
      <c r="Y1060" s="1" t="s">
        <v>4</v>
      </c>
      <c r="Z1060">
        <v>2</v>
      </c>
      <c r="AA1060">
        <v>4599</v>
      </c>
      <c r="AB1060">
        <v>7815</v>
      </c>
      <c r="AC1060" s="1" t="s">
        <v>18</v>
      </c>
      <c r="AD1060">
        <v>23</v>
      </c>
      <c r="AE1060">
        <v>4</v>
      </c>
      <c r="AF1060">
        <v>3</v>
      </c>
      <c r="AG1060">
        <v>80</v>
      </c>
      <c r="AH1060">
        <v>0</v>
      </c>
      <c r="AI1060">
        <v>4</v>
      </c>
      <c r="AJ1060">
        <v>1</v>
      </c>
      <c r="AK1060" s="1" t="s">
        <v>136</v>
      </c>
    </row>
    <row r="1061" spans="1:37" x14ac:dyDescent="0.25">
      <c r="A1061">
        <v>1492</v>
      </c>
      <c r="B1061">
        <v>35</v>
      </c>
      <c r="C1061" s="1" t="s">
        <v>25</v>
      </c>
      <c r="D1061" s="1" t="s">
        <v>70</v>
      </c>
      <c r="E1061">
        <v>1</v>
      </c>
      <c r="F1061" s="1" t="s">
        <v>134</v>
      </c>
      <c r="G1061">
        <v>1</v>
      </c>
      <c r="H1061" s="1" t="s">
        <v>18</v>
      </c>
      <c r="I1061">
        <v>1</v>
      </c>
      <c r="J1061">
        <v>3</v>
      </c>
      <c r="K1061">
        <v>1</v>
      </c>
      <c r="L1061">
        <v>0</v>
      </c>
      <c r="M1061">
        <v>0</v>
      </c>
      <c r="N1061">
        <v>0</v>
      </c>
      <c r="O1061" s="1" t="s">
        <v>19</v>
      </c>
      <c r="P1061" s="1" t="s">
        <v>135</v>
      </c>
      <c r="Q1061">
        <v>660</v>
      </c>
      <c r="R1061" s="1" t="s">
        <v>64</v>
      </c>
      <c r="S1061">
        <v>7</v>
      </c>
      <c r="T1061">
        <v>1</v>
      </c>
      <c r="U1061">
        <v>4</v>
      </c>
      <c r="V1061">
        <v>76</v>
      </c>
      <c r="W1061">
        <v>3</v>
      </c>
      <c r="X1061">
        <v>1</v>
      </c>
      <c r="Y1061" s="1" t="s">
        <v>10</v>
      </c>
      <c r="Z1061">
        <v>3</v>
      </c>
      <c r="AA1061">
        <v>2404</v>
      </c>
      <c r="AB1061">
        <v>16192</v>
      </c>
      <c r="AC1061" s="1" t="s">
        <v>19</v>
      </c>
      <c r="AD1061">
        <v>13</v>
      </c>
      <c r="AE1061">
        <v>3</v>
      </c>
      <c r="AF1061">
        <v>1</v>
      </c>
      <c r="AG1061">
        <v>80</v>
      </c>
      <c r="AH1061">
        <v>1</v>
      </c>
      <c r="AI1061">
        <v>3</v>
      </c>
      <c r="AJ1061">
        <v>0</v>
      </c>
      <c r="AK1061" s="1" t="s">
        <v>136</v>
      </c>
    </row>
    <row r="1062" spans="1:37" x14ac:dyDescent="0.25">
      <c r="A1062">
        <v>1494</v>
      </c>
      <c r="B1062">
        <v>24</v>
      </c>
      <c r="C1062" s="1" t="s">
        <v>25</v>
      </c>
      <c r="D1062" s="1" t="s">
        <v>71</v>
      </c>
      <c r="E1062">
        <v>3</v>
      </c>
      <c r="F1062" s="1" t="s">
        <v>139</v>
      </c>
      <c r="G1062">
        <v>2</v>
      </c>
      <c r="H1062" s="1" t="s">
        <v>18</v>
      </c>
      <c r="I1062">
        <v>4</v>
      </c>
      <c r="J1062">
        <v>2</v>
      </c>
      <c r="K1062">
        <v>0</v>
      </c>
      <c r="L1062">
        <v>0</v>
      </c>
      <c r="M1062">
        <v>0</v>
      </c>
      <c r="N1062">
        <v>0</v>
      </c>
      <c r="O1062" s="1" t="s">
        <v>18</v>
      </c>
      <c r="P1062" s="1" t="s">
        <v>137</v>
      </c>
      <c r="Q1062">
        <v>381</v>
      </c>
      <c r="R1062" s="1" t="s">
        <v>63</v>
      </c>
      <c r="S1062">
        <v>9</v>
      </c>
      <c r="T1062">
        <v>1</v>
      </c>
      <c r="U1062">
        <v>2</v>
      </c>
      <c r="V1062">
        <v>89</v>
      </c>
      <c r="W1062">
        <v>3</v>
      </c>
      <c r="X1062">
        <v>1</v>
      </c>
      <c r="Y1062" s="1" t="s">
        <v>6</v>
      </c>
      <c r="Z1062">
        <v>1</v>
      </c>
      <c r="AA1062">
        <v>3172</v>
      </c>
      <c r="AB1062">
        <v>16998</v>
      </c>
      <c r="AC1062" s="1" t="s">
        <v>18</v>
      </c>
      <c r="AD1062">
        <v>11</v>
      </c>
      <c r="AE1062">
        <v>3</v>
      </c>
      <c r="AF1062">
        <v>3</v>
      </c>
      <c r="AG1062">
        <v>80</v>
      </c>
      <c r="AH1062">
        <v>0</v>
      </c>
      <c r="AI1062">
        <v>2</v>
      </c>
      <c r="AJ1062">
        <v>1</v>
      </c>
      <c r="AK1062" s="1" t="s">
        <v>136</v>
      </c>
    </row>
    <row r="1063" spans="1:37" x14ac:dyDescent="0.25">
      <c r="A1063">
        <v>1495</v>
      </c>
      <c r="B1063">
        <v>24</v>
      </c>
      <c r="C1063" s="1" t="s">
        <v>24</v>
      </c>
      <c r="D1063" s="1" t="s">
        <v>70</v>
      </c>
      <c r="E1063">
        <v>2</v>
      </c>
      <c r="F1063" s="1" t="s">
        <v>134</v>
      </c>
      <c r="G1063">
        <v>1</v>
      </c>
      <c r="H1063" s="1" t="s">
        <v>18</v>
      </c>
      <c r="I1063">
        <v>1</v>
      </c>
      <c r="J1063">
        <v>2</v>
      </c>
      <c r="K1063">
        <v>1</v>
      </c>
      <c r="L1063">
        <v>0</v>
      </c>
      <c r="M1063">
        <v>0</v>
      </c>
      <c r="N1063">
        <v>0</v>
      </c>
      <c r="O1063" s="1" t="s">
        <v>19</v>
      </c>
      <c r="P1063" s="1" t="s">
        <v>141</v>
      </c>
      <c r="Q1063">
        <v>830</v>
      </c>
      <c r="R1063" s="1" t="s">
        <v>64</v>
      </c>
      <c r="S1063">
        <v>13</v>
      </c>
      <c r="T1063">
        <v>1</v>
      </c>
      <c r="U1063">
        <v>4</v>
      </c>
      <c r="V1063">
        <v>78</v>
      </c>
      <c r="W1063">
        <v>3</v>
      </c>
      <c r="X1063">
        <v>1</v>
      </c>
      <c r="Y1063" s="1" t="s">
        <v>10</v>
      </c>
      <c r="Z1063">
        <v>2</v>
      </c>
      <c r="AA1063">
        <v>2033</v>
      </c>
      <c r="AB1063">
        <v>7103</v>
      </c>
      <c r="AC1063" s="1" t="s">
        <v>19</v>
      </c>
      <c r="AD1063">
        <v>13</v>
      </c>
      <c r="AE1063">
        <v>3</v>
      </c>
      <c r="AF1063">
        <v>3</v>
      </c>
      <c r="AG1063">
        <v>80</v>
      </c>
      <c r="AH1063">
        <v>1</v>
      </c>
      <c r="AI1063">
        <v>3</v>
      </c>
      <c r="AJ1063">
        <v>0</v>
      </c>
      <c r="AK1063" s="1" t="s">
        <v>136</v>
      </c>
    </row>
    <row r="1064" spans="1:37" x14ac:dyDescent="0.25">
      <c r="A1064">
        <v>1496</v>
      </c>
      <c r="B1064">
        <v>44</v>
      </c>
      <c r="C1064" s="1" t="s">
        <v>25</v>
      </c>
      <c r="D1064" s="1" t="s">
        <v>71</v>
      </c>
      <c r="E1064">
        <v>1</v>
      </c>
      <c r="F1064" s="1" t="s">
        <v>139</v>
      </c>
      <c r="G1064">
        <v>5</v>
      </c>
      <c r="H1064" s="1" t="s">
        <v>18</v>
      </c>
      <c r="I1064">
        <v>16</v>
      </c>
      <c r="J1064">
        <v>2</v>
      </c>
      <c r="K1064">
        <v>2</v>
      </c>
      <c r="L1064">
        <v>2</v>
      </c>
      <c r="M1064">
        <v>2</v>
      </c>
      <c r="N1064">
        <v>2</v>
      </c>
      <c r="O1064" s="1" t="s">
        <v>19</v>
      </c>
      <c r="P1064" s="1" t="s">
        <v>137</v>
      </c>
      <c r="Q1064">
        <v>1193</v>
      </c>
      <c r="R1064" s="1" t="s">
        <v>63</v>
      </c>
      <c r="S1064">
        <v>2</v>
      </c>
      <c r="T1064">
        <v>1</v>
      </c>
      <c r="U1064">
        <v>2</v>
      </c>
      <c r="V1064">
        <v>86</v>
      </c>
      <c r="W1064">
        <v>3</v>
      </c>
      <c r="X1064">
        <v>3</v>
      </c>
      <c r="Y1064" s="1" t="s">
        <v>7</v>
      </c>
      <c r="Z1064">
        <v>3</v>
      </c>
      <c r="AA1064">
        <v>10209</v>
      </c>
      <c r="AB1064">
        <v>19719</v>
      </c>
      <c r="AC1064" s="1" t="s">
        <v>18</v>
      </c>
      <c r="AD1064">
        <v>18</v>
      </c>
      <c r="AE1064">
        <v>3</v>
      </c>
      <c r="AF1064">
        <v>2</v>
      </c>
      <c r="AG1064">
        <v>80</v>
      </c>
      <c r="AH1064">
        <v>0</v>
      </c>
      <c r="AI1064">
        <v>2</v>
      </c>
      <c r="AJ1064">
        <v>0</v>
      </c>
      <c r="AK1064" s="1" t="s">
        <v>136</v>
      </c>
    </row>
    <row r="1065" spans="1:37" x14ac:dyDescent="0.25">
      <c r="A1065">
        <v>1497</v>
      </c>
      <c r="B1065">
        <v>29</v>
      </c>
      <c r="C1065" s="1" t="s">
        <v>25</v>
      </c>
      <c r="D1065" s="1" t="s">
        <v>69</v>
      </c>
      <c r="E1065">
        <v>3</v>
      </c>
      <c r="F1065" s="1" t="s">
        <v>134</v>
      </c>
      <c r="G1065">
        <v>1</v>
      </c>
      <c r="H1065" s="1" t="s">
        <v>18</v>
      </c>
      <c r="I1065">
        <v>10</v>
      </c>
      <c r="J1065">
        <v>3</v>
      </c>
      <c r="K1065">
        <v>10</v>
      </c>
      <c r="L1065">
        <v>7</v>
      </c>
      <c r="M1065">
        <v>0</v>
      </c>
      <c r="N1065">
        <v>4</v>
      </c>
      <c r="O1065" s="1" t="s">
        <v>19</v>
      </c>
      <c r="P1065" s="1" t="s">
        <v>135</v>
      </c>
      <c r="Q1065">
        <v>1246</v>
      </c>
      <c r="R1065" s="1" t="s">
        <v>64</v>
      </c>
      <c r="S1065">
        <v>19</v>
      </c>
      <c r="T1065">
        <v>1</v>
      </c>
      <c r="U1065">
        <v>3</v>
      </c>
      <c r="V1065">
        <v>77</v>
      </c>
      <c r="W1065">
        <v>2</v>
      </c>
      <c r="X1065">
        <v>2</v>
      </c>
      <c r="Y1065" s="1" t="s">
        <v>4</v>
      </c>
      <c r="Z1065">
        <v>3</v>
      </c>
      <c r="AA1065">
        <v>8620</v>
      </c>
      <c r="AB1065">
        <v>23757</v>
      </c>
      <c r="AC1065" s="1" t="s">
        <v>19</v>
      </c>
      <c r="AD1065">
        <v>14</v>
      </c>
      <c r="AE1065">
        <v>3</v>
      </c>
      <c r="AF1065">
        <v>3</v>
      </c>
      <c r="AG1065">
        <v>80</v>
      </c>
      <c r="AH1065">
        <v>2</v>
      </c>
      <c r="AI1065">
        <v>3</v>
      </c>
      <c r="AJ1065">
        <v>0</v>
      </c>
      <c r="AK1065" s="1" t="s">
        <v>136</v>
      </c>
    </row>
    <row r="1066" spans="1:37" x14ac:dyDescent="0.25">
      <c r="A1066">
        <v>1499</v>
      </c>
      <c r="B1066">
        <v>30</v>
      </c>
      <c r="C1066" s="1" t="s">
        <v>25</v>
      </c>
      <c r="D1066" s="1" t="s">
        <v>69</v>
      </c>
      <c r="E1066">
        <v>3</v>
      </c>
      <c r="F1066" s="1" t="s">
        <v>134</v>
      </c>
      <c r="G1066">
        <v>0</v>
      </c>
      <c r="H1066" s="1" t="s">
        <v>18</v>
      </c>
      <c r="I1066">
        <v>6</v>
      </c>
      <c r="J1066">
        <v>3</v>
      </c>
      <c r="K1066">
        <v>5</v>
      </c>
      <c r="L1066">
        <v>3</v>
      </c>
      <c r="M1066">
        <v>1</v>
      </c>
      <c r="N1066">
        <v>3</v>
      </c>
      <c r="O1066" s="1" t="s">
        <v>19</v>
      </c>
      <c r="P1066" s="1" t="s">
        <v>135</v>
      </c>
      <c r="Q1066">
        <v>330</v>
      </c>
      <c r="R1066" s="1" t="s">
        <v>12</v>
      </c>
      <c r="S1066">
        <v>1</v>
      </c>
      <c r="T1066">
        <v>1</v>
      </c>
      <c r="U1066">
        <v>3</v>
      </c>
      <c r="V1066">
        <v>46</v>
      </c>
      <c r="W1066">
        <v>3</v>
      </c>
      <c r="X1066">
        <v>1</v>
      </c>
      <c r="Y1066" s="1" t="s">
        <v>12</v>
      </c>
      <c r="Z1066">
        <v>3</v>
      </c>
      <c r="AA1066">
        <v>2064</v>
      </c>
      <c r="AB1066">
        <v>15428</v>
      </c>
      <c r="AC1066" s="1" t="s">
        <v>19</v>
      </c>
      <c r="AD1066">
        <v>21</v>
      </c>
      <c r="AE1066">
        <v>4</v>
      </c>
      <c r="AF1066">
        <v>1</v>
      </c>
      <c r="AG1066">
        <v>80</v>
      </c>
      <c r="AH1066">
        <v>1</v>
      </c>
      <c r="AI1066">
        <v>4</v>
      </c>
      <c r="AJ1066">
        <v>0</v>
      </c>
      <c r="AK1066" s="1" t="s">
        <v>136</v>
      </c>
    </row>
    <row r="1067" spans="1:37" x14ac:dyDescent="0.25">
      <c r="A1067">
        <v>1501</v>
      </c>
      <c r="B1067">
        <v>55</v>
      </c>
      <c r="C1067" s="1" t="s">
        <v>25</v>
      </c>
      <c r="D1067" s="1" t="s">
        <v>70</v>
      </c>
      <c r="E1067">
        <v>4</v>
      </c>
      <c r="F1067" s="1" t="s">
        <v>134</v>
      </c>
      <c r="G1067">
        <v>0</v>
      </c>
      <c r="H1067" s="1" t="s">
        <v>18</v>
      </c>
      <c r="I1067">
        <v>4</v>
      </c>
      <c r="J1067">
        <v>2</v>
      </c>
      <c r="K1067">
        <v>3</v>
      </c>
      <c r="L1067">
        <v>2</v>
      </c>
      <c r="M1067">
        <v>1</v>
      </c>
      <c r="N1067">
        <v>2</v>
      </c>
      <c r="O1067" s="1" t="s">
        <v>19</v>
      </c>
      <c r="P1067" s="1" t="s">
        <v>135</v>
      </c>
      <c r="Q1067">
        <v>1229</v>
      </c>
      <c r="R1067" s="1" t="s">
        <v>63</v>
      </c>
      <c r="S1067">
        <v>4</v>
      </c>
      <c r="T1067">
        <v>1</v>
      </c>
      <c r="U1067">
        <v>4</v>
      </c>
      <c r="V1067">
        <v>30</v>
      </c>
      <c r="W1067">
        <v>3</v>
      </c>
      <c r="X1067">
        <v>2</v>
      </c>
      <c r="Y1067" s="1" t="s">
        <v>8</v>
      </c>
      <c r="Z1067">
        <v>3</v>
      </c>
      <c r="AA1067">
        <v>4035</v>
      </c>
      <c r="AB1067">
        <v>16143</v>
      </c>
      <c r="AC1067" s="1" t="s">
        <v>18</v>
      </c>
      <c r="AD1067">
        <v>16</v>
      </c>
      <c r="AE1067">
        <v>3</v>
      </c>
      <c r="AF1067">
        <v>2</v>
      </c>
      <c r="AG1067">
        <v>80</v>
      </c>
      <c r="AH1067">
        <v>0</v>
      </c>
      <c r="AI1067">
        <v>3</v>
      </c>
      <c r="AJ1067">
        <v>0</v>
      </c>
      <c r="AK1067" s="1" t="s">
        <v>140</v>
      </c>
    </row>
    <row r="1068" spans="1:37" x14ac:dyDescent="0.25">
      <c r="A1068">
        <v>1502</v>
      </c>
      <c r="B1068">
        <v>33</v>
      </c>
      <c r="C1068" s="1" t="s">
        <v>24</v>
      </c>
      <c r="D1068" s="1" t="s">
        <v>70</v>
      </c>
      <c r="E1068">
        <v>4</v>
      </c>
      <c r="F1068" s="1" t="s">
        <v>139</v>
      </c>
      <c r="G1068">
        <v>8</v>
      </c>
      <c r="H1068" s="1" t="s">
        <v>18</v>
      </c>
      <c r="I1068">
        <v>8</v>
      </c>
      <c r="J1068">
        <v>5</v>
      </c>
      <c r="K1068">
        <v>5</v>
      </c>
      <c r="L1068">
        <v>4</v>
      </c>
      <c r="M1068">
        <v>0</v>
      </c>
      <c r="N1068">
        <v>2</v>
      </c>
      <c r="O1068" s="1" t="s">
        <v>19</v>
      </c>
      <c r="P1068" s="1" t="s">
        <v>135</v>
      </c>
      <c r="Q1068">
        <v>1099</v>
      </c>
      <c r="R1068" s="1" t="s">
        <v>63</v>
      </c>
      <c r="S1068">
        <v>4</v>
      </c>
      <c r="T1068">
        <v>1</v>
      </c>
      <c r="U1068">
        <v>1</v>
      </c>
      <c r="V1068">
        <v>82</v>
      </c>
      <c r="W1068">
        <v>2</v>
      </c>
      <c r="X1068">
        <v>1</v>
      </c>
      <c r="Y1068" s="1" t="s">
        <v>6</v>
      </c>
      <c r="Z1068">
        <v>2</v>
      </c>
      <c r="AA1068">
        <v>3838</v>
      </c>
      <c r="AB1068">
        <v>8192</v>
      </c>
      <c r="AC1068" s="1" t="s">
        <v>19</v>
      </c>
      <c r="AD1068">
        <v>11</v>
      </c>
      <c r="AE1068">
        <v>3</v>
      </c>
      <c r="AF1068">
        <v>4</v>
      </c>
      <c r="AG1068">
        <v>80</v>
      </c>
      <c r="AH1068">
        <v>0</v>
      </c>
      <c r="AI1068">
        <v>3</v>
      </c>
      <c r="AJ1068">
        <v>0</v>
      </c>
      <c r="AK1068" s="1" t="s">
        <v>136</v>
      </c>
    </row>
    <row r="1069" spans="1:37" x14ac:dyDescent="0.25">
      <c r="A1069">
        <v>1503</v>
      </c>
      <c r="B1069">
        <v>47</v>
      </c>
      <c r="C1069" s="1" t="s">
        <v>24</v>
      </c>
      <c r="D1069" s="1" t="s">
        <v>70</v>
      </c>
      <c r="E1069">
        <v>3</v>
      </c>
      <c r="F1069" s="1" t="s">
        <v>139</v>
      </c>
      <c r="G1069">
        <v>3</v>
      </c>
      <c r="H1069" s="1" t="s">
        <v>18</v>
      </c>
      <c r="I1069">
        <v>11</v>
      </c>
      <c r="J1069">
        <v>4</v>
      </c>
      <c r="K1069">
        <v>5</v>
      </c>
      <c r="L1069">
        <v>4</v>
      </c>
      <c r="M1069">
        <v>1</v>
      </c>
      <c r="N1069">
        <v>2</v>
      </c>
      <c r="O1069" s="1" t="s">
        <v>19</v>
      </c>
      <c r="P1069" s="1" t="s">
        <v>135</v>
      </c>
      <c r="Q1069">
        <v>571</v>
      </c>
      <c r="R1069" s="1" t="s">
        <v>64</v>
      </c>
      <c r="S1069">
        <v>14</v>
      </c>
      <c r="T1069">
        <v>1</v>
      </c>
      <c r="U1069">
        <v>3</v>
      </c>
      <c r="V1069">
        <v>78</v>
      </c>
      <c r="W1069">
        <v>3</v>
      </c>
      <c r="X1069">
        <v>2</v>
      </c>
      <c r="Y1069" s="1" t="s">
        <v>4</v>
      </c>
      <c r="Z1069">
        <v>3</v>
      </c>
      <c r="AA1069">
        <v>4591</v>
      </c>
      <c r="AB1069">
        <v>24200</v>
      </c>
      <c r="AC1069" s="1" t="s">
        <v>18</v>
      </c>
      <c r="AD1069">
        <v>17</v>
      </c>
      <c r="AE1069">
        <v>3</v>
      </c>
      <c r="AF1069">
        <v>3</v>
      </c>
      <c r="AG1069">
        <v>80</v>
      </c>
      <c r="AH1069">
        <v>1</v>
      </c>
      <c r="AI1069">
        <v>2</v>
      </c>
      <c r="AJ1069">
        <v>0</v>
      </c>
      <c r="AK1069" s="1" t="s">
        <v>136</v>
      </c>
    </row>
    <row r="1070" spans="1:37" x14ac:dyDescent="0.25">
      <c r="A1070">
        <v>1504</v>
      </c>
      <c r="B1070">
        <v>28</v>
      </c>
      <c r="C1070" s="1" t="s">
        <v>25</v>
      </c>
      <c r="D1070" s="1" t="s">
        <v>71</v>
      </c>
      <c r="E1070">
        <v>2</v>
      </c>
      <c r="F1070" s="1" t="s">
        <v>139</v>
      </c>
      <c r="G1070">
        <v>7</v>
      </c>
      <c r="H1070" s="1" t="s">
        <v>18</v>
      </c>
      <c r="I1070">
        <v>8</v>
      </c>
      <c r="J1070">
        <v>2</v>
      </c>
      <c r="K1070">
        <v>0</v>
      </c>
      <c r="L1070">
        <v>0</v>
      </c>
      <c r="M1070">
        <v>0</v>
      </c>
      <c r="N1070">
        <v>0</v>
      </c>
      <c r="O1070" s="1" t="s">
        <v>18</v>
      </c>
      <c r="P1070" s="1" t="s">
        <v>137</v>
      </c>
      <c r="Q1070">
        <v>289</v>
      </c>
      <c r="R1070" s="1" t="s">
        <v>63</v>
      </c>
      <c r="S1070">
        <v>2</v>
      </c>
      <c r="T1070">
        <v>1</v>
      </c>
      <c r="U1070">
        <v>3</v>
      </c>
      <c r="V1070">
        <v>38</v>
      </c>
      <c r="W1070">
        <v>2</v>
      </c>
      <c r="X1070">
        <v>1</v>
      </c>
      <c r="Y1070" s="1" t="s">
        <v>6</v>
      </c>
      <c r="Z1070">
        <v>1</v>
      </c>
      <c r="AA1070">
        <v>2561</v>
      </c>
      <c r="AB1070">
        <v>5355</v>
      </c>
      <c r="AC1070" s="1" t="s">
        <v>19</v>
      </c>
      <c r="AD1070">
        <v>11</v>
      </c>
      <c r="AE1070">
        <v>3</v>
      </c>
      <c r="AF1070">
        <v>3</v>
      </c>
      <c r="AG1070">
        <v>80</v>
      </c>
      <c r="AH1070">
        <v>0</v>
      </c>
      <c r="AI1070">
        <v>2</v>
      </c>
      <c r="AJ1070">
        <v>1</v>
      </c>
      <c r="AK1070" s="1" t="s">
        <v>136</v>
      </c>
    </row>
    <row r="1071" spans="1:37" x14ac:dyDescent="0.25">
      <c r="A1071">
        <v>1506</v>
      </c>
      <c r="B1071">
        <v>28</v>
      </c>
      <c r="C1071" s="1" t="s">
        <v>25</v>
      </c>
      <c r="D1071" s="1" t="s">
        <v>69</v>
      </c>
      <c r="E1071">
        <v>3</v>
      </c>
      <c r="F1071" s="1" t="s">
        <v>134</v>
      </c>
      <c r="G1071">
        <v>1</v>
      </c>
      <c r="H1071" s="1" t="s">
        <v>18</v>
      </c>
      <c r="I1071">
        <v>1</v>
      </c>
      <c r="J1071">
        <v>2</v>
      </c>
      <c r="K1071">
        <v>1</v>
      </c>
      <c r="L1071">
        <v>0</v>
      </c>
      <c r="M1071">
        <v>0</v>
      </c>
      <c r="N1071">
        <v>0</v>
      </c>
      <c r="O1071" s="1" t="s">
        <v>19</v>
      </c>
      <c r="P1071" s="1" t="s">
        <v>135</v>
      </c>
      <c r="Q1071">
        <v>1423</v>
      </c>
      <c r="R1071" s="1" t="s">
        <v>63</v>
      </c>
      <c r="S1071">
        <v>1</v>
      </c>
      <c r="T1071">
        <v>1</v>
      </c>
      <c r="U1071">
        <v>1</v>
      </c>
      <c r="V1071">
        <v>72</v>
      </c>
      <c r="W1071">
        <v>2</v>
      </c>
      <c r="X1071">
        <v>1</v>
      </c>
      <c r="Y1071" s="1" t="s">
        <v>5</v>
      </c>
      <c r="Z1071">
        <v>3</v>
      </c>
      <c r="AA1071">
        <v>1563</v>
      </c>
      <c r="AB1071">
        <v>12530</v>
      </c>
      <c r="AC1071" s="1" t="s">
        <v>19</v>
      </c>
      <c r="AD1071">
        <v>14</v>
      </c>
      <c r="AE1071">
        <v>3</v>
      </c>
      <c r="AF1071">
        <v>4</v>
      </c>
      <c r="AG1071">
        <v>80</v>
      </c>
      <c r="AH1071">
        <v>1</v>
      </c>
      <c r="AI1071">
        <v>1</v>
      </c>
      <c r="AJ1071">
        <v>0</v>
      </c>
      <c r="AK1071" s="1" t="s">
        <v>136</v>
      </c>
    </row>
    <row r="1072" spans="1:37" x14ac:dyDescent="0.25">
      <c r="A1072">
        <v>1507</v>
      </c>
      <c r="B1072">
        <v>28</v>
      </c>
      <c r="C1072" s="1" t="s">
        <v>25</v>
      </c>
      <c r="D1072" s="1" t="s">
        <v>71</v>
      </c>
      <c r="E1072">
        <v>3</v>
      </c>
      <c r="F1072" s="1" t="s">
        <v>134</v>
      </c>
      <c r="G1072">
        <v>0</v>
      </c>
      <c r="H1072" s="1" t="s">
        <v>18</v>
      </c>
      <c r="I1072">
        <v>5</v>
      </c>
      <c r="J1072">
        <v>5</v>
      </c>
      <c r="K1072">
        <v>4</v>
      </c>
      <c r="L1072">
        <v>2</v>
      </c>
      <c r="M1072">
        <v>1</v>
      </c>
      <c r="N1072">
        <v>3</v>
      </c>
      <c r="O1072" s="1" t="s">
        <v>19</v>
      </c>
      <c r="P1072" s="1" t="s">
        <v>137</v>
      </c>
      <c r="Q1072">
        <v>467</v>
      </c>
      <c r="R1072" s="1" t="s">
        <v>64</v>
      </c>
      <c r="S1072">
        <v>7</v>
      </c>
      <c r="T1072">
        <v>1</v>
      </c>
      <c r="U1072">
        <v>3</v>
      </c>
      <c r="V1072">
        <v>55</v>
      </c>
      <c r="W1072">
        <v>3</v>
      </c>
      <c r="X1072">
        <v>2</v>
      </c>
      <c r="Y1072" s="1" t="s">
        <v>4</v>
      </c>
      <c r="Z1072">
        <v>1</v>
      </c>
      <c r="AA1072">
        <v>4898</v>
      </c>
      <c r="AB1072">
        <v>11827</v>
      </c>
      <c r="AC1072" s="1" t="s">
        <v>19</v>
      </c>
      <c r="AD1072">
        <v>14</v>
      </c>
      <c r="AE1072">
        <v>3</v>
      </c>
      <c r="AF1072">
        <v>4</v>
      </c>
      <c r="AG1072">
        <v>80</v>
      </c>
      <c r="AH1072">
        <v>0</v>
      </c>
      <c r="AI1072">
        <v>3</v>
      </c>
      <c r="AJ1072">
        <v>0</v>
      </c>
      <c r="AK1072" s="1" t="s">
        <v>136</v>
      </c>
    </row>
    <row r="1073" spans="1:37" x14ac:dyDescent="0.25">
      <c r="A1073">
        <v>1509</v>
      </c>
      <c r="B1073">
        <v>49</v>
      </c>
      <c r="C1073" s="1" t="s">
        <v>24</v>
      </c>
      <c r="D1073" s="1" t="s">
        <v>70</v>
      </c>
      <c r="E1073">
        <v>2</v>
      </c>
      <c r="F1073" s="1" t="s">
        <v>139</v>
      </c>
      <c r="G1073">
        <v>4</v>
      </c>
      <c r="H1073" s="1" t="s">
        <v>18</v>
      </c>
      <c r="I1073">
        <v>10</v>
      </c>
      <c r="J1073">
        <v>3</v>
      </c>
      <c r="K1073">
        <v>3</v>
      </c>
      <c r="L1073">
        <v>2</v>
      </c>
      <c r="M1073">
        <v>1</v>
      </c>
      <c r="N1073">
        <v>2</v>
      </c>
      <c r="O1073" s="1" t="s">
        <v>19</v>
      </c>
      <c r="P1073" s="1" t="s">
        <v>135</v>
      </c>
      <c r="Q1073">
        <v>271</v>
      </c>
      <c r="R1073" s="1" t="s">
        <v>63</v>
      </c>
      <c r="S1073">
        <v>3</v>
      </c>
      <c r="T1073">
        <v>1</v>
      </c>
      <c r="U1073">
        <v>3</v>
      </c>
      <c r="V1073">
        <v>43</v>
      </c>
      <c r="W1073">
        <v>2</v>
      </c>
      <c r="X1073">
        <v>2</v>
      </c>
      <c r="Y1073" s="1" t="s">
        <v>6</v>
      </c>
      <c r="Z1073">
        <v>1</v>
      </c>
      <c r="AA1073">
        <v>4789</v>
      </c>
      <c r="AB1073">
        <v>23070</v>
      </c>
      <c r="AC1073" s="1" t="s">
        <v>19</v>
      </c>
      <c r="AD1073">
        <v>25</v>
      </c>
      <c r="AE1073">
        <v>4</v>
      </c>
      <c r="AF1073">
        <v>1</v>
      </c>
      <c r="AG1073">
        <v>80</v>
      </c>
      <c r="AH1073">
        <v>1</v>
      </c>
      <c r="AI1073">
        <v>3</v>
      </c>
      <c r="AJ1073">
        <v>0</v>
      </c>
      <c r="AK1073" s="1" t="s">
        <v>136</v>
      </c>
    </row>
    <row r="1074" spans="1:37" x14ac:dyDescent="0.25">
      <c r="A1074">
        <v>1513</v>
      </c>
      <c r="B1074">
        <v>29</v>
      </c>
      <c r="C1074" s="1" t="s">
        <v>24</v>
      </c>
      <c r="D1074" s="1" t="s">
        <v>70</v>
      </c>
      <c r="E1074">
        <v>1</v>
      </c>
      <c r="F1074" s="1" t="s">
        <v>134</v>
      </c>
      <c r="G1074">
        <v>0</v>
      </c>
      <c r="H1074" s="1" t="s">
        <v>18</v>
      </c>
      <c r="I1074">
        <v>4</v>
      </c>
      <c r="J1074">
        <v>3</v>
      </c>
      <c r="K1074">
        <v>3</v>
      </c>
      <c r="L1074">
        <v>2</v>
      </c>
      <c r="M1074">
        <v>0</v>
      </c>
      <c r="N1074">
        <v>2</v>
      </c>
      <c r="O1074" s="1" t="s">
        <v>19</v>
      </c>
      <c r="P1074" s="1" t="s">
        <v>137</v>
      </c>
      <c r="Q1074">
        <v>410</v>
      </c>
      <c r="R1074" s="1" t="s">
        <v>63</v>
      </c>
      <c r="S1074">
        <v>2</v>
      </c>
      <c r="T1074">
        <v>1</v>
      </c>
      <c r="U1074">
        <v>4</v>
      </c>
      <c r="V1074">
        <v>97</v>
      </c>
      <c r="W1074">
        <v>3</v>
      </c>
      <c r="X1074">
        <v>1</v>
      </c>
      <c r="Y1074" s="1" t="s">
        <v>6</v>
      </c>
      <c r="Z1074">
        <v>2</v>
      </c>
      <c r="AA1074">
        <v>3180</v>
      </c>
      <c r="AB1074">
        <v>4668</v>
      </c>
      <c r="AC1074" s="1" t="s">
        <v>19</v>
      </c>
      <c r="AD1074">
        <v>13</v>
      </c>
      <c r="AE1074">
        <v>3</v>
      </c>
      <c r="AF1074">
        <v>3</v>
      </c>
      <c r="AG1074">
        <v>80</v>
      </c>
      <c r="AH1074">
        <v>3</v>
      </c>
      <c r="AI1074">
        <v>3</v>
      </c>
      <c r="AJ1074">
        <v>0</v>
      </c>
      <c r="AK1074" s="1" t="s">
        <v>136</v>
      </c>
    </row>
    <row r="1075" spans="1:37" x14ac:dyDescent="0.25">
      <c r="A1075">
        <v>1514</v>
      </c>
      <c r="B1075">
        <v>28</v>
      </c>
      <c r="C1075" s="1" t="s">
        <v>25</v>
      </c>
      <c r="D1075" s="1" t="s">
        <v>70</v>
      </c>
      <c r="E1075">
        <v>1</v>
      </c>
      <c r="F1075" s="1" t="s">
        <v>134</v>
      </c>
      <c r="G1075">
        <v>1</v>
      </c>
      <c r="H1075" s="1" t="s">
        <v>18</v>
      </c>
      <c r="I1075">
        <v>8</v>
      </c>
      <c r="J1075">
        <v>2</v>
      </c>
      <c r="K1075">
        <v>8</v>
      </c>
      <c r="L1075">
        <v>6</v>
      </c>
      <c r="M1075">
        <v>1</v>
      </c>
      <c r="N1075">
        <v>7</v>
      </c>
      <c r="O1075" s="1" t="s">
        <v>19</v>
      </c>
      <c r="P1075" s="1" t="s">
        <v>135</v>
      </c>
      <c r="Q1075">
        <v>1083</v>
      </c>
      <c r="R1075" s="1" t="s">
        <v>63</v>
      </c>
      <c r="S1075">
        <v>29</v>
      </c>
      <c r="T1075">
        <v>1</v>
      </c>
      <c r="U1075">
        <v>3</v>
      </c>
      <c r="V1075">
        <v>96</v>
      </c>
      <c r="W1075">
        <v>1</v>
      </c>
      <c r="X1075">
        <v>2</v>
      </c>
      <c r="Y1075" s="1" t="s">
        <v>7</v>
      </c>
      <c r="Z1075">
        <v>2</v>
      </c>
      <c r="AA1075">
        <v>6549</v>
      </c>
      <c r="AB1075">
        <v>3173</v>
      </c>
      <c r="AC1075" s="1" t="s">
        <v>19</v>
      </c>
      <c r="AD1075">
        <v>14</v>
      </c>
      <c r="AE1075">
        <v>3</v>
      </c>
      <c r="AF1075">
        <v>2</v>
      </c>
      <c r="AG1075">
        <v>80</v>
      </c>
      <c r="AH1075">
        <v>2</v>
      </c>
      <c r="AI1075">
        <v>2</v>
      </c>
      <c r="AJ1075">
        <v>0</v>
      </c>
      <c r="AK1075" s="1" t="s">
        <v>136</v>
      </c>
    </row>
    <row r="1076" spans="1:37" x14ac:dyDescent="0.25">
      <c r="A1076">
        <v>1515</v>
      </c>
      <c r="B1076">
        <v>33</v>
      </c>
      <c r="C1076" s="1" t="s">
        <v>25</v>
      </c>
      <c r="D1076" s="1" t="s">
        <v>71</v>
      </c>
      <c r="E1076">
        <v>5</v>
      </c>
      <c r="F1076" s="1" t="s">
        <v>134</v>
      </c>
      <c r="G1076">
        <v>2</v>
      </c>
      <c r="H1076" s="1" t="s">
        <v>18</v>
      </c>
      <c r="I1076">
        <v>14</v>
      </c>
      <c r="J1076">
        <v>6</v>
      </c>
      <c r="K1076">
        <v>0</v>
      </c>
      <c r="L1076">
        <v>0</v>
      </c>
      <c r="M1076">
        <v>0</v>
      </c>
      <c r="N1076">
        <v>0</v>
      </c>
      <c r="O1076" s="1" t="s">
        <v>19</v>
      </c>
      <c r="P1076" s="1" t="s">
        <v>135</v>
      </c>
      <c r="Q1076">
        <v>516</v>
      </c>
      <c r="R1076" s="1" t="s">
        <v>63</v>
      </c>
      <c r="S1076">
        <v>8</v>
      </c>
      <c r="T1076">
        <v>1</v>
      </c>
      <c r="U1076">
        <v>4</v>
      </c>
      <c r="V1076">
        <v>69</v>
      </c>
      <c r="W1076">
        <v>3</v>
      </c>
      <c r="X1076">
        <v>2</v>
      </c>
      <c r="Y1076" s="1" t="s">
        <v>8</v>
      </c>
      <c r="Z1076">
        <v>3</v>
      </c>
      <c r="AA1076">
        <v>6388</v>
      </c>
      <c r="AB1076">
        <v>22049</v>
      </c>
      <c r="AC1076" s="1" t="s">
        <v>18</v>
      </c>
      <c r="AD1076">
        <v>17</v>
      </c>
      <c r="AE1076">
        <v>3</v>
      </c>
      <c r="AF1076">
        <v>1</v>
      </c>
      <c r="AG1076">
        <v>80</v>
      </c>
      <c r="AH1076">
        <v>0</v>
      </c>
      <c r="AI1076">
        <v>3</v>
      </c>
      <c r="AJ1076">
        <v>0</v>
      </c>
      <c r="AK1076" s="1" t="s">
        <v>136</v>
      </c>
    </row>
    <row r="1077" spans="1:37" x14ac:dyDescent="0.25">
      <c r="A1077">
        <v>1516</v>
      </c>
      <c r="B1077">
        <v>32</v>
      </c>
      <c r="C1077" s="1" t="s">
        <v>25</v>
      </c>
      <c r="D1077" s="1" t="s">
        <v>71</v>
      </c>
      <c r="E1077">
        <v>3</v>
      </c>
      <c r="F1077" s="1" t="s">
        <v>139</v>
      </c>
      <c r="G1077">
        <v>2</v>
      </c>
      <c r="H1077" s="1" t="s">
        <v>18</v>
      </c>
      <c r="I1077">
        <v>10</v>
      </c>
      <c r="J1077">
        <v>5</v>
      </c>
      <c r="K1077">
        <v>5</v>
      </c>
      <c r="L1077">
        <v>2</v>
      </c>
      <c r="M1077">
        <v>0</v>
      </c>
      <c r="N1077">
        <v>0</v>
      </c>
      <c r="O1077" s="1" t="s">
        <v>19</v>
      </c>
      <c r="P1077" s="1" t="s">
        <v>135</v>
      </c>
      <c r="Q1077">
        <v>495</v>
      </c>
      <c r="R1077" s="1" t="s">
        <v>63</v>
      </c>
      <c r="S1077">
        <v>10</v>
      </c>
      <c r="T1077">
        <v>1</v>
      </c>
      <c r="U1077">
        <v>3</v>
      </c>
      <c r="V1077">
        <v>64</v>
      </c>
      <c r="W1077">
        <v>3</v>
      </c>
      <c r="X1077">
        <v>3</v>
      </c>
      <c r="Y1077" s="1" t="s">
        <v>9</v>
      </c>
      <c r="Z1077">
        <v>4</v>
      </c>
      <c r="AA1077">
        <v>11244</v>
      </c>
      <c r="AB1077">
        <v>21072</v>
      </c>
      <c r="AC1077" s="1" t="s">
        <v>19</v>
      </c>
      <c r="AD1077">
        <v>25</v>
      </c>
      <c r="AE1077">
        <v>4</v>
      </c>
      <c r="AF1077">
        <v>2</v>
      </c>
      <c r="AG1077">
        <v>80</v>
      </c>
      <c r="AH1077">
        <v>0</v>
      </c>
      <c r="AI1077">
        <v>4</v>
      </c>
      <c r="AJ1077">
        <v>0</v>
      </c>
      <c r="AK1077" s="1" t="s">
        <v>136</v>
      </c>
    </row>
    <row r="1078" spans="1:37" x14ac:dyDescent="0.25">
      <c r="A1078">
        <v>1520</v>
      </c>
      <c r="B1078">
        <v>54</v>
      </c>
      <c r="C1078" s="1" t="s">
        <v>24</v>
      </c>
      <c r="D1078" s="1" t="s">
        <v>69</v>
      </c>
      <c r="E1078">
        <v>4</v>
      </c>
      <c r="F1078" s="1" t="s">
        <v>139</v>
      </c>
      <c r="G1078">
        <v>3</v>
      </c>
      <c r="H1078" s="1" t="s">
        <v>18</v>
      </c>
      <c r="I1078">
        <v>26</v>
      </c>
      <c r="J1078">
        <v>2</v>
      </c>
      <c r="K1078">
        <v>14</v>
      </c>
      <c r="L1078">
        <v>9</v>
      </c>
      <c r="M1078">
        <v>1</v>
      </c>
      <c r="N1078">
        <v>12</v>
      </c>
      <c r="O1078" s="1" t="s">
        <v>19</v>
      </c>
      <c r="P1078" s="1" t="s">
        <v>137</v>
      </c>
      <c r="Q1078">
        <v>1050</v>
      </c>
      <c r="R1078" s="1" t="s">
        <v>63</v>
      </c>
      <c r="S1078">
        <v>11</v>
      </c>
      <c r="T1078">
        <v>1</v>
      </c>
      <c r="U1078">
        <v>2</v>
      </c>
      <c r="V1078">
        <v>87</v>
      </c>
      <c r="W1078">
        <v>3</v>
      </c>
      <c r="X1078">
        <v>4</v>
      </c>
      <c r="Y1078" s="1" t="s">
        <v>9</v>
      </c>
      <c r="Z1078">
        <v>4</v>
      </c>
      <c r="AA1078">
        <v>16032</v>
      </c>
      <c r="AB1078">
        <v>24456</v>
      </c>
      <c r="AC1078" s="1" t="s">
        <v>19</v>
      </c>
      <c r="AD1078">
        <v>20</v>
      </c>
      <c r="AE1078">
        <v>4</v>
      </c>
      <c r="AF1078">
        <v>1</v>
      </c>
      <c r="AG1078">
        <v>80</v>
      </c>
      <c r="AH1078">
        <v>1</v>
      </c>
      <c r="AI1078">
        <v>3</v>
      </c>
      <c r="AJ1078">
        <v>0</v>
      </c>
      <c r="AK1078" s="1" t="s">
        <v>140</v>
      </c>
    </row>
    <row r="1079" spans="1:37" x14ac:dyDescent="0.25">
      <c r="A1079">
        <v>1522</v>
      </c>
      <c r="B1079">
        <v>29</v>
      </c>
      <c r="C1079" s="1" t="s">
        <v>25</v>
      </c>
      <c r="D1079" s="1" t="s">
        <v>71</v>
      </c>
      <c r="E1079">
        <v>4</v>
      </c>
      <c r="F1079" s="1" t="s">
        <v>143</v>
      </c>
      <c r="G1079">
        <v>6</v>
      </c>
      <c r="H1079" s="1" t="s">
        <v>18</v>
      </c>
      <c r="I1079">
        <v>11</v>
      </c>
      <c r="J1079">
        <v>2</v>
      </c>
      <c r="K1079">
        <v>9</v>
      </c>
      <c r="L1079">
        <v>7</v>
      </c>
      <c r="M1079">
        <v>0</v>
      </c>
      <c r="N1079">
        <v>7</v>
      </c>
      <c r="O1079" s="1" t="s">
        <v>18</v>
      </c>
      <c r="P1079" s="1" t="s">
        <v>135</v>
      </c>
      <c r="Q1079">
        <v>224</v>
      </c>
      <c r="R1079" s="1" t="s">
        <v>63</v>
      </c>
      <c r="S1079">
        <v>1</v>
      </c>
      <c r="T1079">
        <v>1</v>
      </c>
      <c r="U1079">
        <v>1</v>
      </c>
      <c r="V1079">
        <v>100</v>
      </c>
      <c r="W1079">
        <v>2</v>
      </c>
      <c r="X1079">
        <v>1</v>
      </c>
      <c r="Y1079" s="1" t="s">
        <v>5</v>
      </c>
      <c r="Z1079">
        <v>1</v>
      </c>
      <c r="AA1079">
        <v>2362</v>
      </c>
      <c r="AB1079">
        <v>7568</v>
      </c>
      <c r="AC1079" s="1" t="s">
        <v>19</v>
      </c>
      <c r="AD1079">
        <v>13</v>
      </c>
      <c r="AE1079">
        <v>3</v>
      </c>
      <c r="AF1079">
        <v>3</v>
      </c>
      <c r="AG1079">
        <v>80</v>
      </c>
      <c r="AH1079">
        <v>0</v>
      </c>
      <c r="AI1079">
        <v>1</v>
      </c>
      <c r="AJ1079">
        <v>1</v>
      </c>
      <c r="AK1079" s="1" t="s">
        <v>136</v>
      </c>
    </row>
    <row r="1080" spans="1:37" x14ac:dyDescent="0.25">
      <c r="A1080">
        <v>1523</v>
      </c>
      <c r="B1080">
        <v>44</v>
      </c>
      <c r="C1080" s="1" t="s">
        <v>25</v>
      </c>
      <c r="D1080" s="1" t="s">
        <v>70</v>
      </c>
      <c r="E1080">
        <v>3</v>
      </c>
      <c r="F1080" s="1" t="s">
        <v>134</v>
      </c>
      <c r="G1080">
        <v>3</v>
      </c>
      <c r="H1080" s="1" t="s">
        <v>18</v>
      </c>
      <c r="I1080">
        <v>24</v>
      </c>
      <c r="J1080">
        <v>1</v>
      </c>
      <c r="K1080">
        <v>20</v>
      </c>
      <c r="L1080">
        <v>6</v>
      </c>
      <c r="M1080">
        <v>14</v>
      </c>
      <c r="N1080">
        <v>17</v>
      </c>
      <c r="O1080" s="1" t="s">
        <v>19</v>
      </c>
      <c r="P1080" s="1" t="s">
        <v>135</v>
      </c>
      <c r="Q1080">
        <v>136</v>
      </c>
      <c r="R1080" s="1" t="s">
        <v>63</v>
      </c>
      <c r="S1080">
        <v>28</v>
      </c>
      <c r="T1080">
        <v>1</v>
      </c>
      <c r="U1080">
        <v>4</v>
      </c>
      <c r="V1080">
        <v>32</v>
      </c>
      <c r="W1080">
        <v>3</v>
      </c>
      <c r="X1080">
        <v>4</v>
      </c>
      <c r="Y1080" s="1" t="s">
        <v>11</v>
      </c>
      <c r="Z1080">
        <v>1</v>
      </c>
      <c r="AA1080">
        <v>16328</v>
      </c>
      <c r="AB1080">
        <v>22074</v>
      </c>
      <c r="AC1080" s="1" t="s">
        <v>19</v>
      </c>
      <c r="AD1080">
        <v>13</v>
      </c>
      <c r="AE1080">
        <v>3</v>
      </c>
      <c r="AF1080">
        <v>3</v>
      </c>
      <c r="AG1080">
        <v>80</v>
      </c>
      <c r="AH1080">
        <v>1</v>
      </c>
      <c r="AI1080">
        <v>4</v>
      </c>
      <c r="AJ1080">
        <v>0</v>
      </c>
      <c r="AK1080" s="1" t="s">
        <v>136</v>
      </c>
    </row>
    <row r="1081" spans="1:37" x14ac:dyDescent="0.25">
      <c r="A1081">
        <v>1525</v>
      </c>
      <c r="B1081">
        <v>39</v>
      </c>
      <c r="C1081" s="1" t="s">
        <v>24</v>
      </c>
      <c r="D1081" s="1" t="s">
        <v>71</v>
      </c>
      <c r="E1081">
        <v>3</v>
      </c>
      <c r="F1081" s="1" t="s">
        <v>134</v>
      </c>
      <c r="G1081">
        <v>4</v>
      </c>
      <c r="H1081" s="1" t="s">
        <v>18</v>
      </c>
      <c r="I1081">
        <v>9</v>
      </c>
      <c r="J1081">
        <v>3</v>
      </c>
      <c r="K1081">
        <v>2</v>
      </c>
      <c r="L1081">
        <v>0</v>
      </c>
      <c r="M1081">
        <v>2</v>
      </c>
      <c r="N1081">
        <v>2</v>
      </c>
      <c r="O1081" s="1" t="s">
        <v>19</v>
      </c>
      <c r="P1081" s="1" t="s">
        <v>135</v>
      </c>
      <c r="Q1081">
        <v>1089</v>
      </c>
      <c r="R1081" s="1" t="s">
        <v>63</v>
      </c>
      <c r="S1081">
        <v>6</v>
      </c>
      <c r="T1081">
        <v>1</v>
      </c>
      <c r="U1081">
        <v>2</v>
      </c>
      <c r="V1081">
        <v>32</v>
      </c>
      <c r="W1081">
        <v>3</v>
      </c>
      <c r="X1081">
        <v>3</v>
      </c>
      <c r="Y1081" s="1" t="s">
        <v>7</v>
      </c>
      <c r="Z1081">
        <v>2</v>
      </c>
      <c r="AA1081">
        <v>8376</v>
      </c>
      <c r="AB1081">
        <v>9150</v>
      </c>
      <c r="AC1081" s="1" t="s">
        <v>19</v>
      </c>
      <c r="AD1081">
        <v>18</v>
      </c>
      <c r="AE1081">
        <v>3</v>
      </c>
      <c r="AF1081">
        <v>4</v>
      </c>
      <c r="AG1081">
        <v>80</v>
      </c>
      <c r="AH1081">
        <v>0</v>
      </c>
      <c r="AI1081">
        <v>3</v>
      </c>
      <c r="AJ1081">
        <v>0</v>
      </c>
      <c r="AK1081" s="1" t="s">
        <v>136</v>
      </c>
    </row>
    <row r="1082" spans="1:37" x14ac:dyDescent="0.25">
      <c r="A1082">
        <v>1527</v>
      </c>
      <c r="B1082">
        <v>46</v>
      </c>
      <c r="C1082" s="1" t="s">
        <v>24</v>
      </c>
      <c r="D1082" s="1" t="s">
        <v>70</v>
      </c>
      <c r="E1082">
        <v>3</v>
      </c>
      <c r="F1082" s="1" t="s">
        <v>134</v>
      </c>
      <c r="G1082">
        <v>8</v>
      </c>
      <c r="H1082" s="1" t="s">
        <v>18</v>
      </c>
      <c r="I1082">
        <v>23</v>
      </c>
      <c r="J1082">
        <v>2</v>
      </c>
      <c r="K1082">
        <v>13</v>
      </c>
      <c r="L1082">
        <v>12</v>
      </c>
      <c r="M1082">
        <v>5</v>
      </c>
      <c r="N1082">
        <v>1</v>
      </c>
      <c r="O1082" s="1" t="s">
        <v>19</v>
      </c>
      <c r="P1082" s="1" t="s">
        <v>135</v>
      </c>
      <c r="Q1082">
        <v>228</v>
      </c>
      <c r="R1082" s="1" t="s">
        <v>64</v>
      </c>
      <c r="S1082">
        <v>3</v>
      </c>
      <c r="T1082">
        <v>1</v>
      </c>
      <c r="U1082">
        <v>3</v>
      </c>
      <c r="V1082">
        <v>51</v>
      </c>
      <c r="W1082">
        <v>3</v>
      </c>
      <c r="X1082">
        <v>4</v>
      </c>
      <c r="Y1082" s="1" t="s">
        <v>9</v>
      </c>
      <c r="Z1082">
        <v>2</v>
      </c>
      <c r="AA1082">
        <v>16606</v>
      </c>
      <c r="AB1082">
        <v>11380</v>
      </c>
      <c r="AC1082" s="1" t="s">
        <v>19</v>
      </c>
      <c r="AD1082">
        <v>12</v>
      </c>
      <c r="AE1082">
        <v>3</v>
      </c>
      <c r="AF1082">
        <v>4</v>
      </c>
      <c r="AG1082">
        <v>80</v>
      </c>
      <c r="AH1082">
        <v>1</v>
      </c>
      <c r="AI1082">
        <v>4</v>
      </c>
      <c r="AJ1082">
        <v>0</v>
      </c>
      <c r="AK1082" s="1" t="s">
        <v>136</v>
      </c>
    </row>
    <row r="1083" spans="1:37" x14ac:dyDescent="0.25">
      <c r="A1083">
        <v>1529</v>
      </c>
      <c r="B1083">
        <v>35</v>
      </c>
      <c r="C1083" s="1" t="s">
        <v>24</v>
      </c>
      <c r="D1083" s="1" t="s">
        <v>71</v>
      </c>
      <c r="E1083">
        <v>3</v>
      </c>
      <c r="F1083" s="1" t="s">
        <v>134</v>
      </c>
      <c r="G1083">
        <v>1</v>
      </c>
      <c r="H1083" s="1" t="s">
        <v>18</v>
      </c>
      <c r="I1083">
        <v>11</v>
      </c>
      <c r="J1083">
        <v>3</v>
      </c>
      <c r="K1083">
        <v>11</v>
      </c>
      <c r="L1083">
        <v>8</v>
      </c>
      <c r="M1083">
        <v>3</v>
      </c>
      <c r="N1083">
        <v>3</v>
      </c>
      <c r="O1083" s="1" t="s">
        <v>19</v>
      </c>
      <c r="P1083" s="1" t="s">
        <v>135</v>
      </c>
      <c r="Q1083">
        <v>1029</v>
      </c>
      <c r="R1083" s="1" t="s">
        <v>63</v>
      </c>
      <c r="S1083">
        <v>16</v>
      </c>
      <c r="T1083">
        <v>1</v>
      </c>
      <c r="U1083">
        <v>4</v>
      </c>
      <c r="V1083">
        <v>91</v>
      </c>
      <c r="W1083">
        <v>2</v>
      </c>
      <c r="X1083">
        <v>3</v>
      </c>
      <c r="Y1083" s="1" t="s">
        <v>8</v>
      </c>
      <c r="Z1083">
        <v>2</v>
      </c>
      <c r="AA1083">
        <v>8606</v>
      </c>
      <c r="AB1083">
        <v>21195</v>
      </c>
      <c r="AC1083" s="1" t="s">
        <v>19</v>
      </c>
      <c r="AD1083">
        <v>19</v>
      </c>
      <c r="AE1083">
        <v>3</v>
      </c>
      <c r="AF1083">
        <v>4</v>
      </c>
      <c r="AG1083">
        <v>80</v>
      </c>
      <c r="AH1083">
        <v>0</v>
      </c>
      <c r="AI1083">
        <v>1</v>
      </c>
      <c r="AJ1083">
        <v>0</v>
      </c>
      <c r="AK1083" s="1" t="s">
        <v>136</v>
      </c>
    </row>
    <row r="1084" spans="1:37" x14ac:dyDescent="0.25">
      <c r="A1084">
        <v>1533</v>
      </c>
      <c r="B1084">
        <v>23</v>
      </c>
      <c r="C1084" s="1" t="s">
        <v>25</v>
      </c>
      <c r="D1084" s="1" t="s">
        <v>71</v>
      </c>
      <c r="E1084">
        <v>1</v>
      </c>
      <c r="F1084" s="1" t="s">
        <v>134</v>
      </c>
      <c r="G1084">
        <v>0</v>
      </c>
      <c r="H1084" s="1" t="s">
        <v>18</v>
      </c>
      <c r="I1084">
        <v>5</v>
      </c>
      <c r="J1084">
        <v>2</v>
      </c>
      <c r="K1084">
        <v>4</v>
      </c>
      <c r="L1084">
        <v>3</v>
      </c>
      <c r="M1084">
        <v>1</v>
      </c>
      <c r="N1084">
        <v>2</v>
      </c>
      <c r="O1084" s="1" t="s">
        <v>19</v>
      </c>
      <c r="P1084" s="1" t="s">
        <v>135</v>
      </c>
      <c r="Q1084">
        <v>507</v>
      </c>
      <c r="R1084" s="1" t="s">
        <v>63</v>
      </c>
      <c r="S1084">
        <v>20</v>
      </c>
      <c r="T1084">
        <v>1</v>
      </c>
      <c r="U1084">
        <v>1</v>
      </c>
      <c r="V1084">
        <v>97</v>
      </c>
      <c r="W1084">
        <v>3</v>
      </c>
      <c r="X1084">
        <v>2</v>
      </c>
      <c r="Y1084" s="1" t="s">
        <v>6</v>
      </c>
      <c r="Z1084">
        <v>3</v>
      </c>
      <c r="AA1084">
        <v>2272</v>
      </c>
      <c r="AB1084">
        <v>24812</v>
      </c>
      <c r="AC1084" s="1" t="s">
        <v>19</v>
      </c>
      <c r="AD1084">
        <v>14</v>
      </c>
      <c r="AE1084">
        <v>3</v>
      </c>
      <c r="AF1084">
        <v>2</v>
      </c>
      <c r="AG1084">
        <v>80</v>
      </c>
      <c r="AH1084">
        <v>0</v>
      </c>
      <c r="AI1084">
        <v>3</v>
      </c>
      <c r="AJ1084">
        <v>0</v>
      </c>
      <c r="AK1084" s="1" t="s">
        <v>136</v>
      </c>
    </row>
    <row r="1085" spans="1:37" x14ac:dyDescent="0.25">
      <c r="A1085">
        <v>1534</v>
      </c>
      <c r="B1085">
        <v>40</v>
      </c>
      <c r="C1085" s="1" t="s">
        <v>25</v>
      </c>
      <c r="D1085" s="1" t="s">
        <v>71</v>
      </c>
      <c r="E1085">
        <v>4</v>
      </c>
      <c r="F1085" s="1" t="s">
        <v>134</v>
      </c>
      <c r="G1085">
        <v>3</v>
      </c>
      <c r="H1085" s="1" t="s">
        <v>18</v>
      </c>
      <c r="I1085">
        <v>15</v>
      </c>
      <c r="J1085">
        <v>3</v>
      </c>
      <c r="K1085">
        <v>5</v>
      </c>
      <c r="L1085">
        <v>4</v>
      </c>
      <c r="M1085">
        <v>1</v>
      </c>
      <c r="N1085">
        <v>0</v>
      </c>
      <c r="O1085" s="1" t="s">
        <v>18</v>
      </c>
      <c r="P1085" s="1" t="s">
        <v>135</v>
      </c>
      <c r="Q1085">
        <v>676</v>
      </c>
      <c r="R1085" s="1" t="s">
        <v>63</v>
      </c>
      <c r="S1085">
        <v>9</v>
      </c>
      <c r="T1085">
        <v>1</v>
      </c>
      <c r="U1085">
        <v>4</v>
      </c>
      <c r="V1085">
        <v>86</v>
      </c>
      <c r="W1085">
        <v>3</v>
      </c>
      <c r="X1085">
        <v>1</v>
      </c>
      <c r="Y1085" s="1" t="s">
        <v>6</v>
      </c>
      <c r="Z1085">
        <v>1</v>
      </c>
      <c r="AA1085">
        <v>2018</v>
      </c>
      <c r="AB1085">
        <v>21831</v>
      </c>
      <c r="AC1085" s="1" t="s">
        <v>19</v>
      </c>
      <c r="AD1085">
        <v>14</v>
      </c>
      <c r="AE1085">
        <v>3</v>
      </c>
      <c r="AF1085">
        <v>2</v>
      </c>
      <c r="AG1085">
        <v>80</v>
      </c>
      <c r="AH1085">
        <v>0</v>
      </c>
      <c r="AI1085">
        <v>1</v>
      </c>
      <c r="AJ1085">
        <v>1</v>
      </c>
      <c r="AK1085" s="1" t="s">
        <v>136</v>
      </c>
    </row>
    <row r="1086" spans="1:37" x14ac:dyDescent="0.25">
      <c r="A1086">
        <v>1535</v>
      </c>
      <c r="B1086">
        <v>34</v>
      </c>
      <c r="C1086" s="1" t="s">
        <v>25</v>
      </c>
      <c r="D1086" s="1" t="s">
        <v>70</v>
      </c>
      <c r="E1086">
        <v>3</v>
      </c>
      <c r="F1086" s="1" t="s">
        <v>143</v>
      </c>
      <c r="G1086">
        <v>1</v>
      </c>
      <c r="H1086" s="1" t="s">
        <v>18</v>
      </c>
      <c r="I1086">
        <v>10</v>
      </c>
      <c r="J1086">
        <v>3</v>
      </c>
      <c r="K1086">
        <v>10</v>
      </c>
      <c r="L1086">
        <v>9</v>
      </c>
      <c r="M1086">
        <v>8</v>
      </c>
      <c r="N1086">
        <v>6</v>
      </c>
      <c r="O1086" s="1" t="s">
        <v>19</v>
      </c>
      <c r="P1086" s="1" t="s">
        <v>135</v>
      </c>
      <c r="Q1086">
        <v>971</v>
      </c>
      <c r="R1086" s="1" t="s">
        <v>64</v>
      </c>
      <c r="S1086">
        <v>1</v>
      </c>
      <c r="T1086">
        <v>1</v>
      </c>
      <c r="U1086">
        <v>4</v>
      </c>
      <c r="V1086">
        <v>64</v>
      </c>
      <c r="W1086">
        <v>2</v>
      </c>
      <c r="X1086">
        <v>3</v>
      </c>
      <c r="Y1086" s="1" t="s">
        <v>4</v>
      </c>
      <c r="Z1086">
        <v>3</v>
      </c>
      <c r="AA1086">
        <v>7083</v>
      </c>
      <c r="AB1086">
        <v>12288</v>
      </c>
      <c r="AC1086" s="1" t="s">
        <v>18</v>
      </c>
      <c r="AD1086">
        <v>14</v>
      </c>
      <c r="AE1086">
        <v>3</v>
      </c>
      <c r="AF1086">
        <v>4</v>
      </c>
      <c r="AG1086">
        <v>80</v>
      </c>
      <c r="AH1086">
        <v>0</v>
      </c>
      <c r="AI1086">
        <v>3</v>
      </c>
      <c r="AJ1086">
        <v>0</v>
      </c>
      <c r="AK1086" s="1" t="s">
        <v>136</v>
      </c>
    </row>
    <row r="1087" spans="1:37" x14ac:dyDescent="0.25">
      <c r="A1087">
        <v>1537</v>
      </c>
      <c r="B1087">
        <v>31</v>
      </c>
      <c r="C1087" s="1" t="s">
        <v>24</v>
      </c>
      <c r="D1087" s="1" t="s">
        <v>71</v>
      </c>
      <c r="E1087">
        <v>3</v>
      </c>
      <c r="F1087" s="1" t="s">
        <v>134</v>
      </c>
      <c r="G1087">
        <v>1</v>
      </c>
      <c r="H1087" s="1" t="s">
        <v>18</v>
      </c>
      <c r="I1087">
        <v>7</v>
      </c>
      <c r="J1087">
        <v>2</v>
      </c>
      <c r="K1087">
        <v>7</v>
      </c>
      <c r="L1087">
        <v>2</v>
      </c>
      <c r="M1087">
        <v>7</v>
      </c>
      <c r="N1087">
        <v>7</v>
      </c>
      <c r="O1087" s="1" t="s">
        <v>18</v>
      </c>
      <c r="P1087" s="1" t="s">
        <v>137</v>
      </c>
      <c r="Q1087">
        <v>561</v>
      </c>
      <c r="R1087" s="1" t="s">
        <v>63</v>
      </c>
      <c r="S1087">
        <v>3</v>
      </c>
      <c r="T1087">
        <v>1</v>
      </c>
      <c r="U1087">
        <v>4</v>
      </c>
      <c r="V1087">
        <v>33</v>
      </c>
      <c r="W1087">
        <v>3</v>
      </c>
      <c r="X1087">
        <v>1</v>
      </c>
      <c r="Y1087" s="1" t="s">
        <v>5</v>
      </c>
      <c r="Z1087">
        <v>3</v>
      </c>
      <c r="AA1087">
        <v>4084</v>
      </c>
      <c r="AB1087">
        <v>4156</v>
      </c>
      <c r="AC1087" s="1" t="s">
        <v>19</v>
      </c>
      <c r="AD1087">
        <v>12</v>
      </c>
      <c r="AE1087">
        <v>3</v>
      </c>
      <c r="AF1087">
        <v>1</v>
      </c>
      <c r="AG1087">
        <v>80</v>
      </c>
      <c r="AH1087">
        <v>0</v>
      </c>
      <c r="AI1087">
        <v>1</v>
      </c>
      <c r="AJ1087">
        <v>1</v>
      </c>
      <c r="AK1087" s="1" t="s">
        <v>136</v>
      </c>
    </row>
    <row r="1088" spans="1:37" x14ac:dyDescent="0.25">
      <c r="A1088">
        <v>1539</v>
      </c>
      <c r="B1088">
        <v>50</v>
      </c>
      <c r="C1088" s="1" t="s">
        <v>25</v>
      </c>
      <c r="D1088" s="1" t="s">
        <v>71</v>
      </c>
      <c r="E1088">
        <v>5</v>
      </c>
      <c r="F1088" s="1" t="s">
        <v>139</v>
      </c>
      <c r="G1088">
        <v>1</v>
      </c>
      <c r="H1088" s="1" t="s">
        <v>18</v>
      </c>
      <c r="I1088">
        <v>32</v>
      </c>
      <c r="J1088">
        <v>2</v>
      </c>
      <c r="K1088">
        <v>32</v>
      </c>
      <c r="L1088">
        <v>6</v>
      </c>
      <c r="M1088">
        <v>13</v>
      </c>
      <c r="N1088">
        <v>9</v>
      </c>
      <c r="O1088" s="1" t="s">
        <v>19</v>
      </c>
      <c r="P1088" s="1" t="s">
        <v>137</v>
      </c>
      <c r="Q1088">
        <v>333</v>
      </c>
      <c r="R1088" s="1" t="s">
        <v>63</v>
      </c>
      <c r="S1088">
        <v>22</v>
      </c>
      <c r="T1088">
        <v>1</v>
      </c>
      <c r="U1088">
        <v>3</v>
      </c>
      <c r="V1088">
        <v>88</v>
      </c>
      <c r="W1088">
        <v>1</v>
      </c>
      <c r="X1088">
        <v>4</v>
      </c>
      <c r="Y1088" s="1" t="s">
        <v>11</v>
      </c>
      <c r="Z1088">
        <v>4</v>
      </c>
      <c r="AA1088">
        <v>14411</v>
      </c>
      <c r="AB1088">
        <v>24450</v>
      </c>
      <c r="AC1088" s="1" t="s">
        <v>18</v>
      </c>
      <c r="AD1088">
        <v>13</v>
      </c>
      <c r="AE1088">
        <v>3</v>
      </c>
      <c r="AF1088">
        <v>4</v>
      </c>
      <c r="AG1088">
        <v>80</v>
      </c>
      <c r="AH1088">
        <v>0</v>
      </c>
      <c r="AI1088">
        <v>3</v>
      </c>
      <c r="AJ1088">
        <v>0</v>
      </c>
      <c r="AK1088" s="1" t="s">
        <v>140</v>
      </c>
    </row>
    <row r="1089" spans="1:37" x14ac:dyDescent="0.25">
      <c r="A1089">
        <v>1541</v>
      </c>
      <c r="B1089">
        <v>34</v>
      </c>
      <c r="C1089" s="1" t="s">
        <v>25</v>
      </c>
      <c r="D1089" s="1" t="s">
        <v>70</v>
      </c>
      <c r="E1089">
        <v>2</v>
      </c>
      <c r="F1089" s="1" t="s">
        <v>143</v>
      </c>
      <c r="G1089">
        <v>0</v>
      </c>
      <c r="H1089" s="1" t="s">
        <v>18</v>
      </c>
      <c r="I1089">
        <v>12</v>
      </c>
      <c r="J1089">
        <v>4</v>
      </c>
      <c r="K1089">
        <v>11</v>
      </c>
      <c r="L1089">
        <v>10</v>
      </c>
      <c r="M1089">
        <v>5</v>
      </c>
      <c r="N1089">
        <v>7</v>
      </c>
      <c r="O1089" s="1" t="s">
        <v>19</v>
      </c>
      <c r="P1089" s="1" t="s">
        <v>135</v>
      </c>
      <c r="Q1089">
        <v>1440</v>
      </c>
      <c r="R1089" s="1" t="s">
        <v>64</v>
      </c>
      <c r="S1089">
        <v>7</v>
      </c>
      <c r="T1089">
        <v>1</v>
      </c>
      <c r="U1089">
        <v>2</v>
      </c>
      <c r="V1089">
        <v>55</v>
      </c>
      <c r="W1089">
        <v>3</v>
      </c>
      <c r="X1089">
        <v>1</v>
      </c>
      <c r="Y1089" s="1" t="s">
        <v>10</v>
      </c>
      <c r="Z1089">
        <v>3</v>
      </c>
      <c r="AA1089">
        <v>2308</v>
      </c>
      <c r="AB1089">
        <v>4944</v>
      </c>
      <c r="AC1089" s="1" t="s">
        <v>18</v>
      </c>
      <c r="AD1089">
        <v>25</v>
      </c>
      <c r="AE1089">
        <v>4</v>
      </c>
      <c r="AF1089">
        <v>2</v>
      </c>
      <c r="AG1089">
        <v>80</v>
      </c>
      <c r="AH1089">
        <v>1</v>
      </c>
      <c r="AI1089">
        <v>3</v>
      </c>
      <c r="AJ1089">
        <v>0</v>
      </c>
      <c r="AK1089" s="1" t="s">
        <v>136</v>
      </c>
    </row>
    <row r="1090" spans="1:37" x14ac:dyDescent="0.25">
      <c r="A1090">
        <v>1542</v>
      </c>
      <c r="B1090">
        <v>42</v>
      </c>
      <c r="C1090" s="1" t="s">
        <v>25</v>
      </c>
      <c r="D1090" s="1" t="s">
        <v>70</v>
      </c>
      <c r="E1090">
        <v>3</v>
      </c>
      <c r="F1090" s="1" t="s">
        <v>139</v>
      </c>
      <c r="G1090">
        <v>4</v>
      </c>
      <c r="H1090" s="1" t="s">
        <v>18</v>
      </c>
      <c r="I1090">
        <v>4</v>
      </c>
      <c r="J1090">
        <v>3</v>
      </c>
      <c r="K1090">
        <v>1</v>
      </c>
      <c r="L1090">
        <v>0</v>
      </c>
      <c r="M1090">
        <v>0</v>
      </c>
      <c r="N1090">
        <v>0</v>
      </c>
      <c r="O1090" s="1" t="s">
        <v>19</v>
      </c>
      <c r="P1090" s="1" t="s">
        <v>135</v>
      </c>
      <c r="Q1090">
        <v>1210</v>
      </c>
      <c r="R1090" s="1" t="s">
        <v>63</v>
      </c>
      <c r="S1090">
        <v>2</v>
      </c>
      <c r="T1090">
        <v>1</v>
      </c>
      <c r="U1090">
        <v>3</v>
      </c>
      <c r="V1090">
        <v>68</v>
      </c>
      <c r="W1090">
        <v>2</v>
      </c>
      <c r="X1090">
        <v>1</v>
      </c>
      <c r="Y1090" s="1" t="s">
        <v>6</v>
      </c>
      <c r="Z1090">
        <v>2</v>
      </c>
      <c r="AA1090">
        <v>4841</v>
      </c>
      <c r="AB1090">
        <v>24052</v>
      </c>
      <c r="AC1090" s="1" t="s">
        <v>19</v>
      </c>
      <c r="AD1090">
        <v>14</v>
      </c>
      <c r="AE1090">
        <v>3</v>
      </c>
      <c r="AF1090">
        <v>2</v>
      </c>
      <c r="AG1090">
        <v>80</v>
      </c>
      <c r="AH1090">
        <v>1</v>
      </c>
      <c r="AI1090">
        <v>3</v>
      </c>
      <c r="AJ1090">
        <v>0</v>
      </c>
      <c r="AK1090" s="1" t="s">
        <v>136</v>
      </c>
    </row>
    <row r="1091" spans="1:37" x14ac:dyDescent="0.25">
      <c r="A1091">
        <v>1543</v>
      </c>
      <c r="B1091">
        <v>37</v>
      </c>
      <c r="C1091" s="1" t="s">
        <v>25</v>
      </c>
      <c r="D1091" s="1" t="s">
        <v>70</v>
      </c>
      <c r="E1091">
        <v>3</v>
      </c>
      <c r="F1091" s="1" t="s">
        <v>139</v>
      </c>
      <c r="G1091">
        <v>1</v>
      </c>
      <c r="H1091" s="1" t="s">
        <v>18</v>
      </c>
      <c r="I1091">
        <v>10</v>
      </c>
      <c r="J1091">
        <v>2</v>
      </c>
      <c r="K1091">
        <v>10</v>
      </c>
      <c r="L1091">
        <v>8</v>
      </c>
      <c r="M1091">
        <v>3</v>
      </c>
      <c r="N1091">
        <v>7</v>
      </c>
      <c r="O1091" s="1" t="s">
        <v>19</v>
      </c>
      <c r="P1091" s="1" t="s">
        <v>135</v>
      </c>
      <c r="Q1091">
        <v>674</v>
      </c>
      <c r="R1091" s="1" t="s">
        <v>63</v>
      </c>
      <c r="S1091">
        <v>13</v>
      </c>
      <c r="T1091">
        <v>1</v>
      </c>
      <c r="U1091">
        <v>1</v>
      </c>
      <c r="V1091">
        <v>47</v>
      </c>
      <c r="W1091">
        <v>3</v>
      </c>
      <c r="X1091">
        <v>2</v>
      </c>
      <c r="Y1091" s="1" t="s">
        <v>5</v>
      </c>
      <c r="Z1091">
        <v>4</v>
      </c>
      <c r="AA1091">
        <v>4285</v>
      </c>
      <c r="AB1091">
        <v>3031</v>
      </c>
      <c r="AC1091" s="1" t="s">
        <v>19</v>
      </c>
      <c r="AD1091">
        <v>17</v>
      </c>
      <c r="AE1091">
        <v>3</v>
      </c>
      <c r="AF1091">
        <v>1</v>
      </c>
      <c r="AG1091">
        <v>80</v>
      </c>
      <c r="AH1091">
        <v>0</v>
      </c>
      <c r="AI1091">
        <v>3</v>
      </c>
      <c r="AJ1091">
        <v>0</v>
      </c>
      <c r="AK1091" s="1" t="s">
        <v>136</v>
      </c>
    </row>
    <row r="1092" spans="1:37" x14ac:dyDescent="0.25">
      <c r="A1092">
        <v>1544</v>
      </c>
      <c r="B1092">
        <v>29</v>
      </c>
      <c r="C1092" s="1" t="s">
        <v>24</v>
      </c>
      <c r="D1092" s="1" t="s">
        <v>70</v>
      </c>
      <c r="E1092">
        <v>1</v>
      </c>
      <c r="F1092" s="1" t="s">
        <v>138</v>
      </c>
      <c r="G1092">
        <v>3</v>
      </c>
      <c r="H1092" s="1" t="s">
        <v>18</v>
      </c>
      <c r="I1092">
        <v>9</v>
      </c>
      <c r="J1092">
        <v>3</v>
      </c>
      <c r="K1092">
        <v>7</v>
      </c>
      <c r="L1092">
        <v>7</v>
      </c>
      <c r="M1092">
        <v>0</v>
      </c>
      <c r="N1092">
        <v>7</v>
      </c>
      <c r="O1092" s="1" t="s">
        <v>19</v>
      </c>
      <c r="P1092" s="1" t="s">
        <v>135</v>
      </c>
      <c r="Q1092">
        <v>441</v>
      </c>
      <c r="R1092" s="1" t="s">
        <v>63</v>
      </c>
      <c r="S1092">
        <v>8</v>
      </c>
      <c r="T1092">
        <v>1</v>
      </c>
      <c r="U1092">
        <v>3</v>
      </c>
      <c r="V1092">
        <v>39</v>
      </c>
      <c r="W1092">
        <v>1</v>
      </c>
      <c r="X1092">
        <v>2</v>
      </c>
      <c r="Y1092" s="1" t="s">
        <v>8</v>
      </c>
      <c r="Z1092">
        <v>1</v>
      </c>
      <c r="AA1092">
        <v>9715</v>
      </c>
      <c r="AB1092">
        <v>7288</v>
      </c>
      <c r="AC1092" s="1" t="s">
        <v>19</v>
      </c>
      <c r="AD1092">
        <v>13</v>
      </c>
      <c r="AE1092">
        <v>3</v>
      </c>
      <c r="AF1092">
        <v>3</v>
      </c>
      <c r="AG1092">
        <v>80</v>
      </c>
      <c r="AH1092">
        <v>1</v>
      </c>
      <c r="AI1092">
        <v>3</v>
      </c>
      <c r="AJ1092">
        <v>0</v>
      </c>
      <c r="AK1092" s="1" t="s">
        <v>136</v>
      </c>
    </row>
    <row r="1093" spans="1:37" x14ac:dyDescent="0.25">
      <c r="A1093">
        <v>1545</v>
      </c>
      <c r="B1093">
        <v>33</v>
      </c>
      <c r="C1093" s="1" t="s">
        <v>25</v>
      </c>
      <c r="D1093" s="1" t="s">
        <v>71</v>
      </c>
      <c r="E1093">
        <v>3</v>
      </c>
      <c r="F1093" s="1" t="s">
        <v>134</v>
      </c>
      <c r="G1093">
        <v>1</v>
      </c>
      <c r="H1093" s="1" t="s">
        <v>18</v>
      </c>
      <c r="I1093">
        <v>5</v>
      </c>
      <c r="J1093">
        <v>2</v>
      </c>
      <c r="K1093">
        <v>5</v>
      </c>
      <c r="L1093">
        <v>3</v>
      </c>
      <c r="M1093">
        <v>0</v>
      </c>
      <c r="N1093">
        <v>2</v>
      </c>
      <c r="O1093" s="1" t="s">
        <v>19</v>
      </c>
      <c r="P1093" s="1" t="s">
        <v>135</v>
      </c>
      <c r="Q1093">
        <v>575</v>
      </c>
      <c r="R1093" s="1" t="s">
        <v>63</v>
      </c>
      <c r="S1093">
        <v>25</v>
      </c>
      <c r="T1093">
        <v>1</v>
      </c>
      <c r="U1093">
        <v>4</v>
      </c>
      <c r="V1093">
        <v>44</v>
      </c>
      <c r="W1093">
        <v>2</v>
      </c>
      <c r="X1093">
        <v>2</v>
      </c>
      <c r="Y1093" s="1" t="s">
        <v>7</v>
      </c>
      <c r="Z1093">
        <v>2</v>
      </c>
      <c r="AA1093">
        <v>4320</v>
      </c>
      <c r="AB1093">
        <v>24152</v>
      </c>
      <c r="AC1093" s="1" t="s">
        <v>19</v>
      </c>
      <c r="AD1093">
        <v>13</v>
      </c>
      <c r="AE1093">
        <v>3</v>
      </c>
      <c r="AF1093">
        <v>4</v>
      </c>
      <c r="AG1093">
        <v>80</v>
      </c>
      <c r="AH1093">
        <v>0</v>
      </c>
      <c r="AI1093">
        <v>3</v>
      </c>
      <c r="AJ1093">
        <v>0</v>
      </c>
      <c r="AK1093" s="1" t="s">
        <v>136</v>
      </c>
    </row>
    <row r="1094" spans="1:37" x14ac:dyDescent="0.25">
      <c r="A1094">
        <v>1546</v>
      </c>
      <c r="B1094">
        <v>45</v>
      </c>
      <c r="C1094" s="1" t="s">
        <v>25</v>
      </c>
      <c r="D1094" s="1" t="s">
        <v>70</v>
      </c>
      <c r="E1094">
        <v>3</v>
      </c>
      <c r="F1094" s="1" t="s">
        <v>143</v>
      </c>
      <c r="G1094">
        <v>4</v>
      </c>
      <c r="H1094" s="1" t="s">
        <v>18</v>
      </c>
      <c r="I1094">
        <v>8</v>
      </c>
      <c r="J1094">
        <v>3</v>
      </c>
      <c r="K1094">
        <v>5</v>
      </c>
      <c r="L1094">
        <v>4</v>
      </c>
      <c r="M1094">
        <v>0</v>
      </c>
      <c r="N1094">
        <v>3</v>
      </c>
      <c r="O1094" s="1" t="s">
        <v>19</v>
      </c>
      <c r="P1094" s="1" t="s">
        <v>135</v>
      </c>
      <c r="Q1094">
        <v>950</v>
      </c>
      <c r="R1094" s="1" t="s">
        <v>63</v>
      </c>
      <c r="S1094">
        <v>28</v>
      </c>
      <c r="T1094">
        <v>1</v>
      </c>
      <c r="U1094">
        <v>4</v>
      </c>
      <c r="V1094">
        <v>97</v>
      </c>
      <c r="W1094">
        <v>3</v>
      </c>
      <c r="X1094">
        <v>1</v>
      </c>
      <c r="Y1094" s="1" t="s">
        <v>5</v>
      </c>
      <c r="Z1094">
        <v>4</v>
      </c>
      <c r="AA1094">
        <v>2132</v>
      </c>
      <c r="AB1094">
        <v>4585</v>
      </c>
      <c r="AC1094" s="1" t="s">
        <v>19</v>
      </c>
      <c r="AD1094">
        <v>20</v>
      </c>
      <c r="AE1094">
        <v>4</v>
      </c>
      <c r="AF1094">
        <v>4</v>
      </c>
      <c r="AG1094">
        <v>80</v>
      </c>
      <c r="AH1094">
        <v>1</v>
      </c>
      <c r="AI1094">
        <v>3</v>
      </c>
      <c r="AJ1094">
        <v>0</v>
      </c>
      <c r="AK1094" s="1" t="s">
        <v>136</v>
      </c>
    </row>
    <row r="1095" spans="1:37" x14ac:dyDescent="0.25">
      <c r="A1095">
        <v>1547</v>
      </c>
      <c r="B1095">
        <v>42</v>
      </c>
      <c r="C1095" s="1" t="s">
        <v>25</v>
      </c>
      <c r="D1095" s="1" t="s">
        <v>70</v>
      </c>
      <c r="E1095">
        <v>3</v>
      </c>
      <c r="F1095" s="1" t="s">
        <v>134</v>
      </c>
      <c r="G1095">
        <v>2</v>
      </c>
      <c r="H1095" s="1" t="s">
        <v>18</v>
      </c>
      <c r="I1095">
        <v>24</v>
      </c>
      <c r="J1095">
        <v>3</v>
      </c>
      <c r="K1095">
        <v>20</v>
      </c>
      <c r="L1095">
        <v>8</v>
      </c>
      <c r="M1095">
        <v>13</v>
      </c>
      <c r="N1095">
        <v>9</v>
      </c>
      <c r="O1095" s="1" t="s">
        <v>19</v>
      </c>
      <c r="P1095" s="1" t="s">
        <v>137</v>
      </c>
      <c r="Q1095">
        <v>288</v>
      </c>
      <c r="R1095" s="1" t="s">
        <v>63</v>
      </c>
      <c r="S1095">
        <v>2</v>
      </c>
      <c r="T1095">
        <v>1</v>
      </c>
      <c r="U1095">
        <v>4</v>
      </c>
      <c r="V1095">
        <v>40</v>
      </c>
      <c r="W1095">
        <v>3</v>
      </c>
      <c r="X1095">
        <v>3</v>
      </c>
      <c r="Y1095" s="1" t="s">
        <v>8</v>
      </c>
      <c r="Z1095">
        <v>4</v>
      </c>
      <c r="AA1095">
        <v>10124</v>
      </c>
      <c r="AB1095">
        <v>18611</v>
      </c>
      <c r="AC1095" s="1" t="s">
        <v>18</v>
      </c>
      <c r="AD1095">
        <v>14</v>
      </c>
      <c r="AE1095">
        <v>3</v>
      </c>
      <c r="AF1095">
        <v>3</v>
      </c>
      <c r="AG1095">
        <v>80</v>
      </c>
      <c r="AH1095">
        <v>1</v>
      </c>
      <c r="AI1095">
        <v>1</v>
      </c>
      <c r="AJ1095">
        <v>0</v>
      </c>
      <c r="AK1095" s="1" t="s">
        <v>136</v>
      </c>
    </row>
    <row r="1096" spans="1:37" x14ac:dyDescent="0.25">
      <c r="A1096">
        <v>1548</v>
      </c>
      <c r="B1096">
        <v>40</v>
      </c>
      <c r="C1096" s="1" t="s">
        <v>25</v>
      </c>
      <c r="D1096" s="1" t="s">
        <v>70</v>
      </c>
      <c r="E1096">
        <v>2</v>
      </c>
      <c r="F1096" s="1" t="s">
        <v>139</v>
      </c>
      <c r="G1096">
        <v>0</v>
      </c>
      <c r="H1096" s="1" t="s">
        <v>18</v>
      </c>
      <c r="I1096">
        <v>9</v>
      </c>
      <c r="J1096">
        <v>5</v>
      </c>
      <c r="K1096">
        <v>8</v>
      </c>
      <c r="L1096">
        <v>4</v>
      </c>
      <c r="M1096">
        <v>7</v>
      </c>
      <c r="N1096">
        <v>1</v>
      </c>
      <c r="O1096" s="1" t="s">
        <v>19</v>
      </c>
      <c r="P1096" s="1" t="s">
        <v>135</v>
      </c>
      <c r="Q1096">
        <v>1342</v>
      </c>
      <c r="R1096" s="1" t="s">
        <v>64</v>
      </c>
      <c r="S1096">
        <v>9</v>
      </c>
      <c r="T1096">
        <v>1</v>
      </c>
      <c r="U1096">
        <v>1</v>
      </c>
      <c r="V1096">
        <v>47</v>
      </c>
      <c r="W1096">
        <v>3</v>
      </c>
      <c r="X1096">
        <v>2</v>
      </c>
      <c r="Y1096" s="1" t="s">
        <v>4</v>
      </c>
      <c r="Z1096">
        <v>1</v>
      </c>
      <c r="AA1096">
        <v>5473</v>
      </c>
      <c r="AB1096">
        <v>19345</v>
      </c>
      <c r="AC1096" s="1" t="s">
        <v>19</v>
      </c>
      <c r="AD1096">
        <v>12</v>
      </c>
      <c r="AE1096">
        <v>3</v>
      </c>
      <c r="AF1096">
        <v>4</v>
      </c>
      <c r="AG1096">
        <v>80</v>
      </c>
      <c r="AH1096">
        <v>0</v>
      </c>
      <c r="AI1096">
        <v>4</v>
      </c>
      <c r="AJ1096">
        <v>0</v>
      </c>
      <c r="AK1096" s="1" t="s">
        <v>136</v>
      </c>
    </row>
    <row r="1097" spans="1:37" x14ac:dyDescent="0.25">
      <c r="A1097">
        <v>1549</v>
      </c>
      <c r="B1097">
        <v>33</v>
      </c>
      <c r="C1097" s="1" t="s">
        <v>25</v>
      </c>
      <c r="D1097" s="1" t="s">
        <v>70</v>
      </c>
      <c r="E1097">
        <v>4</v>
      </c>
      <c r="F1097" s="1" t="s">
        <v>134</v>
      </c>
      <c r="G1097">
        <v>1</v>
      </c>
      <c r="H1097" s="1" t="s">
        <v>18</v>
      </c>
      <c r="I1097">
        <v>15</v>
      </c>
      <c r="J1097">
        <v>3</v>
      </c>
      <c r="K1097">
        <v>15</v>
      </c>
      <c r="L1097">
        <v>14</v>
      </c>
      <c r="M1097">
        <v>5</v>
      </c>
      <c r="N1097">
        <v>7</v>
      </c>
      <c r="O1097" s="1" t="s">
        <v>19</v>
      </c>
      <c r="P1097" s="1" t="s">
        <v>135</v>
      </c>
      <c r="Q1097">
        <v>589</v>
      </c>
      <c r="R1097" s="1" t="s">
        <v>63</v>
      </c>
      <c r="S1097">
        <v>28</v>
      </c>
      <c r="T1097">
        <v>1</v>
      </c>
      <c r="U1097">
        <v>2</v>
      </c>
      <c r="V1097">
        <v>79</v>
      </c>
      <c r="W1097">
        <v>3</v>
      </c>
      <c r="X1097">
        <v>2</v>
      </c>
      <c r="Y1097" s="1" t="s">
        <v>6</v>
      </c>
      <c r="Z1097">
        <v>3</v>
      </c>
      <c r="AA1097">
        <v>5207</v>
      </c>
      <c r="AB1097">
        <v>22949</v>
      </c>
      <c r="AC1097" s="1" t="s">
        <v>18</v>
      </c>
      <c r="AD1097">
        <v>12</v>
      </c>
      <c r="AE1097">
        <v>3</v>
      </c>
      <c r="AF1097">
        <v>2</v>
      </c>
      <c r="AG1097">
        <v>80</v>
      </c>
      <c r="AH1097">
        <v>1</v>
      </c>
      <c r="AI1097">
        <v>3</v>
      </c>
      <c r="AJ1097">
        <v>0</v>
      </c>
      <c r="AK1097" s="1" t="s">
        <v>136</v>
      </c>
    </row>
    <row r="1098" spans="1:37" x14ac:dyDescent="0.25">
      <c r="A1098">
        <v>1550</v>
      </c>
      <c r="B1098">
        <v>40</v>
      </c>
      <c r="C1098" s="1" t="s">
        <v>25</v>
      </c>
      <c r="D1098" s="1" t="s">
        <v>71</v>
      </c>
      <c r="E1098">
        <v>2</v>
      </c>
      <c r="F1098" s="1" t="s">
        <v>139</v>
      </c>
      <c r="G1098">
        <v>1</v>
      </c>
      <c r="H1098" s="1" t="s">
        <v>18</v>
      </c>
      <c r="I1098">
        <v>21</v>
      </c>
      <c r="J1098">
        <v>2</v>
      </c>
      <c r="K1098">
        <v>21</v>
      </c>
      <c r="L1098">
        <v>7</v>
      </c>
      <c r="M1098">
        <v>7</v>
      </c>
      <c r="N1098">
        <v>7</v>
      </c>
      <c r="O1098" s="1" t="s">
        <v>19</v>
      </c>
      <c r="P1098" s="1" t="s">
        <v>135</v>
      </c>
      <c r="Q1098">
        <v>898</v>
      </c>
      <c r="R1098" s="1" t="s">
        <v>12</v>
      </c>
      <c r="S1098">
        <v>6</v>
      </c>
      <c r="T1098">
        <v>1</v>
      </c>
      <c r="U1098">
        <v>3</v>
      </c>
      <c r="V1098">
        <v>38</v>
      </c>
      <c r="W1098">
        <v>3</v>
      </c>
      <c r="X1098">
        <v>4</v>
      </c>
      <c r="Y1098" s="1" t="s">
        <v>9</v>
      </c>
      <c r="Z1098">
        <v>4</v>
      </c>
      <c r="AA1098">
        <v>16437</v>
      </c>
      <c r="AB1098">
        <v>17381</v>
      </c>
      <c r="AC1098" s="1" t="s">
        <v>18</v>
      </c>
      <c r="AD1098">
        <v>21</v>
      </c>
      <c r="AE1098">
        <v>4</v>
      </c>
      <c r="AF1098">
        <v>4</v>
      </c>
      <c r="AG1098">
        <v>80</v>
      </c>
      <c r="AH1098">
        <v>0</v>
      </c>
      <c r="AI1098">
        <v>3</v>
      </c>
      <c r="AJ1098">
        <v>0</v>
      </c>
      <c r="AK1098" s="1" t="s">
        <v>136</v>
      </c>
    </row>
    <row r="1099" spans="1:37" x14ac:dyDescent="0.25">
      <c r="A1099">
        <v>1551</v>
      </c>
      <c r="B1099">
        <v>24</v>
      </c>
      <c r="C1099" s="1" t="s">
        <v>25</v>
      </c>
      <c r="D1099" s="1" t="s">
        <v>69</v>
      </c>
      <c r="E1099">
        <v>2</v>
      </c>
      <c r="F1099" s="1" t="s">
        <v>143</v>
      </c>
      <c r="G1099">
        <v>0</v>
      </c>
      <c r="H1099" s="1" t="s">
        <v>18</v>
      </c>
      <c r="I1099">
        <v>2</v>
      </c>
      <c r="J1099">
        <v>3</v>
      </c>
      <c r="K1099">
        <v>1</v>
      </c>
      <c r="L1099">
        <v>1</v>
      </c>
      <c r="M1099">
        <v>0</v>
      </c>
      <c r="N1099">
        <v>0</v>
      </c>
      <c r="O1099" s="1" t="s">
        <v>19</v>
      </c>
      <c r="P1099" s="1" t="s">
        <v>135</v>
      </c>
      <c r="Q1099">
        <v>350</v>
      </c>
      <c r="R1099" s="1" t="s">
        <v>63</v>
      </c>
      <c r="S1099">
        <v>21</v>
      </c>
      <c r="T1099">
        <v>1</v>
      </c>
      <c r="U1099">
        <v>3</v>
      </c>
      <c r="V1099">
        <v>57</v>
      </c>
      <c r="W1099">
        <v>2</v>
      </c>
      <c r="X1099">
        <v>1</v>
      </c>
      <c r="Y1099" s="1" t="s">
        <v>6</v>
      </c>
      <c r="Z1099">
        <v>1</v>
      </c>
      <c r="AA1099">
        <v>2296</v>
      </c>
      <c r="AB1099">
        <v>10036</v>
      </c>
      <c r="AC1099" s="1" t="s">
        <v>19</v>
      </c>
      <c r="AD1099">
        <v>14</v>
      </c>
      <c r="AE1099">
        <v>3</v>
      </c>
      <c r="AF1099">
        <v>2</v>
      </c>
      <c r="AG1099">
        <v>80</v>
      </c>
      <c r="AH1099">
        <v>3</v>
      </c>
      <c r="AI1099">
        <v>3</v>
      </c>
      <c r="AJ1099">
        <v>0</v>
      </c>
      <c r="AK1099" s="1" t="s">
        <v>136</v>
      </c>
    </row>
    <row r="1100" spans="1:37" x14ac:dyDescent="0.25">
      <c r="A1100">
        <v>1552</v>
      </c>
      <c r="B1100">
        <v>40</v>
      </c>
      <c r="C1100" s="1" t="s">
        <v>25</v>
      </c>
      <c r="D1100" s="1" t="s">
        <v>69</v>
      </c>
      <c r="E1100">
        <v>2</v>
      </c>
      <c r="F1100" s="1" t="s">
        <v>134</v>
      </c>
      <c r="G1100">
        <v>3</v>
      </c>
      <c r="H1100" s="1" t="s">
        <v>18</v>
      </c>
      <c r="I1100">
        <v>8</v>
      </c>
      <c r="J1100">
        <v>2</v>
      </c>
      <c r="K1100">
        <v>2</v>
      </c>
      <c r="L1100">
        <v>2</v>
      </c>
      <c r="M1100">
        <v>2</v>
      </c>
      <c r="N1100">
        <v>2</v>
      </c>
      <c r="O1100" s="1" t="s">
        <v>19</v>
      </c>
      <c r="P1100" s="1" t="s">
        <v>141</v>
      </c>
      <c r="Q1100">
        <v>1142</v>
      </c>
      <c r="R1100" s="1" t="s">
        <v>63</v>
      </c>
      <c r="S1100">
        <v>8</v>
      </c>
      <c r="T1100">
        <v>1</v>
      </c>
      <c r="U1100">
        <v>4</v>
      </c>
      <c r="V1100">
        <v>72</v>
      </c>
      <c r="W1100">
        <v>3</v>
      </c>
      <c r="X1100">
        <v>2</v>
      </c>
      <c r="Y1100" s="1" t="s">
        <v>8</v>
      </c>
      <c r="Z1100">
        <v>4</v>
      </c>
      <c r="AA1100">
        <v>4069</v>
      </c>
      <c r="AB1100">
        <v>8841</v>
      </c>
      <c r="AC1100" s="1" t="s">
        <v>18</v>
      </c>
      <c r="AD1100">
        <v>18</v>
      </c>
      <c r="AE1100">
        <v>3</v>
      </c>
      <c r="AF1100">
        <v>3</v>
      </c>
      <c r="AG1100">
        <v>80</v>
      </c>
      <c r="AH1100">
        <v>0</v>
      </c>
      <c r="AI1100">
        <v>3</v>
      </c>
      <c r="AJ1100">
        <v>0</v>
      </c>
      <c r="AK1100" s="1" t="s">
        <v>136</v>
      </c>
    </row>
    <row r="1101" spans="1:37" x14ac:dyDescent="0.25">
      <c r="A1101">
        <v>1553</v>
      </c>
      <c r="B1101">
        <v>45</v>
      </c>
      <c r="C1101" s="1" t="s">
        <v>25</v>
      </c>
      <c r="D1101" s="1" t="s">
        <v>69</v>
      </c>
      <c r="E1101">
        <v>4</v>
      </c>
      <c r="F1101" s="1" t="s">
        <v>143</v>
      </c>
      <c r="G1101">
        <v>1</v>
      </c>
      <c r="H1101" s="1" t="s">
        <v>18</v>
      </c>
      <c r="I1101">
        <v>10</v>
      </c>
      <c r="J1101">
        <v>4</v>
      </c>
      <c r="K1101">
        <v>10</v>
      </c>
      <c r="L1101">
        <v>8</v>
      </c>
      <c r="M1101">
        <v>7</v>
      </c>
      <c r="N1101">
        <v>7</v>
      </c>
      <c r="O1101" s="1" t="s">
        <v>19</v>
      </c>
      <c r="P1101" s="1" t="s">
        <v>135</v>
      </c>
      <c r="Q1101">
        <v>538</v>
      </c>
      <c r="R1101" s="1" t="s">
        <v>63</v>
      </c>
      <c r="S1101">
        <v>1</v>
      </c>
      <c r="T1101">
        <v>1</v>
      </c>
      <c r="U1101">
        <v>1</v>
      </c>
      <c r="V1101">
        <v>66</v>
      </c>
      <c r="W1101">
        <v>3</v>
      </c>
      <c r="X1101">
        <v>3</v>
      </c>
      <c r="Y1101" s="1" t="s">
        <v>8</v>
      </c>
      <c r="Z1101">
        <v>2</v>
      </c>
      <c r="AA1101">
        <v>7441</v>
      </c>
      <c r="AB1101">
        <v>20933</v>
      </c>
      <c r="AC1101" s="1" t="s">
        <v>19</v>
      </c>
      <c r="AD1101">
        <v>12</v>
      </c>
      <c r="AE1101">
        <v>3</v>
      </c>
      <c r="AF1101">
        <v>1</v>
      </c>
      <c r="AG1101">
        <v>80</v>
      </c>
      <c r="AH1101">
        <v>3</v>
      </c>
      <c r="AI1101">
        <v>3</v>
      </c>
      <c r="AJ1101">
        <v>0</v>
      </c>
      <c r="AK1101" s="1" t="s">
        <v>136</v>
      </c>
    </row>
    <row r="1102" spans="1:37" x14ac:dyDescent="0.25">
      <c r="A1102">
        <v>1554</v>
      </c>
      <c r="B1102">
        <v>35</v>
      </c>
      <c r="C1102" s="1" t="s">
        <v>24</v>
      </c>
      <c r="D1102" s="1" t="s">
        <v>70</v>
      </c>
      <c r="E1102">
        <v>4</v>
      </c>
      <c r="F1102" s="1" t="s">
        <v>134</v>
      </c>
      <c r="G1102">
        <v>0</v>
      </c>
      <c r="H1102" s="1" t="s">
        <v>18</v>
      </c>
      <c r="I1102">
        <v>6</v>
      </c>
      <c r="J1102">
        <v>5</v>
      </c>
      <c r="K1102">
        <v>5</v>
      </c>
      <c r="L1102">
        <v>3</v>
      </c>
      <c r="M1102">
        <v>4</v>
      </c>
      <c r="N1102">
        <v>2</v>
      </c>
      <c r="O1102" s="1" t="s">
        <v>19</v>
      </c>
      <c r="P1102" s="1" t="s">
        <v>135</v>
      </c>
      <c r="Q1102">
        <v>1402</v>
      </c>
      <c r="R1102" s="1" t="s">
        <v>64</v>
      </c>
      <c r="S1102">
        <v>28</v>
      </c>
      <c r="T1102">
        <v>1</v>
      </c>
      <c r="U1102">
        <v>2</v>
      </c>
      <c r="V1102">
        <v>98</v>
      </c>
      <c r="W1102">
        <v>2</v>
      </c>
      <c r="X1102">
        <v>1</v>
      </c>
      <c r="Y1102" s="1" t="s">
        <v>10</v>
      </c>
      <c r="Z1102">
        <v>3</v>
      </c>
      <c r="AA1102">
        <v>2430</v>
      </c>
      <c r="AB1102">
        <v>26204</v>
      </c>
      <c r="AC1102" s="1" t="s">
        <v>19</v>
      </c>
      <c r="AD1102">
        <v>23</v>
      </c>
      <c r="AE1102">
        <v>4</v>
      </c>
      <c r="AF1102">
        <v>1</v>
      </c>
      <c r="AG1102">
        <v>80</v>
      </c>
      <c r="AH1102">
        <v>2</v>
      </c>
      <c r="AI1102">
        <v>3</v>
      </c>
      <c r="AJ1102">
        <v>0</v>
      </c>
      <c r="AK1102" s="1" t="s">
        <v>136</v>
      </c>
    </row>
    <row r="1103" spans="1:37" x14ac:dyDescent="0.25">
      <c r="A1103">
        <v>1555</v>
      </c>
      <c r="B1103">
        <v>32</v>
      </c>
      <c r="C1103" s="1" t="s">
        <v>24</v>
      </c>
      <c r="D1103" s="1" t="s">
        <v>70</v>
      </c>
      <c r="E1103">
        <v>2</v>
      </c>
      <c r="F1103" s="1" t="s">
        <v>134</v>
      </c>
      <c r="G1103">
        <v>3</v>
      </c>
      <c r="H1103" s="1" t="s">
        <v>18</v>
      </c>
      <c r="I1103">
        <v>12</v>
      </c>
      <c r="J1103">
        <v>2</v>
      </c>
      <c r="K1103">
        <v>7</v>
      </c>
      <c r="L1103">
        <v>1</v>
      </c>
      <c r="M1103">
        <v>2</v>
      </c>
      <c r="N1103">
        <v>5</v>
      </c>
      <c r="O1103" s="1" t="s">
        <v>19</v>
      </c>
      <c r="P1103" s="1" t="s">
        <v>135</v>
      </c>
      <c r="Q1103">
        <v>824</v>
      </c>
      <c r="R1103" s="1" t="s">
        <v>63</v>
      </c>
      <c r="S1103">
        <v>5</v>
      </c>
      <c r="T1103">
        <v>1</v>
      </c>
      <c r="U1103">
        <v>4</v>
      </c>
      <c r="V1103">
        <v>67</v>
      </c>
      <c r="W1103">
        <v>2</v>
      </c>
      <c r="X1103">
        <v>2</v>
      </c>
      <c r="Y1103" s="1" t="s">
        <v>5</v>
      </c>
      <c r="Z1103">
        <v>2</v>
      </c>
      <c r="AA1103">
        <v>5878</v>
      </c>
      <c r="AB1103">
        <v>15624</v>
      </c>
      <c r="AC1103" s="1" t="s">
        <v>19</v>
      </c>
      <c r="AD1103">
        <v>12</v>
      </c>
      <c r="AE1103">
        <v>3</v>
      </c>
      <c r="AF1103">
        <v>1</v>
      </c>
      <c r="AG1103">
        <v>80</v>
      </c>
      <c r="AH1103">
        <v>1</v>
      </c>
      <c r="AI1103">
        <v>3</v>
      </c>
      <c r="AJ1103">
        <v>0</v>
      </c>
      <c r="AK1103" s="1" t="s">
        <v>136</v>
      </c>
    </row>
    <row r="1104" spans="1:37" x14ac:dyDescent="0.25">
      <c r="A1104">
        <v>1556</v>
      </c>
      <c r="B1104">
        <v>36</v>
      </c>
      <c r="C1104" s="1" t="s">
        <v>25</v>
      </c>
      <c r="D1104" s="1" t="s">
        <v>71</v>
      </c>
      <c r="E1104">
        <v>4</v>
      </c>
      <c r="F1104" s="1" t="s">
        <v>134</v>
      </c>
      <c r="G1104">
        <v>3</v>
      </c>
      <c r="H1104" s="1" t="s">
        <v>18</v>
      </c>
      <c r="I1104">
        <v>7</v>
      </c>
      <c r="J1104">
        <v>3</v>
      </c>
      <c r="K1104">
        <v>3</v>
      </c>
      <c r="L1104">
        <v>2</v>
      </c>
      <c r="M1104">
        <v>1</v>
      </c>
      <c r="N1104">
        <v>2</v>
      </c>
      <c r="O1104" s="1" t="s">
        <v>19</v>
      </c>
      <c r="P1104" s="1" t="s">
        <v>135</v>
      </c>
      <c r="Q1104">
        <v>1157</v>
      </c>
      <c r="R1104" s="1" t="s">
        <v>64</v>
      </c>
      <c r="S1104">
        <v>2</v>
      </c>
      <c r="T1104">
        <v>1</v>
      </c>
      <c r="U1104">
        <v>3</v>
      </c>
      <c r="V1104">
        <v>70</v>
      </c>
      <c r="W1104">
        <v>3</v>
      </c>
      <c r="X1104">
        <v>1</v>
      </c>
      <c r="Y1104" s="1" t="s">
        <v>10</v>
      </c>
      <c r="Z1104">
        <v>4</v>
      </c>
      <c r="AA1104">
        <v>2644</v>
      </c>
      <c r="AB1104">
        <v>17001</v>
      </c>
      <c r="AC1104" s="1" t="s">
        <v>18</v>
      </c>
      <c r="AD1104">
        <v>21</v>
      </c>
      <c r="AE1104">
        <v>4</v>
      </c>
      <c r="AF1104">
        <v>4</v>
      </c>
      <c r="AG1104">
        <v>80</v>
      </c>
      <c r="AH1104">
        <v>0</v>
      </c>
      <c r="AI1104">
        <v>2</v>
      </c>
      <c r="AJ1104">
        <v>0</v>
      </c>
      <c r="AK1104" s="1" t="s">
        <v>136</v>
      </c>
    </row>
    <row r="1105" spans="1:37" x14ac:dyDescent="0.25">
      <c r="A1105">
        <v>1557</v>
      </c>
      <c r="B1105">
        <v>48</v>
      </c>
      <c r="C1105" s="1" t="s">
        <v>24</v>
      </c>
      <c r="D1105" s="1" t="s">
        <v>69</v>
      </c>
      <c r="E1105">
        <v>4</v>
      </c>
      <c r="F1105" s="1" t="s">
        <v>134</v>
      </c>
      <c r="G1105">
        <v>8</v>
      </c>
      <c r="H1105" s="1" t="s">
        <v>18</v>
      </c>
      <c r="I1105">
        <v>18</v>
      </c>
      <c r="J1105">
        <v>2</v>
      </c>
      <c r="K1105">
        <v>8</v>
      </c>
      <c r="L1105">
        <v>7</v>
      </c>
      <c r="M1105">
        <v>7</v>
      </c>
      <c r="N1105">
        <v>7</v>
      </c>
      <c r="O1105" s="1" t="s">
        <v>19</v>
      </c>
      <c r="P1105" s="1" t="s">
        <v>135</v>
      </c>
      <c r="Q1105">
        <v>492</v>
      </c>
      <c r="R1105" s="1" t="s">
        <v>64</v>
      </c>
      <c r="S1105">
        <v>16</v>
      </c>
      <c r="T1105">
        <v>1</v>
      </c>
      <c r="U1105">
        <v>3</v>
      </c>
      <c r="V1105">
        <v>96</v>
      </c>
      <c r="W1105">
        <v>3</v>
      </c>
      <c r="X1105">
        <v>2</v>
      </c>
      <c r="Y1105" s="1" t="s">
        <v>4</v>
      </c>
      <c r="Z1105">
        <v>3</v>
      </c>
      <c r="AA1105">
        <v>6439</v>
      </c>
      <c r="AB1105">
        <v>13693</v>
      </c>
      <c r="AC1105" s="1" t="s">
        <v>19</v>
      </c>
      <c r="AD1105">
        <v>14</v>
      </c>
      <c r="AE1105">
        <v>3</v>
      </c>
      <c r="AF1105">
        <v>3</v>
      </c>
      <c r="AG1105">
        <v>80</v>
      </c>
      <c r="AH1105">
        <v>1</v>
      </c>
      <c r="AI1105">
        <v>3</v>
      </c>
      <c r="AJ1105">
        <v>0</v>
      </c>
      <c r="AK1105" s="1" t="s">
        <v>136</v>
      </c>
    </row>
    <row r="1106" spans="1:37" x14ac:dyDescent="0.25">
      <c r="A1106">
        <v>1558</v>
      </c>
      <c r="B1106">
        <v>29</v>
      </c>
      <c r="C1106" s="1" t="s">
        <v>25</v>
      </c>
      <c r="D1106" s="1" t="s">
        <v>70</v>
      </c>
      <c r="E1106">
        <v>3</v>
      </c>
      <c r="F1106" s="1" t="s">
        <v>134</v>
      </c>
      <c r="G1106">
        <v>6</v>
      </c>
      <c r="H1106" s="1" t="s">
        <v>18</v>
      </c>
      <c r="I1106">
        <v>5</v>
      </c>
      <c r="J1106">
        <v>2</v>
      </c>
      <c r="K1106">
        <v>1</v>
      </c>
      <c r="L1106">
        <v>0</v>
      </c>
      <c r="M1106">
        <v>0</v>
      </c>
      <c r="N1106">
        <v>0</v>
      </c>
      <c r="O1106" s="1" t="s">
        <v>19</v>
      </c>
      <c r="P1106" s="1" t="s">
        <v>135</v>
      </c>
      <c r="Q1106">
        <v>598</v>
      </c>
      <c r="R1106" s="1" t="s">
        <v>63</v>
      </c>
      <c r="S1106">
        <v>9</v>
      </c>
      <c r="T1106">
        <v>1</v>
      </c>
      <c r="U1106">
        <v>3</v>
      </c>
      <c r="V1106">
        <v>91</v>
      </c>
      <c r="W1106">
        <v>4</v>
      </c>
      <c r="X1106">
        <v>1</v>
      </c>
      <c r="Y1106" s="1" t="s">
        <v>5</v>
      </c>
      <c r="Z1106">
        <v>3</v>
      </c>
      <c r="AA1106">
        <v>2451</v>
      </c>
      <c r="AB1106">
        <v>22376</v>
      </c>
      <c r="AC1106" s="1" t="s">
        <v>19</v>
      </c>
      <c r="AD1106">
        <v>18</v>
      </c>
      <c r="AE1106">
        <v>3</v>
      </c>
      <c r="AF1106">
        <v>1</v>
      </c>
      <c r="AG1106">
        <v>80</v>
      </c>
      <c r="AH1106">
        <v>2</v>
      </c>
      <c r="AI1106">
        <v>2</v>
      </c>
      <c r="AJ1106">
        <v>0</v>
      </c>
      <c r="AK1106" s="1" t="s">
        <v>136</v>
      </c>
    </row>
    <row r="1107" spans="1:37" x14ac:dyDescent="0.25">
      <c r="A1107">
        <v>1560</v>
      </c>
      <c r="B1107">
        <v>33</v>
      </c>
      <c r="C1107" s="1" t="s">
        <v>25</v>
      </c>
      <c r="D1107" s="1" t="s">
        <v>70</v>
      </c>
      <c r="E1107">
        <v>4</v>
      </c>
      <c r="F1107" s="1" t="s">
        <v>134</v>
      </c>
      <c r="G1107">
        <v>2</v>
      </c>
      <c r="H1107" s="1" t="s">
        <v>18</v>
      </c>
      <c r="I1107">
        <v>8</v>
      </c>
      <c r="J1107">
        <v>6</v>
      </c>
      <c r="K1107">
        <v>2</v>
      </c>
      <c r="L1107">
        <v>2</v>
      </c>
      <c r="M1107">
        <v>2</v>
      </c>
      <c r="N1107">
        <v>2</v>
      </c>
      <c r="O1107" s="1" t="s">
        <v>19</v>
      </c>
      <c r="P1107" s="1" t="s">
        <v>135</v>
      </c>
      <c r="Q1107">
        <v>1242</v>
      </c>
      <c r="R1107" s="1" t="s">
        <v>64</v>
      </c>
      <c r="S1107">
        <v>8</v>
      </c>
      <c r="T1107">
        <v>1</v>
      </c>
      <c r="U1107">
        <v>1</v>
      </c>
      <c r="V1107">
        <v>46</v>
      </c>
      <c r="W1107">
        <v>3</v>
      </c>
      <c r="X1107">
        <v>2</v>
      </c>
      <c r="Y1107" s="1" t="s">
        <v>4</v>
      </c>
      <c r="Z1107">
        <v>1</v>
      </c>
      <c r="AA1107">
        <v>6392</v>
      </c>
      <c r="AB1107">
        <v>10589</v>
      </c>
      <c r="AC1107" s="1" t="s">
        <v>19</v>
      </c>
      <c r="AD1107">
        <v>13</v>
      </c>
      <c r="AE1107">
        <v>3</v>
      </c>
      <c r="AF1107">
        <v>4</v>
      </c>
      <c r="AG1107">
        <v>80</v>
      </c>
      <c r="AH1107">
        <v>1</v>
      </c>
      <c r="AI1107">
        <v>1</v>
      </c>
      <c r="AJ1107">
        <v>0</v>
      </c>
      <c r="AK1107" s="1" t="s">
        <v>136</v>
      </c>
    </row>
    <row r="1108" spans="1:37" x14ac:dyDescent="0.25">
      <c r="A1108">
        <v>1562</v>
      </c>
      <c r="B1108">
        <v>30</v>
      </c>
      <c r="C1108" s="1" t="s">
        <v>25</v>
      </c>
      <c r="D1108" s="1" t="s">
        <v>70</v>
      </c>
      <c r="E1108">
        <v>3</v>
      </c>
      <c r="F1108" s="1" t="s">
        <v>134</v>
      </c>
      <c r="G1108">
        <v>1</v>
      </c>
      <c r="H1108" s="1" t="s">
        <v>18</v>
      </c>
      <c r="I1108">
        <v>10</v>
      </c>
      <c r="J1108">
        <v>4</v>
      </c>
      <c r="K1108">
        <v>10</v>
      </c>
      <c r="L1108">
        <v>8</v>
      </c>
      <c r="M1108">
        <v>6</v>
      </c>
      <c r="N1108">
        <v>7</v>
      </c>
      <c r="O1108" s="1" t="s">
        <v>18</v>
      </c>
      <c r="P1108" s="1" t="s">
        <v>135</v>
      </c>
      <c r="Q1108">
        <v>740</v>
      </c>
      <c r="R1108" s="1" t="s">
        <v>64</v>
      </c>
      <c r="S1108">
        <v>1</v>
      </c>
      <c r="T1108">
        <v>1</v>
      </c>
      <c r="U1108">
        <v>2</v>
      </c>
      <c r="V1108">
        <v>64</v>
      </c>
      <c r="W1108">
        <v>2</v>
      </c>
      <c r="X1108">
        <v>2</v>
      </c>
      <c r="Y1108" s="1" t="s">
        <v>4</v>
      </c>
      <c r="Z1108">
        <v>1</v>
      </c>
      <c r="AA1108">
        <v>9714</v>
      </c>
      <c r="AB1108">
        <v>5323</v>
      </c>
      <c r="AC1108" s="1" t="s">
        <v>19</v>
      </c>
      <c r="AD1108">
        <v>11</v>
      </c>
      <c r="AE1108">
        <v>3</v>
      </c>
      <c r="AF1108">
        <v>4</v>
      </c>
      <c r="AG1108">
        <v>80</v>
      </c>
      <c r="AH1108">
        <v>1</v>
      </c>
      <c r="AI1108">
        <v>3</v>
      </c>
      <c r="AJ1108">
        <v>1</v>
      </c>
      <c r="AK1108" s="1" t="s">
        <v>136</v>
      </c>
    </row>
    <row r="1109" spans="1:37" x14ac:dyDescent="0.25">
      <c r="A1109">
        <v>1563</v>
      </c>
      <c r="B1109">
        <v>38</v>
      </c>
      <c r="C1109" s="1" t="s">
        <v>25</v>
      </c>
      <c r="D1109" s="1" t="s">
        <v>70</v>
      </c>
      <c r="E1109">
        <v>4</v>
      </c>
      <c r="F1109" s="1" t="s">
        <v>12</v>
      </c>
      <c r="G1109">
        <v>3</v>
      </c>
      <c r="H1109" s="1" t="s">
        <v>18</v>
      </c>
      <c r="I1109">
        <v>10</v>
      </c>
      <c r="J1109">
        <v>2</v>
      </c>
      <c r="K1109">
        <v>6</v>
      </c>
      <c r="L1109">
        <v>3</v>
      </c>
      <c r="M1109">
        <v>1</v>
      </c>
      <c r="N1109">
        <v>2</v>
      </c>
      <c r="O1109" s="1" t="s">
        <v>19</v>
      </c>
      <c r="P1109" s="1" t="s">
        <v>137</v>
      </c>
      <c r="Q1109">
        <v>888</v>
      </c>
      <c r="R1109" s="1" t="s">
        <v>12</v>
      </c>
      <c r="S1109">
        <v>10</v>
      </c>
      <c r="T1109">
        <v>1</v>
      </c>
      <c r="U1109">
        <v>3</v>
      </c>
      <c r="V1109">
        <v>71</v>
      </c>
      <c r="W1109">
        <v>3</v>
      </c>
      <c r="X1109">
        <v>2</v>
      </c>
      <c r="Y1109" s="1" t="s">
        <v>12</v>
      </c>
      <c r="Z1109">
        <v>3</v>
      </c>
      <c r="AA1109">
        <v>6077</v>
      </c>
      <c r="AB1109">
        <v>14814</v>
      </c>
      <c r="AC1109" s="1" t="s">
        <v>19</v>
      </c>
      <c r="AD1109">
        <v>11</v>
      </c>
      <c r="AE1109">
        <v>3</v>
      </c>
      <c r="AF1109">
        <v>3</v>
      </c>
      <c r="AG1109">
        <v>80</v>
      </c>
      <c r="AH1109">
        <v>0</v>
      </c>
      <c r="AI1109">
        <v>3</v>
      </c>
      <c r="AJ1109">
        <v>0</v>
      </c>
      <c r="AK1109" s="1" t="s">
        <v>136</v>
      </c>
    </row>
    <row r="1110" spans="1:37" x14ac:dyDescent="0.25">
      <c r="A1110">
        <v>1564</v>
      </c>
      <c r="B1110">
        <v>35</v>
      </c>
      <c r="C1110" s="1" t="s">
        <v>25</v>
      </c>
      <c r="D1110" s="1" t="s">
        <v>71</v>
      </c>
      <c r="E1110">
        <v>3</v>
      </c>
      <c r="F1110" s="1" t="s">
        <v>139</v>
      </c>
      <c r="G1110">
        <v>1</v>
      </c>
      <c r="H1110" s="1" t="s">
        <v>18</v>
      </c>
      <c r="I1110">
        <v>3</v>
      </c>
      <c r="J1110">
        <v>3</v>
      </c>
      <c r="K1110">
        <v>3</v>
      </c>
      <c r="L1110">
        <v>0</v>
      </c>
      <c r="M1110">
        <v>1</v>
      </c>
      <c r="N1110">
        <v>2</v>
      </c>
      <c r="O1110" s="1" t="s">
        <v>19</v>
      </c>
      <c r="P1110" s="1" t="s">
        <v>135</v>
      </c>
      <c r="Q1110">
        <v>992</v>
      </c>
      <c r="R1110" s="1" t="s">
        <v>63</v>
      </c>
      <c r="S1110">
        <v>1</v>
      </c>
      <c r="T1110">
        <v>1</v>
      </c>
      <c r="U1110">
        <v>4</v>
      </c>
      <c r="V1110">
        <v>68</v>
      </c>
      <c r="W1110">
        <v>2</v>
      </c>
      <c r="X1110">
        <v>1</v>
      </c>
      <c r="Y1110" s="1" t="s">
        <v>6</v>
      </c>
      <c r="Z1110">
        <v>1</v>
      </c>
      <c r="AA1110">
        <v>2450</v>
      </c>
      <c r="AB1110">
        <v>21731</v>
      </c>
      <c r="AC1110" s="1" t="s">
        <v>19</v>
      </c>
      <c r="AD1110">
        <v>19</v>
      </c>
      <c r="AE1110">
        <v>3</v>
      </c>
      <c r="AF1110">
        <v>2</v>
      </c>
      <c r="AG1110">
        <v>80</v>
      </c>
      <c r="AH1110">
        <v>0</v>
      </c>
      <c r="AI1110">
        <v>3</v>
      </c>
      <c r="AJ1110">
        <v>0</v>
      </c>
      <c r="AK1110" s="1" t="s">
        <v>136</v>
      </c>
    </row>
    <row r="1111" spans="1:37" x14ac:dyDescent="0.25">
      <c r="A1111">
        <v>1568</v>
      </c>
      <c r="B1111">
        <v>30</v>
      </c>
      <c r="C1111" s="1" t="s">
        <v>25</v>
      </c>
      <c r="D1111" s="1" t="s">
        <v>70</v>
      </c>
      <c r="E1111">
        <v>4</v>
      </c>
      <c r="F1111" s="1" t="s">
        <v>143</v>
      </c>
      <c r="G1111">
        <v>3</v>
      </c>
      <c r="H1111" s="1" t="s">
        <v>18</v>
      </c>
      <c r="I1111">
        <v>9</v>
      </c>
      <c r="J1111">
        <v>3</v>
      </c>
      <c r="K1111">
        <v>4</v>
      </c>
      <c r="L1111">
        <v>2</v>
      </c>
      <c r="M1111">
        <v>1</v>
      </c>
      <c r="N1111">
        <v>3</v>
      </c>
      <c r="O1111" s="1" t="s">
        <v>19</v>
      </c>
      <c r="P1111" s="1" t="s">
        <v>135</v>
      </c>
      <c r="Q1111">
        <v>1288</v>
      </c>
      <c r="R1111" s="1" t="s">
        <v>64</v>
      </c>
      <c r="S1111">
        <v>29</v>
      </c>
      <c r="T1111">
        <v>1</v>
      </c>
      <c r="U1111">
        <v>3</v>
      </c>
      <c r="V1111">
        <v>33</v>
      </c>
      <c r="W1111">
        <v>3</v>
      </c>
      <c r="X1111">
        <v>3</v>
      </c>
      <c r="Y1111" s="1" t="s">
        <v>4</v>
      </c>
      <c r="Z1111">
        <v>2</v>
      </c>
      <c r="AA1111">
        <v>9250</v>
      </c>
      <c r="AB1111">
        <v>17799</v>
      </c>
      <c r="AC1111" s="1" t="s">
        <v>19</v>
      </c>
      <c r="AD1111">
        <v>12</v>
      </c>
      <c r="AE1111">
        <v>3</v>
      </c>
      <c r="AF1111">
        <v>2</v>
      </c>
      <c r="AG1111">
        <v>80</v>
      </c>
      <c r="AH1111">
        <v>1</v>
      </c>
      <c r="AI1111">
        <v>3</v>
      </c>
      <c r="AJ1111">
        <v>0</v>
      </c>
      <c r="AK1111" s="1" t="s">
        <v>136</v>
      </c>
    </row>
    <row r="1112" spans="1:37" x14ac:dyDescent="0.25">
      <c r="A1112">
        <v>1569</v>
      </c>
      <c r="B1112">
        <v>35</v>
      </c>
      <c r="C1112" s="1" t="s">
        <v>24</v>
      </c>
      <c r="D1112" s="1" t="s">
        <v>69</v>
      </c>
      <c r="E1112">
        <v>3</v>
      </c>
      <c r="F1112" s="1" t="s">
        <v>134</v>
      </c>
      <c r="G1112">
        <v>1</v>
      </c>
      <c r="H1112" s="1" t="s">
        <v>18</v>
      </c>
      <c r="I1112">
        <v>1</v>
      </c>
      <c r="J1112">
        <v>2</v>
      </c>
      <c r="K1112">
        <v>1</v>
      </c>
      <c r="L1112">
        <v>0</v>
      </c>
      <c r="M1112">
        <v>0</v>
      </c>
      <c r="N1112">
        <v>0</v>
      </c>
      <c r="O1112" s="1" t="s">
        <v>18</v>
      </c>
      <c r="P1112" s="1" t="s">
        <v>135</v>
      </c>
      <c r="Q1112">
        <v>104</v>
      </c>
      <c r="R1112" s="1" t="s">
        <v>63</v>
      </c>
      <c r="S1112">
        <v>2</v>
      </c>
      <c r="T1112">
        <v>1</v>
      </c>
      <c r="U1112">
        <v>1</v>
      </c>
      <c r="V1112">
        <v>69</v>
      </c>
      <c r="W1112">
        <v>3</v>
      </c>
      <c r="X1112">
        <v>1</v>
      </c>
      <c r="Y1112" s="1" t="s">
        <v>6</v>
      </c>
      <c r="Z1112">
        <v>1</v>
      </c>
      <c r="AA1112">
        <v>2074</v>
      </c>
      <c r="AB1112">
        <v>26619</v>
      </c>
      <c r="AC1112" s="1" t="s">
        <v>18</v>
      </c>
      <c r="AD1112">
        <v>12</v>
      </c>
      <c r="AE1112">
        <v>3</v>
      </c>
      <c r="AF1112">
        <v>4</v>
      </c>
      <c r="AG1112">
        <v>80</v>
      </c>
      <c r="AH1112">
        <v>1</v>
      </c>
      <c r="AI1112">
        <v>3</v>
      </c>
      <c r="AJ1112">
        <v>1</v>
      </c>
      <c r="AK1112" s="1" t="s">
        <v>136</v>
      </c>
    </row>
    <row r="1113" spans="1:37" x14ac:dyDescent="0.25">
      <c r="A1113">
        <v>1572</v>
      </c>
      <c r="B1113">
        <v>53</v>
      </c>
      <c r="C1113" s="1" t="s">
        <v>24</v>
      </c>
      <c r="D1113" s="1" t="s">
        <v>70</v>
      </c>
      <c r="E1113">
        <v>5</v>
      </c>
      <c r="F1113" s="1" t="s">
        <v>143</v>
      </c>
      <c r="G1113">
        <v>0</v>
      </c>
      <c r="H1113" s="1" t="s">
        <v>18</v>
      </c>
      <c r="I1113">
        <v>34</v>
      </c>
      <c r="J1113">
        <v>4</v>
      </c>
      <c r="K1113">
        <v>33</v>
      </c>
      <c r="L1113">
        <v>7</v>
      </c>
      <c r="M1113">
        <v>1</v>
      </c>
      <c r="N1113">
        <v>9</v>
      </c>
      <c r="O1113" s="1" t="s">
        <v>18</v>
      </c>
      <c r="P1113" s="1" t="s">
        <v>135</v>
      </c>
      <c r="Q1113">
        <v>607</v>
      </c>
      <c r="R1113" s="1" t="s">
        <v>63</v>
      </c>
      <c r="S1113">
        <v>2</v>
      </c>
      <c r="T1113">
        <v>1</v>
      </c>
      <c r="U1113">
        <v>3</v>
      </c>
      <c r="V1113">
        <v>78</v>
      </c>
      <c r="W1113">
        <v>2</v>
      </c>
      <c r="X1113">
        <v>3</v>
      </c>
      <c r="Y1113" s="1" t="s">
        <v>7</v>
      </c>
      <c r="Z1113">
        <v>4</v>
      </c>
      <c r="AA1113">
        <v>10169</v>
      </c>
      <c r="AB1113">
        <v>14618</v>
      </c>
      <c r="AC1113" s="1" t="s">
        <v>19</v>
      </c>
      <c r="AD1113">
        <v>16</v>
      </c>
      <c r="AE1113">
        <v>3</v>
      </c>
      <c r="AF1113">
        <v>2</v>
      </c>
      <c r="AG1113">
        <v>80</v>
      </c>
      <c r="AH1113">
        <v>1</v>
      </c>
      <c r="AI1113">
        <v>3</v>
      </c>
      <c r="AJ1113">
        <v>1</v>
      </c>
      <c r="AK1113" s="1" t="s">
        <v>140</v>
      </c>
    </row>
    <row r="1114" spans="1:37" x14ac:dyDescent="0.25">
      <c r="A1114">
        <v>1573</v>
      </c>
      <c r="B1114">
        <v>38</v>
      </c>
      <c r="C1114" s="1" t="s">
        <v>25</v>
      </c>
      <c r="D1114" s="1" t="s">
        <v>70</v>
      </c>
      <c r="E1114">
        <v>3</v>
      </c>
      <c r="F1114" s="1" t="s">
        <v>139</v>
      </c>
      <c r="G1114">
        <v>4</v>
      </c>
      <c r="H1114" s="1" t="s">
        <v>18</v>
      </c>
      <c r="I1114">
        <v>7</v>
      </c>
      <c r="J1114">
        <v>2</v>
      </c>
      <c r="K1114">
        <v>5</v>
      </c>
      <c r="L1114">
        <v>2</v>
      </c>
      <c r="M1114">
        <v>1</v>
      </c>
      <c r="N1114">
        <v>4</v>
      </c>
      <c r="O1114" s="1" t="s">
        <v>18</v>
      </c>
      <c r="P1114" s="1" t="s">
        <v>135</v>
      </c>
      <c r="Q1114">
        <v>903</v>
      </c>
      <c r="R1114" s="1" t="s">
        <v>63</v>
      </c>
      <c r="S1114">
        <v>2</v>
      </c>
      <c r="T1114">
        <v>1</v>
      </c>
      <c r="U1114">
        <v>3</v>
      </c>
      <c r="V1114">
        <v>81</v>
      </c>
      <c r="W1114">
        <v>3</v>
      </c>
      <c r="X1114">
        <v>2</v>
      </c>
      <c r="Y1114" s="1" t="s">
        <v>7</v>
      </c>
      <c r="Z1114">
        <v>2</v>
      </c>
      <c r="AA1114">
        <v>4855</v>
      </c>
      <c r="AB1114">
        <v>7653</v>
      </c>
      <c r="AC1114" s="1" t="s">
        <v>19</v>
      </c>
      <c r="AD1114">
        <v>11</v>
      </c>
      <c r="AE1114">
        <v>3</v>
      </c>
      <c r="AF1114">
        <v>1</v>
      </c>
      <c r="AG1114">
        <v>80</v>
      </c>
      <c r="AH1114">
        <v>2</v>
      </c>
      <c r="AI1114">
        <v>3</v>
      </c>
      <c r="AJ1114">
        <v>1</v>
      </c>
      <c r="AK1114" s="1" t="s">
        <v>136</v>
      </c>
    </row>
    <row r="1115" spans="1:37" x14ac:dyDescent="0.25">
      <c r="A1115">
        <v>1574</v>
      </c>
      <c r="B1115">
        <v>32</v>
      </c>
      <c r="C1115" s="1" t="s">
        <v>25</v>
      </c>
      <c r="D1115" s="1" t="s">
        <v>70</v>
      </c>
      <c r="E1115">
        <v>4</v>
      </c>
      <c r="F1115" s="1" t="s">
        <v>143</v>
      </c>
      <c r="G1115">
        <v>4</v>
      </c>
      <c r="H1115" s="1" t="s">
        <v>18</v>
      </c>
      <c r="I1115">
        <v>9</v>
      </c>
      <c r="J1115">
        <v>3</v>
      </c>
      <c r="K1115">
        <v>6</v>
      </c>
      <c r="L1115">
        <v>5</v>
      </c>
      <c r="M1115">
        <v>1</v>
      </c>
      <c r="N1115">
        <v>2</v>
      </c>
      <c r="O1115" s="1" t="s">
        <v>19</v>
      </c>
      <c r="P1115" s="1" t="s">
        <v>141</v>
      </c>
      <c r="Q1115">
        <v>1200</v>
      </c>
      <c r="R1115" s="1" t="s">
        <v>63</v>
      </c>
      <c r="S1115">
        <v>1</v>
      </c>
      <c r="T1115">
        <v>1</v>
      </c>
      <c r="U1115">
        <v>4</v>
      </c>
      <c r="V1115">
        <v>62</v>
      </c>
      <c r="W1115">
        <v>3</v>
      </c>
      <c r="X1115">
        <v>2</v>
      </c>
      <c r="Y1115" s="1" t="s">
        <v>5</v>
      </c>
      <c r="Z1115">
        <v>1</v>
      </c>
      <c r="AA1115">
        <v>4087</v>
      </c>
      <c r="AB1115">
        <v>25174</v>
      </c>
      <c r="AC1115" s="1" t="s">
        <v>19</v>
      </c>
      <c r="AD1115">
        <v>14</v>
      </c>
      <c r="AE1115">
        <v>3</v>
      </c>
      <c r="AF1115">
        <v>2</v>
      </c>
      <c r="AG1115">
        <v>80</v>
      </c>
      <c r="AH1115">
        <v>1</v>
      </c>
      <c r="AI1115">
        <v>2</v>
      </c>
      <c r="AJ1115">
        <v>0</v>
      </c>
      <c r="AK1115" s="1" t="s">
        <v>136</v>
      </c>
    </row>
    <row r="1116" spans="1:37" x14ac:dyDescent="0.25">
      <c r="A1116">
        <v>1576</v>
      </c>
      <c r="B1116">
        <v>48</v>
      </c>
      <c r="C1116" s="1" t="s">
        <v>24</v>
      </c>
      <c r="D1116" s="1" t="s">
        <v>70</v>
      </c>
      <c r="E1116">
        <v>4</v>
      </c>
      <c r="F1116" s="1" t="s">
        <v>138</v>
      </c>
      <c r="G1116">
        <v>8</v>
      </c>
      <c r="H1116" s="1" t="s">
        <v>18</v>
      </c>
      <c r="I1116">
        <v>10</v>
      </c>
      <c r="J1116">
        <v>3</v>
      </c>
      <c r="K1116">
        <v>8</v>
      </c>
      <c r="L1116">
        <v>2</v>
      </c>
      <c r="M1116">
        <v>7</v>
      </c>
      <c r="N1116">
        <v>6</v>
      </c>
      <c r="O1116" s="1" t="s">
        <v>19</v>
      </c>
      <c r="P1116" s="1" t="s">
        <v>135</v>
      </c>
      <c r="Q1116">
        <v>1108</v>
      </c>
      <c r="R1116" s="1" t="s">
        <v>63</v>
      </c>
      <c r="S1116">
        <v>15</v>
      </c>
      <c r="T1116">
        <v>1</v>
      </c>
      <c r="U1116">
        <v>3</v>
      </c>
      <c r="V1116">
        <v>65</v>
      </c>
      <c r="W1116">
        <v>3</v>
      </c>
      <c r="X1116">
        <v>1</v>
      </c>
      <c r="Y1116" s="1" t="s">
        <v>5</v>
      </c>
      <c r="Z1116">
        <v>1</v>
      </c>
      <c r="AA1116">
        <v>2367</v>
      </c>
      <c r="AB1116">
        <v>16530</v>
      </c>
      <c r="AC1116" s="1" t="s">
        <v>19</v>
      </c>
      <c r="AD1116">
        <v>12</v>
      </c>
      <c r="AE1116">
        <v>3</v>
      </c>
      <c r="AF1116">
        <v>4</v>
      </c>
      <c r="AG1116">
        <v>80</v>
      </c>
      <c r="AH1116">
        <v>1</v>
      </c>
      <c r="AI1116">
        <v>2</v>
      </c>
      <c r="AJ1116">
        <v>0</v>
      </c>
      <c r="AK1116" s="1" t="s">
        <v>136</v>
      </c>
    </row>
    <row r="1117" spans="1:37" x14ac:dyDescent="0.25">
      <c r="A1117">
        <v>1577</v>
      </c>
      <c r="B1117">
        <v>34</v>
      </c>
      <c r="C1117" s="1" t="s">
        <v>25</v>
      </c>
      <c r="D1117" s="1" t="s">
        <v>71</v>
      </c>
      <c r="E1117">
        <v>4</v>
      </c>
      <c r="F1117" s="1" t="s">
        <v>139</v>
      </c>
      <c r="G1117">
        <v>1</v>
      </c>
      <c r="H1117" s="1" t="s">
        <v>18</v>
      </c>
      <c r="I1117">
        <v>1</v>
      </c>
      <c r="J1117">
        <v>4</v>
      </c>
      <c r="K1117">
        <v>1</v>
      </c>
      <c r="L1117">
        <v>0</v>
      </c>
      <c r="M1117">
        <v>0</v>
      </c>
      <c r="N1117">
        <v>0</v>
      </c>
      <c r="O1117" s="1" t="s">
        <v>19</v>
      </c>
      <c r="P1117" s="1" t="s">
        <v>135</v>
      </c>
      <c r="Q1117">
        <v>479</v>
      </c>
      <c r="R1117" s="1" t="s">
        <v>63</v>
      </c>
      <c r="S1117">
        <v>7</v>
      </c>
      <c r="T1117">
        <v>1</v>
      </c>
      <c r="U1117">
        <v>1</v>
      </c>
      <c r="V1117">
        <v>35</v>
      </c>
      <c r="W1117">
        <v>3</v>
      </c>
      <c r="X1117">
        <v>1</v>
      </c>
      <c r="Y1117" s="1" t="s">
        <v>5</v>
      </c>
      <c r="Z1117">
        <v>4</v>
      </c>
      <c r="AA1117">
        <v>2972</v>
      </c>
      <c r="AB1117">
        <v>22061</v>
      </c>
      <c r="AC1117" s="1" t="s">
        <v>19</v>
      </c>
      <c r="AD1117">
        <v>13</v>
      </c>
      <c r="AE1117">
        <v>3</v>
      </c>
      <c r="AF1117">
        <v>3</v>
      </c>
      <c r="AG1117">
        <v>80</v>
      </c>
      <c r="AH1117">
        <v>0</v>
      </c>
      <c r="AI1117">
        <v>1</v>
      </c>
      <c r="AJ1117">
        <v>0</v>
      </c>
      <c r="AK1117" s="1" t="s">
        <v>136</v>
      </c>
    </row>
    <row r="1118" spans="1:37" x14ac:dyDescent="0.25">
      <c r="A1118">
        <v>1578</v>
      </c>
      <c r="B1118">
        <v>55</v>
      </c>
      <c r="C1118" s="1" t="s">
        <v>25</v>
      </c>
      <c r="D1118" s="1" t="s">
        <v>70</v>
      </c>
      <c r="E1118">
        <v>5</v>
      </c>
      <c r="F1118" s="1" t="s">
        <v>142</v>
      </c>
      <c r="G1118">
        <v>1</v>
      </c>
      <c r="H1118" s="1" t="s">
        <v>18</v>
      </c>
      <c r="I1118">
        <v>36</v>
      </c>
      <c r="J1118">
        <v>3</v>
      </c>
      <c r="K1118">
        <v>36</v>
      </c>
      <c r="L1118">
        <v>6</v>
      </c>
      <c r="M1118">
        <v>2</v>
      </c>
      <c r="N1118">
        <v>13</v>
      </c>
      <c r="O1118" s="1" t="s">
        <v>19</v>
      </c>
      <c r="P1118" s="1" t="s">
        <v>135</v>
      </c>
      <c r="Q1118">
        <v>685</v>
      </c>
      <c r="R1118" s="1" t="s">
        <v>64</v>
      </c>
      <c r="S1118">
        <v>26</v>
      </c>
      <c r="T1118">
        <v>1</v>
      </c>
      <c r="U1118">
        <v>3</v>
      </c>
      <c r="V1118">
        <v>60</v>
      </c>
      <c r="W1118">
        <v>2</v>
      </c>
      <c r="X1118">
        <v>5</v>
      </c>
      <c r="Y1118" s="1" t="s">
        <v>9</v>
      </c>
      <c r="Z1118">
        <v>4</v>
      </c>
      <c r="AA1118">
        <v>19586</v>
      </c>
      <c r="AB1118">
        <v>23037</v>
      </c>
      <c r="AC1118" s="1" t="s">
        <v>19</v>
      </c>
      <c r="AD1118">
        <v>21</v>
      </c>
      <c r="AE1118">
        <v>4</v>
      </c>
      <c r="AF1118">
        <v>3</v>
      </c>
      <c r="AG1118">
        <v>80</v>
      </c>
      <c r="AH1118">
        <v>1</v>
      </c>
      <c r="AI1118">
        <v>3</v>
      </c>
      <c r="AJ1118">
        <v>0</v>
      </c>
      <c r="AK1118" s="1" t="s">
        <v>140</v>
      </c>
    </row>
    <row r="1119" spans="1:37" x14ac:dyDescent="0.25">
      <c r="A1119">
        <v>1580</v>
      </c>
      <c r="B1119">
        <v>34</v>
      </c>
      <c r="C1119" s="1" t="s">
        <v>25</v>
      </c>
      <c r="D1119" s="1" t="s">
        <v>70</v>
      </c>
      <c r="E1119">
        <v>4</v>
      </c>
      <c r="F1119" s="1" t="s">
        <v>134</v>
      </c>
      <c r="G1119">
        <v>9</v>
      </c>
      <c r="H1119" s="1" t="s">
        <v>18</v>
      </c>
      <c r="I1119">
        <v>9</v>
      </c>
      <c r="J1119">
        <v>3</v>
      </c>
      <c r="K1119">
        <v>2</v>
      </c>
      <c r="L1119">
        <v>2</v>
      </c>
      <c r="M1119">
        <v>2</v>
      </c>
      <c r="N1119">
        <v>1</v>
      </c>
      <c r="O1119" s="1" t="s">
        <v>19</v>
      </c>
      <c r="P1119" s="1" t="s">
        <v>135</v>
      </c>
      <c r="Q1119">
        <v>1351</v>
      </c>
      <c r="R1119" s="1" t="s">
        <v>63</v>
      </c>
      <c r="S1119">
        <v>1</v>
      </c>
      <c r="T1119">
        <v>1</v>
      </c>
      <c r="U1119">
        <v>2</v>
      </c>
      <c r="V1119">
        <v>45</v>
      </c>
      <c r="W1119">
        <v>3</v>
      </c>
      <c r="X1119">
        <v>2</v>
      </c>
      <c r="Y1119" s="1" t="s">
        <v>5</v>
      </c>
      <c r="Z1119">
        <v>4</v>
      </c>
      <c r="AA1119">
        <v>5484</v>
      </c>
      <c r="AB1119">
        <v>13008</v>
      </c>
      <c r="AC1119" s="1" t="s">
        <v>19</v>
      </c>
      <c r="AD1119">
        <v>17</v>
      </c>
      <c r="AE1119">
        <v>3</v>
      </c>
      <c r="AF1119">
        <v>2</v>
      </c>
      <c r="AG1119">
        <v>80</v>
      </c>
      <c r="AH1119">
        <v>1</v>
      </c>
      <c r="AI1119">
        <v>2</v>
      </c>
      <c r="AJ1119">
        <v>0</v>
      </c>
      <c r="AK1119" s="1" t="s">
        <v>136</v>
      </c>
    </row>
    <row r="1120" spans="1:37" x14ac:dyDescent="0.25">
      <c r="A1120">
        <v>1581</v>
      </c>
      <c r="B1120">
        <v>26</v>
      </c>
      <c r="C1120" s="1" t="s">
        <v>24</v>
      </c>
      <c r="D1120" s="1" t="s">
        <v>70</v>
      </c>
      <c r="E1120">
        <v>3</v>
      </c>
      <c r="F1120" s="1" t="s">
        <v>134</v>
      </c>
      <c r="G1120">
        <v>1</v>
      </c>
      <c r="H1120" s="1" t="s">
        <v>18</v>
      </c>
      <c r="I1120">
        <v>1</v>
      </c>
      <c r="J1120">
        <v>5</v>
      </c>
      <c r="K1120">
        <v>1</v>
      </c>
      <c r="L1120">
        <v>0</v>
      </c>
      <c r="M1120">
        <v>0</v>
      </c>
      <c r="N1120">
        <v>0</v>
      </c>
      <c r="O1120" s="1" t="s">
        <v>19</v>
      </c>
      <c r="P1120" s="1" t="s">
        <v>135</v>
      </c>
      <c r="Q1120">
        <v>474</v>
      </c>
      <c r="R1120" s="1" t="s">
        <v>63</v>
      </c>
      <c r="S1120">
        <v>3</v>
      </c>
      <c r="T1120">
        <v>1</v>
      </c>
      <c r="U1120">
        <v>1</v>
      </c>
      <c r="V1120">
        <v>89</v>
      </c>
      <c r="W1120">
        <v>3</v>
      </c>
      <c r="X1120">
        <v>1</v>
      </c>
      <c r="Y1120" s="1" t="s">
        <v>5</v>
      </c>
      <c r="Z1120">
        <v>4</v>
      </c>
      <c r="AA1120">
        <v>2061</v>
      </c>
      <c r="AB1120">
        <v>11133</v>
      </c>
      <c r="AC1120" s="1" t="s">
        <v>19</v>
      </c>
      <c r="AD1120">
        <v>21</v>
      </c>
      <c r="AE1120">
        <v>4</v>
      </c>
      <c r="AF1120">
        <v>1</v>
      </c>
      <c r="AG1120">
        <v>80</v>
      </c>
      <c r="AH1120">
        <v>0</v>
      </c>
      <c r="AI1120">
        <v>3</v>
      </c>
      <c r="AJ1120">
        <v>0</v>
      </c>
      <c r="AK1120" s="1" t="s">
        <v>136</v>
      </c>
    </row>
    <row r="1121" spans="1:37" x14ac:dyDescent="0.25">
      <c r="A1121">
        <v>1582</v>
      </c>
      <c r="B1121">
        <v>38</v>
      </c>
      <c r="C1121" s="1" t="s">
        <v>25</v>
      </c>
      <c r="D1121" s="1" t="s">
        <v>70</v>
      </c>
      <c r="E1121">
        <v>3</v>
      </c>
      <c r="F1121" s="1" t="s">
        <v>134</v>
      </c>
      <c r="G1121">
        <v>0</v>
      </c>
      <c r="H1121" s="1" t="s">
        <v>18</v>
      </c>
      <c r="I1121">
        <v>10</v>
      </c>
      <c r="J1121">
        <v>3</v>
      </c>
      <c r="K1121">
        <v>9</v>
      </c>
      <c r="L1121">
        <v>8</v>
      </c>
      <c r="M1121">
        <v>7</v>
      </c>
      <c r="N1121">
        <v>7</v>
      </c>
      <c r="O1121" s="1" t="s">
        <v>19</v>
      </c>
      <c r="P1121" s="1" t="s">
        <v>135</v>
      </c>
      <c r="Q1121">
        <v>1245</v>
      </c>
      <c r="R1121" s="1" t="s">
        <v>64</v>
      </c>
      <c r="S1121">
        <v>14</v>
      </c>
      <c r="T1121">
        <v>1</v>
      </c>
      <c r="U1121">
        <v>3</v>
      </c>
      <c r="V1121">
        <v>80</v>
      </c>
      <c r="W1121">
        <v>3</v>
      </c>
      <c r="X1121">
        <v>2</v>
      </c>
      <c r="Y1121" s="1" t="s">
        <v>4</v>
      </c>
      <c r="Z1121">
        <v>2</v>
      </c>
      <c r="AA1121">
        <v>9924</v>
      </c>
      <c r="AB1121">
        <v>12355</v>
      </c>
      <c r="AC1121" s="1" t="s">
        <v>19</v>
      </c>
      <c r="AD1121">
        <v>11</v>
      </c>
      <c r="AE1121">
        <v>3</v>
      </c>
      <c r="AF1121">
        <v>4</v>
      </c>
      <c r="AG1121">
        <v>80</v>
      </c>
      <c r="AH1121">
        <v>1</v>
      </c>
      <c r="AI1121">
        <v>3</v>
      </c>
      <c r="AJ1121">
        <v>0</v>
      </c>
      <c r="AK1121" s="1" t="s">
        <v>136</v>
      </c>
    </row>
    <row r="1122" spans="1:37" x14ac:dyDescent="0.25">
      <c r="A1122">
        <v>1583</v>
      </c>
      <c r="B1122">
        <v>38</v>
      </c>
      <c r="C1122" s="1" t="s">
        <v>24</v>
      </c>
      <c r="D1122" s="1" t="s">
        <v>71</v>
      </c>
      <c r="E1122">
        <v>3</v>
      </c>
      <c r="F1122" s="1" t="s">
        <v>134</v>
      </c>
      <c r="G1122">
        <v>2</v>
      </c>
      <c r="H1122" s="1" t="s">
        <v>18</v>
      </c>
      <c r="I1122">
        <v>8</v>
      </c>
      <c r="J1122">
        <v>5</v>
      </c>
      <c r="K1122">
        <v>3</v>
      </c>
      <c r="L1122">
        <v>2</v>
      </c>
      <c r="M1122">
        <v>1</v>
      </c>
      <c r="N1122">
        <v>2</v>
      </c>
      <c r="O1122" s="1" t="s">
        <v>19</v>
      </c>
      <c r="P1122" s="1" t="s">
        <v>135</v>
      </c>
      <c r="Q1122">
        <v>437</v>
      </c>
      <c r="R1122" s="1" t="s">
        <v>64</v>
      </c>
      <c r="S1122">
        <v>16</v>
      </c>
      <c r="T1122">
        <v>1</v>
      </c>
      <c r="U1122">
        <v>2</v>
      </c>
      <c r="V1122">
        <v>90</v>
      </c>
      <c r="W1122">
        <v>3</v>
      </c>
      <c r="X1122">
        <v>2</v>
      </c>
      <c r="Y1122" s="1" t="s">
        <v>4</v>
      </c>
      <c r="Z1122">
        <v>2</v>
      </c>
      <c r="AA1122">
        <v>4198</v>
      </c>
      <c r="AB1122">
        <v>16379</v>
      </c>
      <c r="AC1122" s="1" t="s">
        <v>19</v>
      </c>
      <c r="AD1122">
        <v>12</v>
      </c>
      <c r="AE1122">
        <v>3</v>
      </c>
      <c r="AF1122">
        <v>2</v>
      </c>
      <c r="AG1122">
        <v>80</v>
      </c>
      <c r="AH1122">
        <v>0</v>
      </c>
      <c r="AI1122">
        <v>4</v>
      </c>
      <c r="AJ1122">
        <v>0</v>
      </c>
      <c r="AK1122" s="1" t="s">
        <v>136</v>
      </c>
    </row>
    <row r="1123" spans="1:37" x14ac:dyDescent="0.25">
      <c r="A1123">
        <v>1585</v>
      </c>
      <c r="B1123">
        <v>36</v>
      </c>
      <c r="C1123" s="1" t="s">
        <v>24</v>
      </c>
      <c r="D1123" s="1" t="s">
        <v>71</v>
      </c>
      <c r="E1123">
        <v>4</v>
      </c>
      <c r="F1123" s="1" t="s">
        <v>134</v>
      </c>
      <c r="G1123">
        <v>6</v>
      </c>
      <c r="H1123" s="1" t="s">
        <v>18</v>
      </c>
      <c r="I1123">
        <v>15</v>
      </c>
      <c r="J1123">
        <v>5</v>
      </c>
      <c r="K1123">
        <v>1</v>
      </c>
      <c r="L1123">
        <v>0</v>
      </c>
      <c r="M1123">
        <v>0</v>
      </c>
      <c r="N1123">
        <v>0</v>
      </c>
      <c r="O1123" s="1" t="s">
        <v>19</v>
      </c>
      <c r="P1123" s="1" t="s">
        <v>135</v>
      </c>
      <c r="Q1123">
        <v>884</v>
      </c>
      <c r="R1123" s="1" t="s">
        <v>64</v>
      </c>
      <c r="S1123">
        <v>1</v>
      </c>
      <c r="T1123">
        <v>1</v>
      </c>
      <c r="U1123">
        <v>2</v>
      </c>
      <c r="V1123">
        <v>73</v>
      </c>
      <c r="W1123">
        <v>3</v>
      </c>
      <c r="X1123">
        <v>2</v>
      </c>
      <c r="Y1123" s="1" t="s">
        <v>4</v>
      </c>
      <c r="Z1123">
        <v>3</v>
      </c>
      <c r="AA1123">
        <v>6815</v>
      </c>
      <c r="AB1123">
        <v>21447</v>
      </c>
      <c r="AC1123" s="1" t="s">
        <v>19</v>
      </c>
      <c r="AD1123">
        <v>13</v>
      </c>
      <c r="AE1123">
        <v>3</v>
      </c>
      <c r="AF1123">
        <v>1</v>
      </c>
      <c r="AG1123">
        <v>80</v>
      </c>
      <c r="AH1123">
        <v>0</v>
      </c>
      <c r="AI1123">
        <v>3</v>
      </c>
      <c r="AJ1123">
        <v>0</v>
      </c>
      <c r="AK1123" s="1" t="s">
        <v>136</v>
      </c>
    </row>
    <row r="1124" spans="1:37" x14ac:dyDescent="0.25">
      <c r="A1124">
        <v>1586</v>
      </c>
      <c r="B1124">
        <v>29</v>
      </c>
      <c r="C1124" s="1" t="s">
        <v>25</v>
      </c>
      <c r="D1124" s="1" t="s">
        <v>71</v>
      </c>
      <c r="E1124">
        <v>1</v>
      </c>
      <c r="F1124" s="1" t="s">
        <v>139</v>
      </c>
      <c r="G1124">
        <v>1</v>
      </c>
      <c r="H1124" s="1" t="s">
        <v>18</v>
      </c>
      <c r="I1124">
        <v>10</v>
      </c>
      <c r="J1124">
        <v>3</v>
      </c>
      <c r="K1124">
        <v>10</v>
      </c>
      <c r="L1124">
        <v>9</v>
      </c>
      <c r="M1124">
        <v>1</v>
      </c>
      <c r="N1124">
        <v>5</v>
      </c>
      <c r="O1124" s="1" t="s">
        <v>19</v>
      </c>
      <c r="P1124" s="1" t="s">
        <v>135</v>
      </c>
      <c r="Q1124">
        <v>1370</v>
      </c>
      <c r="R1124" s="1" t="s">
        <v>63</v>
      </c>
      <c r="S1124">
        <v>3</v>
      </c>
      <c r="T1124">
        <v>1</v>
      </c>
      <c r="U1124">
        <v>2</v>
      </c>
      <c r="V1124">
        <v>87</v>
      </c>
      <c r="W1124">
        <v>3</v>
      </c>
      <c r="X1124">
        <v>1</v>
      </c>
      <c r="Y1124" s="1" t="s">
        <v>6</v>
      </c>
      <c r="Z1124">
        <v>1</v>
      </c>
      <c r="AA1124">
        <v>4723</v>
      </c>
      <c r="AB1124">
        <v>16213</v>
      </c>
      <c r="AC1124" s="1" t="s">
        <v>18</v>
      </c>
      <c r="AD1124">
        <v>18</v>
      </c>
      <c r="AE1124">
        <v>3</v>
      </c>
      <c r="AF1124">
        <v>4</v>
      </c>
      <c r="AG1124">
        <v>80</v>
      </c>
      <c r="AH1124">
        <v>0</v>
      </c>
      <c r="AI1124">
        <v>3</v>
      </c>
      <c r="AJ1124">
        <v>0</v>
      </c>
      <c r="AK1124" s="1" t="s">
        <v>136</v>
      </c>
    </row>
    <row r="1125" spans="1:37" x14ac:dyDescent="0.25">
      <c r="A1125">
        <v>1587</v>
      </c>
      <c r="B1125">
        <v>35</v>
      </c>
      <c r="C1125" s="1" t="s">
        <v>24</v>
      </c>
      <c r="D1125" s="1" t="s">
        <v>71</v>
      </c>
      <c r="E1125">
        <v>4</v>
      </c>
      <c r="F1125" s="1" t="s">
        <v>139</v>
      </c>
      <c r="G1125">
        <v>3</v>
      </c>
      <c r="H1125" s="1" t="s">
        <v>18</v>
      </c>
      <c r="I1125">
        <v>10</v>
      </c>
      <c r="J1125">
        <v>4</v>
      </c>
      <c r="K1125">
        <v>5</v>
      </c>
      <c r="L1125">
        <v>2</v>
      </c>
      <c r="M1125">
        <v>0</v>
      </c>
      <c r="N1125">
        <v>4</v>
      </c>
      <c r="O1125" s="1" t="s">
        <v>19</v>
      </c>
      <c r="P1125" s="1" t="s">
        <v>135</v>
      </c>
      <c r="Q1125">
        <v>670</v>
      </c>
      <c r="R1125" s="1" t="s">
        <v>63</v>
      </c>
      <c r="S1125">
        <v>10</v>
      </c>
      <c r="T1125">
        <v>1</v>
      </c>
      <c r="U1125">
        <v>1</v>
      </c>
      <c r="V1125">
        <v>51</v>
      </c>
      <c r="W1125">
        <v>3</v>
      </c>
      <c r="X1125">
        <v>2</v>
      </c>
      <c r="Y1125" s="1" t="s">
        <v>8</v>
      </c>
      <c r="Z1125">
        <v>3</v>
      </c>
      <c r="AA1125">
        <v>6142</v>
      </c>
      <c r="AB1125">
        <v>4223</v>
      </c>
      <c r="AC1125" s="1" t="s">
        <v>18</v>
      </c>
      <c r="AD1125">
        <v>16</v>
      </c>
      <c r="AE1125">
        <v>3</v>
      </c>
      <c r="AF1125">
        <v>3</v>
      </c>
      <c r="AG1125">
        <v>80</v>
      </c>
      <c r="AH1125">
        <v>0</v>
      </c>
      <c r="AI1125">
        <v>3</v>
      </c>
      <c r="AJ1125">
        <v>0</v>
      </c>
      <c r="AK1125" s="1" t="s">
        <v>136</v>
      </c>
    </row>
    <row r="1126" spans="1:37" x14ac:dyDescent="0.25">
      <c r="A1126">
        <v>1588</v>
      </c>
      <c r="B1126">
        <v>39</v>
      </c>
      <c r="C1126" s="1" t="s">
        <v>25</v>
      </c>
      <c r="D1126" s="1" t="s">
        <v>70</v>
      </c>
      <c r="E1126">
        <v>3</v>
      </c>
      <c r="F1126" s="1" t="s">
        <v>139</v>
      </c>
      <c r="G1126">
        <v>2</v>
      </c>
      <c r="H1126" s="1" t="s">
        <v>18</v>
      </c>
      <c r="I1126">
        <v>11</v>
      </c>
      <c r="J1126">
        <v>3</v>
      </c>
      <c r="K1126">
        <v>7</v>
      </c>
      <c r="L1126">
        <v>6</v>
      </c>
      <c r="M1126">
        <v>7</v>
      </c>
      <c r="N1126">
        <v>6</v>
      </c>
      <c r="O1126" s="1" t="s">
        <v>19</v>
      </c>
      <c r="P1126" s="1" t="s">
        <v>135</v>
      </c>
      <c r="Q1126">
        <v>1462</v>
      </c>
      <c r="R1126" s="1" t="s">
        <v>64</v>
      </c>
      <c r="S1126">
        <v>6</v>
      </c>
      <c r="T1126">
        <v>1</v>
      </c>
      <c r="U1126">
        <v>4</v>
      </c>
      <c r="V1126">
        <v>38</v>
      </c>
      <c r="W1126">
        <v>4</v>
      </c>
      <c r="X1126">
        <v>3</v>
      </c>
      <c r="Y1126" s="1" t="s">
        <v>4</v>
      </c>
      <c r="Z1126">
        <v>3</v>
      </c>
      <c r="AA1126">
        <v>8237</v>
      </c>
      <c r="AB1126">
        <v>4658</v>
      </c>
      <c r="AC1126" s="1" t="s">
        <v>19</v>
      </c>
      <c r="AD1126">
        <v>11</v>
      </c>
      <c r="AE1126">
        <v>3</v>
      </c>
      <c r="AF1126">
        <v>1</v>
      </c>
      <c r="AG1126">
        <v>80</v>
      </c>
      <c r="AH1126">
        <v>1</v>
      </c>
      <c r="AI1126">
        <v>3</v>
      </c>
      <c r="AJ1126">
        <v>0</v>
      </c>
      <c r="AK1126" s="1" t="s">
        <v>136</v>
      </c>
    </row>
    <row r="1127" spans="1:37" x14ac:dyDescent="0.25">
      <c r="A1127">
        <v>1590</v>
      </c>
      <c r="B1127">
        <v>29</v>
      </c>
      <c r="C1127" s="1" t="s">
        <v>25</v>
      </c>
      <c r="D1127" s="1" t="s">
        <v>69</v>
      </c>
      <c r="E1127">
        <v>1</v>
      </c>
      <c r="F1127" s="1" t="s">
        <v>134</v>
      </c>
      <c r="G1127">
        <v>1</v>
      </c>
      <c r="H1127" s="1" t="s">
        <v>18</v>
      </c>
      <c r="I1127">
        <v>6</v>
      </c>
      <c r="J1127">
        <v>0</v>
      </c>
      <c r="K1127">
        <v>6</v>
      </c>
      <c r="L1127">
        <v>4</v>
      </c>
      <c r="M1127">
        <v>1</v>
      </c>
      <c r="N1127">
        <v>3</v>
      </c>
      <c r="O1127" s="1" t="s">
        <v>19</v>
      </c>
      <c r="P1127" s="1" t="s">
        <v>137</v>
      </c>
      <c r="Q1127">
        <v>995</v>
      </c>
      <c r="R1127" s="1" t="s">
        <v>63</v>
      </c>
      <c r="S1127">
        <v>2</v>
      </c>
      <c r="T1127">
        <v>1</v>
      </c>
      <c r="U1127">
        <v>1</v>
      </c>
      <c r="V1127">
        <v>87</v>
      </c>
      <c r="W1127">
        <v>3</v>
      </c>
      <c r="X1127">
        <v>2</v>
      </c>
      <c r="Y1127" s="1" t="s">
        <v>8</v>
      </c>
      <c r="Z1127">
        <v>4</v>
      </c>
      <c r="AA1127">
        <v>8853</v>
      </c>
      <c r="AB1127">
        <v>24483</v>
      </c>
      <c r="AC1127" s="1" t="s">
        <v>19</v>
      </c>
      <c r="AD1127">
        <v>19</v>
      </c>
      <c r="AE1127">
        <v>3</v>
      </c>
      <c r="AF1127">
        <v>4</v>
      </c>
      <c r="AG1127">
        <v>80</v>
      </c>
      <c r="AH1127">
        <v>1</v>
      </c>
      <c r="AI1127">
        <v>4</v>
      </c>
      <c r="AJ1127">
        <v>0</v>
      </c>
      <c r="AK1127" s="1" t="s">
        <v>136</v>
      </c>
    </row>
    <row r="1128" spans="1:37" x14ac:dyDescent="0.25">
      <c r="A1128">
        <v>1591</v>
      </c>
      <c r="B1128">
        <v>50</v>
      </c>
      <c r="C1128" s="1" t="s">
        <v>25</v>
      </c>
      <c r="D1128" s="1" t="s">
        <v>70</v>
      </c>
      <c r="E1128">
        <v>3</v>
      </c>
      <c r="F1128" s="1" t="s">
        <v>142</v>
      </c>
      <c r="G1128">
        <v>4</v>
      </c>
      <c r="H1128" s="1" t="s">
        <v>18</v>
      </c>
      <c r="I1128">
        <v>27</v>
      </c>
      <c r="J1128">
        <v>2</v>
      </c>
      <c r="K1128">
        <v>1</v>
      </c>
      <c r="L1128">
        <v>0</v>
      </c>
      <c r="M1128">
        <v>0</v>
      </c>
      <c r="N1128">
        <v>0</v>
      </c>
      <c r="O1128" s="1" t="s">
        <v>19</v>
      </c>
      <c r="P1128" s="1" t="s">
        <v>135</v>
      </c>
      <c r="Q1128">
        <v>264</v>
      </c>
      <c r="R1128" s="1" t="s">
        <v>64</v>
      </c>
      <c r="S1128">
        <v>9</v>
      </c>
      <c r="T1128">
        <v>1</v>
      </c>
      <c r="U1128">
        <v>3</v>
      </c>
      <c r="V1128">
        <v>59</v>
      </c>
      <c r="W1128">
        <v>3</v>
      </c>
      <c r="X1128">
        <v>5</v>
      </c>
      <c r="Y1128" s="1" t="s">
        <v>9</v>
      </c>
      <c r="Z1128">
        <v>3</v>
      </c>
      <c r="AA1128">
        <v>19331</v>
      </c>
      <c r="AB1128">
        <v>19519</v>
      </c>
      <c r="AC1128" s="1" t="s">
        <v>18</v>
      </c>
      <c r="AD1128">
        <v>16</v>
      </c>
      <c r="AE1128">
        <v>3</v>
      </c>
      <c r="AF1128">
        <v>3</v>
      </c>
      <c r="AG1128">
        <v>80</v>
      </c>
      <c r="AH1128">
        <v>1</v>
      </c>
      <c r="AI1128">
        <v>3</v>
      </c>
      <c r="AJ1128">
        <v>0</v>
      </c>
      <c r="AK1128" s="1" t="s">
        <v>140</v>
      </c>
    </row>
    <row r="1129" spans="1:37" x14ac:dyDescent="0.25">
      <c r="A1129">
        <v>1592</v>
      </c>
      <c r="B1129">
        <v>23</v>
      </c>
      <c r="C1129" s="1" t="s">
        <v>25</v>
      </c>
      <c r="D1129" s="1" t="s">
        <v>70</v>
      </c>
      <c r="E1129">
        <v>3</v>
      </c>
      <c r="F1129" s="1" t="s">
        <v>143</v>
      </c>
      <c r="G1129">
        <v>2</v>
      </c>
      <c r="H1129" s="1" t="s">
        <v>18</v>
      </c>
      <c r="I1129">
        <v>4</v>
      </c>
      <c r="J1129">
        <v>2</v>
      </c>
      <c r="K1129">
        <v>2</v>
      </c>
      <c r="L1129">
        <v>2</v>
      </c>
      <c r="M1129">
        <v>2</v>
      </c>
      <c r="N1129">
        <v>2</v>
      </c>
      <c r="O1129" s="1" t="s">
        <v>19</v>
      </c>
      <c r="P1129" s="1" t="s">
        <v>135</v>
      </c>
      <c r="Q1129">
        <v>977</v>
      </c>
      <c r="R1129" s="1" t="s">
        <v>63</v>
      </c>
      <c r="S1129">
        <v>10</v>
      </c>
      <c r="T1129">
        <v>1</v>
      </c>
      <c r="U1129">
        <v>4</v>
      </c>
      <c r="V1129">
        <v>45</v>
      </c>
      <c r="W1129">
        <v>4</v>
      </c>
      <c r="X1129">
        <v>1</v>
      </c>
      <c r="Y1129" s="1" t="s">
        <v>5</v>
      </c>
      <c r="Z1129">
        <v>3</v>
      </c>
      <c r="AA1129">
        <v>2073</v>
      </c>
      <c r="AB1129">
        <v>12826</v>
      </c>
      <c r="AC1129" s="1" t="s">
        <v>19</v>
      </c>
      <c r="AD1129">
        <v>16</v>
      </c>
      <c r="AE1129">
        <v>3</v>
      </c>
      <c r="AF1129">
        <v>4</v>
      </c>
      <c r="AG1129">
        <v>80</v>
      </c>
      <c r="AH1129">
        <v>1</v>
      </c>
      <c r="AI1129">
        <v>3</v>
      </c>
      <c r="AJ1129">
        <v>0</v>
      </c>
      <c r="AK1129" s="1" t="s">
        <v>136</v>
      </c>
    </row>
    <row r="1130" spans="1:37" x14ac:dyDescent="0.25">
      <c r="A1130">
        <v>1594</v>
      </c>
      <c r="B1130">
        <v>36</v>
      </c>
      <c r="C1130" s="1" t="s">
        <v>25</v>
      </c>
      <c r="D1130" s="1" t="s">
        <v>70</v>
      </c>
      <c r="E1130">
        <v>4</v>
      </c>
      <c r="F1130" s="1" t="s">
        <v>134</v>
      </c>
      <c r="G1130">
        <v>3</v>
      </c>
      <c r="H1130" s="1" t="s">
        <v>18</v>
      </c>
      <c r="I1130">
        <v>9</v>
      </c>
      <c r="J1130">
        <v>3</v>
      </c>
      <c r="K1130">
        <v>3</v>
      </c>
      <c r="L1130">
        <v>2</v>
      </c>
      <c r="M1130">
        <v>0</v>
      </c>
      <c r="N1130">
        <v>2</v>
      </c>
      <c r="O1130" s="1" t="s">
        <v>19</v>
      </c>
      <c r="P1130" s="1" t="s">
        <v>137</v>
      </c>
      <c r="Q1130">
        <v>1302</v>
      </c>
      <c r="R1130" s="1" t="s">
        <v>63</v>
      </c>
      <c r="S1130">
        <v>6</v>
      </c>
      <c r="T1130">
        <v>1</v>
      </c>
      <c r="U1130">
        <v>1</v>
      </c>
      <c r="V1130">
        <v>80</v>
      </c>
      <c r="W1130">
        <v>4</v>
      </c>
      <c r="X1130">
        <v>2</v>
      </c>
      <c r="Y1130" s="1" t="s">
        <v>6</v>
      </c>
      <c r="Z1130">
        <v>1</v>
      </c>
      <c r="AA1130">
        <v>5562</v>
      </c>
      <c r="AB1130">
        <v>19711</v>
      </c>
      <c r="AC1130" s="1" t="s">
        <v>18</v>
      </c>
      <c r="AD1130">
        <v>13</v>
      </c>
      <c r="AE1130">
        <v>3</v>
      </c>
      <c r="AF1130">
        <v>4</v>
      </c>
      <c r="AG1130">
        <v>80</v>
      </c>
      <c r="AH1130">
        <v>1</v>
      </c>
      <c r="AI1130">
        <v>3</v>
      </c>
      <c r="AJ1130">
        <v>0</v>
      </c>
      <c r="AK1130" s="1" t="s">
        <v>136</v>
      </c>
    </row>
    <row r="1131" spans="1:37" x14ac:dyDescent="0.25">
      <c r="A1131">
        <v>1595</v>
      </c>
      <c r="B1131">
        <v>42</v>
      </c>
      <c r="C1131" s="1" t="s">
        <v>25</v>
      </c>
      <c r="D1131" s="1" t="s">
        <v>71</v>
      </c>
      <c r="E1131">
        <v>2</v>
      </c>
      <c r="F1131" s="1" t="s">
        <v>138</v>
      </c>
      <c r="G1131">
        <v>8</v>
      </c>
      <c r="H1131" s="1" t="s">
        <v>18</v>
      </c>
      <c r="I1131">
        <v>24</v>
      </c>
      <c r="J1131">
        <v>2</v>
      </c>
      <c r="K1131">
        <v>1</v>
      </c>
      <c r="L1131">
        <v>0</v>
      </c>
      <c r="M1131">
        <v>0</v>
      </c>
      <c r="N1131">
        <v>1</v>
      </c>
      <c r="O1131" s="1" t="s">
        <v>19</v>
      </c>
      <c r="P1131" s="1" t="s">
        <v>135</v>
      </c>
      <c r="Q1131">
        <v>1059</v>
      </c>
      <c r="R1131" s="1" t="s">
        <v>63</v>
      </c>
      <c r="S1131">
        <v>9</v>
      </c>
      <c r="T1131">
        <v>1</v>
      </c>
      <c r="U1131">
        <v>4</v>
      </c>
      <c r="V1131">
        <v>93</v>
      </c>
      <c r="W1131">
        <v>2</v>
      </c>
      <c r="X1131">
        <v>5</v>
      </c>
      <c r="Y1131" s="1" t="s">
        <v>9</v>
      </c>
      <c r="Z1131">
        <v>4</v>
      </c>
      <c r="AA1131">
        <v>19613</v>
      </c>
      <c r="AB1131">
        <v>26362</v>
      </c>
      <c r="AC1131" s="1" t="s">
        <v>19</v>
      </c>
      <c r="AD1131">
        <v>22</v>
      </c>
      <c r="AE1131">
        <v>4</v>
      </c>
      <c r="AF1131">
        <v>4</v>
      </c>
      <c r="AG1131">
        <v>80</v>
      </c>
      <c r="AH1131">
        <v>0</v>
      </c>
      <c r="AI1131">
        <v>3</v>
      </c>
      <c r="AJ1131">
        <v>0</v>
      </c>
      <c r="AK1131" s="1" t="s">
        <v>136</v>
      </c>
    </row>
    <row r="1132" spans="1:37" x14ac:dyDescent="0.25">
      <c r="A1132">
        <v>1596</v>
      </c>
      <c r="B1132">
        <v>35</v>
      </c>
      <c r="C1132" s="1" t="s">
        <v>25</v>
      </c>
      <c r="D1132" s="1" t="s">
        <v>70</v>
      </c>
      <c r="E1132">
        <v>3</v>
      </c>
      <c r="F1132" s="1" t="s">
        <v>134</v>
      </c>
      <c r="G1132">
        <v>1</v>
      </c>
      <c r="H1132" s="1" t="s">
        <v>18</v>
      </c>
      <c r="I1132">
        <v>10</v>
      </c>
      <c r="J1132">
        <v>3</v>
      </c>
      <c r="K1132">
        <v>10</v>
      </c>
      <c r="L1132">
        <v>9</v>
      </c>
      <c r="M1132">
        <v>6</v>
      </c>
      <c r="N1132">
        <v>8</v>
      </c>
      <c r="O1132" s="1" t="s">
        <v>19</v>
      </c>
      <c r="P1132" s="1" t="s">
        <v>135</v>
      </c>
      <c r="Q1132">
        <v>750</v>
      </c>
      <c r="R1132" s="1" t="s">
        <v>63</v>
      </c>
      <c r="S1132">
        <v>28</v>
      </c>
      <c r="T1132">
        <v>1</v>
      </c>
      <c r="U1132">
        <v>2</v>
      </c>
      <c r="V1132">
        <v>46</v>
      </c>
      <c r="W1132">
        <v>4</v>
      </c>
      <c r="X1132">
        <v>2</v>
      </c>
      <c r="Y1132" s="1" t="s">
        <v>6</v>
      </c>
      <c r="Z1132">
        <v>3</v>
      </c>
      <c r="AA1132">
        <v>3407</v>
      </c>
      <c r="AB1132">
        <v>25348</v>
      </c>
      <c r="AC1132" s="1" t="s">
        <v>19</v>
      </c>
      <c r="AD1132">
        <v>17</v>
      </c>
      <c r="AE1132">
        <v>3</v>
      </c>
      <c r="AF1132">
        <v>4</v>
      </c>
      <c r="AG1132">
        <v>80</v>
      </c>
      <c r="AH1132">
        <v>2</v>
      </c>
      <c r="AI1132">
        <v>2</v>
      </c>
      <c r="AJ1132">
        <v>0</v>
      </c>
      <c r="AK1132" s="1" t="s">
        <v>136</v>
      </c>
    </row>
    <row r="1133" spans="1:37" x14ac:dyDescent="0.25">
      <c r="A1133">
        <v>1597</v>
      </c>
      <c r="B1133">
        <v>34</v>
      </c>
      <c r="C1133" s="1" t="s">
        <v>25</v>
      </c>
      <c r="D1133" s="1" t="s">
        <v>70</v>
      </c>
      <c r="E1133">
        <v>4</v>
      </c>
      <c r="F1133" s="1" t="s">
        <v>143</v>
      </c>
      <c r="G1133">
        <v>1</v>
      </c>
      <c r="H1133" s="1" t="s">
        <v>18</v>
      </c>
      <c r="I1133">
        <v>8</v>
      </c>
      <c r="J1133">
        <v>3</v>
      </c>
      <c r="K1133">
        <v>8</v>
      </c>
      <c r="L1133">
        <v>2</v>
      </c>
      <c r="M1133">
        <v>7</v>
      </c>
      <c r="N1133">
        <v>7</v>
      </c>
      <c r="O1133" s="1" t="s">
        <v>19</v>
      </c>
      <c r="P1133" s="1" t="s">
        <v>137</v>
      </c>
      <c r="Q1133">
        <v>653</v>
      </c>
      <c r="R1133" s="1" t="s">
        <v>63</v>
      </c>
      <c r="S1133">
        <v>10</v>
      </c>
      <c r="T1133">
        <v>1</v>
      </c>
      <c r="U1133">
        <v>4</v>
      </c>
      <c r="V1133">
        <v>92</v>
      </c>
      <c r="W1133">
        <v>2</v>
      </c>
      <c r="X1133">
        <v>2</v>
      </c>
      <c r="Y1133" s="1" t="s">
        <v>8</v>
      </c>
      <c r="Z1133">
        <v>3</v>
      </c>
      <c r="AA1133">
        <v>5063</v>
      </c>
      <c r="AB1133">
        <v>15332</v>
      </c>
      <c r="AC1133" s="1" t="s">
        <v>19</v>
      </c>
      <c r="AD1133">
        <v>14</v>
      </c>
      <c r="AE1133">
        <v>3</v>
      </c>
      <c r="AF1133">
        <v>2</v>
      </c>
      <c r="AG1133">
        <v>80</v>
      </c>
      <c r="AH1133">
        <v>1</v>
      </c>
      <c r="AI1133">
        <v>2</v>
      </c>
      <c r="AJ1133">
        <v>0</v>
      </c>
      <c r="AK1133" s="1" t="s">
        <v>136</v>
      </c>
    </row>
    <row r="1134" spans="1:37" x14ac:dyDescent="0.25">
      <c r="A1134">
        <v>1598</v>
      </c>
      <c r="B1134">
        <v>40</v>
      </c>
      <c r="C1134" s="1" t="s">
        <v>24</v>
      </c>
      <c r="D1134" s="1" t="s">
        <v>70</v>
      </c>
      <c r="E1134">
        <v>2</v>
      </c>
      <c r="F1134" s="1" t="s">
        <v>134</v>
      </c>
      <c r="G1134">
        <v>1</v>
      </c>
      <c r="H1134" s="1" t="s">
        <v>18</v>
      </c>
      <c r="I1134">
        <v>5</v>
      </c>
      <c r="J1134">
        <v>2</v>
      </c>
      <c r="K1134">
        <v>5</v>
      </c>
      <c r="L1134">
        <v>4</v>
      </c>
      <c r="M1134">
        <v>1</v>
      </c>
      <c r="N1134">
        <v>2</v>
      </c>
      <c r="O1134" s="1" t="s">
        <v>19</v>
      </c>
      <c r="P1134" s="1" t="s">
        <v>135</v>
      </c>
      <c r="Q1134">
        <v>118</v>
      </c>
      <c r="R1134" s="1" t="s">
        <v>64</v>
      </c>
      <c r="S1134">
        <v>14</v>
      </c>
      <c r="T1134">
        <v>1</v>
      </c>
      <c r="U1134">
        <v>4</v>
      </c>
      <c r="V1134">
        <v>84</v>
      </c>
      <c r="W1134">
        <v>3</v>
      </c>
      <c r="X1134">
        <v>2</v>
      </c>
      <c r="Y1134" s="1" t="s">
        <v>4</v>
      </c>
      <c r="Z1134">
        <v>1</v>
      </c>
      <c r="AA1134">
        <v>4639</v>
      </c>
      <c r="AB1134">
        <v>11262</v>
      </c>
      <c r="AC1134" s="1" t="s">
        <v>19</v>
      </c>
      <c r="AD1134">
        <v>15</v>
      </c>
      <c r="AE1134">
        <v>3</v>
      </c>
      <c r="AF1134">
        <v>3</v>
      </c>
      <c r="AG1134">
        <v>80</v>
      </c>
      <c r="AH1134">
        <v>1</v>
      </c>
      <c r="AI1134">
        <v>3</v>
      </c>
      <c r="AJ1134">
        <v>0</v>
      </c>
      <c r="AK1134" s="1" t="s">
        <v>136</v>
      </c>
    </row>
    <row r="1135" spans="1:37" x14ac:dyDescent="0.25">
      <c r="A1135">
        <v>1599</v>
      </c>
      <c r="B1135">
        <v>43</v>
      </c>
      <c r="C1135" s="1" t="s">
        <v>25</v>
      </c>
      <c r="D1135" s="1" t="s">
        <v>69</v>
      </c>
      <c r="E1135">
        <v>3</v>
      </c>
      <c r="F1135" s="1" t="s">
        <v>143</v>
      </c>
      <c r="G1135">
        <v>5</v>
      </c>
      <c r="H1135" s="1" t="s">
        <v>18</v>
      </c>
      <c r="I1135">
        <v>8</v>
      </c>
      <c r="J1135">
        <v>0</v>
      </c>
      <c r="K1135">
        <v>6</v>
      </c>
      <c r="L1135">
        <v>4</v>
      </c>
      <c r="M1135">
        <v>0</v>
      </c>
      <c r="N1135">
        <v>2</v>
      </c>
      <c r="O1135" s="1" t="s">
        <v>19</v>
      </c>
      <c r="P1135" s="1" t="s">
        <v>135</v>
      </c>
      <c r="Q1135">
        <v>990</v>
      </c>
      <c r="R1135" s="1" t="s">
        <v>63</v>
      </c>
      <c r="S1135">
        <v>27</v>
      </c>
      <c r="T1135">
        <v>1</v>
      </c>
      <c r="U1135">
        <v>4</v>
      </c>
      <c r="V1135">
        <v>87</v>
      </c>
      <c r="W1135">
        <v>4</v>
      </c>
      <c r="X1135">
        <v>1</v>
      </c>
      <c r="Y1135" s="1" t="s">
        <v>6</v>
      </c>
      <c r="Z1135">
        <v>2</v>
      </c>
      <c r="AA1135">
        <v>4876</v>
      </c>
      <c r="AB1135">
        <v>5855</v>
      </c>
      <c r="AC1135" s="1" t="s">
        <v>19</v>
      </c>
      <c r="AD1135">
        <v>12</v>
      </c>
      <c r="AE1135">
        <v>3</v>
      </c>
      <c r="AF1135">
        <v>3</v>
      </c>
      <c r="AG1135">
        <v>80</v>
      </c>
      <c r="AH1135">
        <v>1</v>
      </c>
      <c r="AI1135">
        <v>3</v>
      </c>
      <c r="AJ1135">
        <v>0</v>
      </c>
      <c r="AK1135" s="1" t="s">
        <v>136</v>
      </c>
    </row>
    <row r="1136" spans="1:37" x14ac:dyDescent="0.25">
      <c r="A1136">
        <v>1601</v>
      </c>
      <c r="B1136">
        <v>35</v>
      </c>
      <c r="C1136" s="1" t="s">
        <v>25</v>
      </c>
      <c r="D1136" s="1" t="s">
        <v>70</v>
      </c>
      <c r="E1136">
        <v>2</v>
      </c>
      <c r="F1136" s="1" t="s">
        <v>134</v>
      </c>
      <c r="G1136">
        <v>1</v>
      </c>
      <c r="H1136" s="1" t="s">
        <v>18</v>
      </c>
      <c r="I1136">
        <v>1</v>
      </c>
      <c r="J1136">
        <v>5</v>
      </c>
      <c r="K1136">
        <v>1</v>
      </c>
      <c r="L1136">
        <v>0</v>
      </c>
      <c r="M1136">
        <v>0</v>
      </c>
      <c r="N1136">
        <v>1</v>
      </c>
      <c r="O1136" s="1" t="s">
        <v>19</v>
      </c>
      <c r="P1136" s="1" t="s">
        <v>135</v>
      </c>
      <c r="Q1136">
        <v>1349</v>
      </c>
      <c r="R1136" s="1" t="s">
        <v>63</v>
      </c>
      <c r="S1136">
        <v>7</v>
      </c>
      <c r="T1136">
        <v>1</v>
      </c>
      <c r="U1136">
        <v>3</v>
      </c>
      <c r="V1136">
        <v>63</v>
      </c>
      <c r="W1136">
        <v>2</v>
      </c>
      <c r="X1136">
        <v>1</v>
      </c>
      <c r="Y1136" s="1" t="s">
        <v>6</v>
      </c>
      <c r="Z1136">
        <v>4</v>
      </c>
      <c r="AA1136">
        <v>2690</v>
      </c>
      <c r="AB1136">
        <v>7713</v>
      </c>
      <c r="AC1136" s="1" t="s">
        <v>19</v>
      </c>
      <c r="AD1136">
        <v>18</v>
      </c>
      <c r="AE1136">
        <v>3</v>
      </c>
      <c r="AF1136">
        <v>4</v>
      </c>
      <c r="AG1136">
        <v>80</v>
      </c>
      <c r="AH1136">
        <v>1</v>
      </c>
      <c r="AI1136">
        <v>2</v>
      </c>
      <c r="AJ1136">
        <v>0</v>
      </c>
      <c r="AK1136" s="1" t="s">
        <v>136</v>
      </c>
    </row>
    <row r="1137" spans="1:37" x14ac:dyDescent="0.25">
      <c r="A1137">
        <v>1602</v>
      </c>
      <c r="B1137">
        <v>46</v>
      </c>
      <c r="C1137" s="1" t="s">
        <v>25</v>
      </c>
      <c r="D1137" s="1" t="s">
        <v>71</v>
      </c>
      <c r="E1137">
        <v>4</v>
      </c>
      <c r="F1137" s="1" t="s">
        <v>134</v>
      </c>
      <c r="G1137">
        <v>1</v>
      </c>
      <c r="H1137" s="1" t="s">
        <v>18</v>
      </c>
      <c r="I1137">
        <v>27</v>
      </c>
      <c r="J1137">
        <v>5</v>
      </c>
      <c r="K1137">
        <v>26</v>
      </c>
      <c r="L1137">
        <v>0</v>
      </c>
      <c r="M1137">
        <v>0</v>
      </c>
      <c r="N1137">
        <v>12</v>
      </c>
      <c r="O1137" s="1" t="s">
        <v>19</v>
      </c>
      <c r="P1137" s="1" t="s">
        <v>135</v>
      </c>
      <c r="Q1137">
        <v>563</v>
      </c>
      <c r="R1137" s="1" t="s">
        <v>64</v>
      </c>
      <c r="S1137">
        <v>1</v>
      </c>
      <c r="T1137">
        <v>1</v>
      </c>
      <c r="U1137">
        <v>4</v>
      </c>
      <c r="V1137">
        <v>56</v>
      </c>
      <c r="W1137">
        <v>4</v>
      </c>
      <c r="X1137">
        <v>4</v>
      </c>
      <c r="Y1137" s="1" t="s">
        <v>9</v>
      </c>
      <c r="Z1137">
        <v>1</v>
      </c>
      <c r="AA1137">
        <v>17567</v>
      </c>
      <c r="AB1137">
        <v>3156</v>
      </c>
      <c r="AC1137" s="1" t="s">
        <v>19</v>
      </c>
      <c r="AD1137">
        <v>15</v>
      </c>
      <c r="AE1137">
        <v>3</v>
      </c>
      <c r="AF1137">
        <v>2</v>
      </c>
      <c r="AG1137">
        <v>80</v>
      </c>
      <c r="AH1137">
        <v>0</v>
      </c>
      <c r="AI1137">
        <v>1</v>
      </c>
      <c r="AJ1137">
        <v>0</v>
      </c>
      <c r="AK1137" s="1" t="s">
        <v>136</v>
      </c>
    </row>
    <row r="1138" spans="1:37" x14ac:dyDescent="0.25">
      <c r="A1138">
        <v>1604</v>
      </c>
      <c r="B1138">
        <v>28</v>
      </c>
      <c r="C1138" s="1" t="s">
        <v>25</v>
      </c>
      <c r="D1138" s="1" t="s">
        <v>70</v>
      </c>
      <c r="E1138">
        <v>3</v>
      </c>
      <c r="F1138" s="1" t="s">
        <v>139</v>
      </c>
      <c r="G1138">
        <v>1</v>
      </c>
      <c r="H1138" s="1" t="s">
        <v>18</v>
      </c>
      <c r="I1138">
        <v>1</v>
      </c>
      <c r="J1138">
        <v>3</v>
      </c>
      <c r="K1138">
        <v>1</v>
      </c>
      <c r="L1138">
        <v>1</v>
      </c>
      <c r="M1138">
        <v>0</v>
      </c>
      <c r="N1138">
        <v>0</v>
      </c>
      <c r="O1138" s="1" t="s">
        <v>18</v>
      </c>
      <c r="P1138" s="1" t="s">
        <v>135</v>
      </c>
      <c r="Q1138">
        <v>329</v>
      </c>
      <c r="R1138" s="1" t="s">
        <v>63</v>
      </c>
      <c r="S1138">
        <v>24</v>
      </c>
      <c r="T1138">
        <v>1</v>
      </c>
      <c r="U1138">
        <v>3</v>
      </c>
      <c r="V1138">
        <v>51</v>
      </c>
      <c r="W1138">
        <v>3</v>
      </c>
      <c r="X1138">
        <v>1</v>
      </c>
      <c r="Y1138" s="1" t="s">
        <v>6</v>
      </c>
      <c r="Z1138">
        <v>2</v>
      </c>
      <c r="AA1138">
        <v>2408</v>
      </c>
      <c r="AB1138">
        <v>7324</v>
      </c>
      <c r="AC1138" s="1" t="s">
        <v>18</v>
      </c>
      <c r="AD1138">
        <v>17</v>
      </c>
      <c r="AE1138">
        <v>3</v>
      </c>
      <c r="AF1138">
        <v>3</v>
      </c>
      <c r="AG1138">
        <v>80</v>
      </c>
      <c r="AH1138">
        <v>3</v>
      </c>
      <c r="AI1138">
        <v>3</v>
      </c>
      <c r="AJ1138">
        <v>1</v>
      </c>
      <c r="AK1138" s="1" t="s">
        <v>136</v>
      </c>
    </row>
    <row r="1139" spans="1:37" x14ac:dyDescent="0.25">
      <c r="A1139">
        <v>1605</v>
      </c>
      <c r="B1139">
        <v>22</v>
      </c>
      <c r="C1139" s="1" t="s">
        <v>24</v>
      </c>
      <c r="D1139" s="1" t="s">
        <v>70</v>
      </c>
      <c r="E1139">
        <v>2</v>
      </c>
      <c r="F1139" s="1" t="s">
        <v>138</v>
      </c>
      <c r="G1139">
        <v>1</v>
      </c>
      <c r="H1139" s="1" t="s">
        <v>18</v>
      </c>
      <c r="I1139">
        <v>4</v>
      </c>
      <c r="J1139">
        <v>2</v>
      </c>
      <c r="K1139">
        <v>4</v>
      </c>
      <c r="L1139">
        <v>2</v>
      </c>
      <c r="M1139">
        <v>1</v>
      </c>
      <c r="N1139">
        <v>3</v>
      </c>
      <c r="O1139" s="1" t="s">
        <v>19</v>
      </c>
      <c r="P1139" s="1" t="s">
        <v>141</v>
      </c>
      <c r="Q1139">
        <v>457</v>
      </c>
      <c r="R1139" s="1" t="s">
        <v>63</v>
      </c>
      <c r="S1139">
        <v>26</v>
      </c>
      <c r="T1139">
        <v>1</v>
      </c>
      <c r="U1139">
        <v>2</v>
      </c>
      <c r="V1139">
        <v>85</v>
      </c>
      <c r="W1139">
        <v>2</v>
      </c>
      <c r="X1139">
        <v>1</v>
      </c>
      <c r="Y1139" s="1" t="s">
        <v>5</v>
      </c>
      <c r="Z1139">
        <v>3</v>
      </c>
      <c r="AA1139">
        <v>2814</v>
      </c>
      <c r="AB1139">
        <v>10293</v>
      </c>
      <c r="AC1139" s="1" t="s">
        <v>18</v>
      </c>
      <c r="AD1139">
        <v>14</v>
      </c>
      <c r="AE1139">
        <v>3</v>
      </c>
      <c r="AF1139">
        <v>2</v>
      </c>
      <c r="AG1139">
        <v>80</v>
      </c>
      <c r="AH1139">
        <v>0</v>
      </c>
      <c r="AI1139">
        <v>2</v>
      </c>
      <c r="AJ1139">
        <v>0</v>
      </c>
      <c r="AK1139" s="1" t="s">
        <v>136</v>
      </c>
    </row>
    <row r="1140" spans="1:37" x14ac:dyDescent="0.25">
      <c r="A1140">
        <v>1606</v>
      </c>
      <c r="B1140">
        <v>50</v>
      </c>
      <c r="C1140" s="1" t="s">
        <v>25</v>
      </c>
      <c r="D1140" s="1" t="s">
        <v>70</v>
      </c>
      <c r="E1140">
        <v>5</v>
      </c>
      <c r="F1140" s="1" t="s">
        <v>139</v>
      </c>
      <c r="G1140">
        <v>2</v>
      </c>
      <c r="H1140" s="1" t="s">
        <v>18</v>
      </c>
      <c r="I1140">
        <v>32</v>
      </c>
      <c r="J1140">
        <v>3</v>
      </c>
      <c r="K1140">
        <v>30</v>
      </c>
      <c r="L1140">
        <v>8</v>
      </c>
      <c r="M1140">
        <v>12</v>
      </c>
      <c r="N1140">
        <v>13</v>
      </c>
      <c r="O1140" s="1" t="s">
        <v>19</v>
      </c>
      <c r="P1140" s="1" t="s">
        <v>137</v>
      </c>
      <c r="Q1140">
        <v>1234</v>
      </c>
      <c r="R1140" s="1" t="s">
        <v>63</v>
      </c>
      <c r="S1140">
        <v>20</v>
      </c>
      <c r="T1140">
        <v>1</v>
      </c>
      <c r="U1140">
        <v>2</v>
      </c>
      <c r="V1140">
        <v>41</v>
      </c>
      <c r="W1140">
        <v>3</v>
      </c>
      <c r="X1140">
        <v>4</v>
      </c>
      <c r="Y1140" s="1" t="s">
        <v>8</v>
      </c>
      <c r="Z1140">
        <v>3</v>
      </c>
      <c r="AA1140">
        <v>11245</v>
      </c>
      <c r="AB1140">
        <v>20689</v>
      </c>
      <c r="AC1140" s="1" t="s">
        <v>18</v>
      </c>
      <c r="AD1140">
        <v>15</v>
      </c>
      <c r="AE1140">
        <v>3</v>
      </c>
      <c r="AF1140">
        <v>3</v>
      </c>
      <c r="AG1140">
        <v>80</v>
      </c>
      <c r="AH1140">
        <v>1</v>
      </c>
      <c r="AI1140">
        <v>3</v>
      </c>
      <c r="AJ1140">
        <v>0</v>
      </c>
      <c r="AK1140" s="1" t="s">
        <v>140</v>
      </c>
    </row>
    <row r="1141" spans="1:37" x14ac:dyDescent="0.25">
      <c r="A1141">
        <v>1607</v>
      </c>
      <c r="B1141">
        <v>32</v>
      </c>
      <c r="C1141" s="1" t="s">
        <v>24</v>
      </c>
      <c r="D1141" s="1" t="s">
        <v>70</v>
      </c>
      <c r="E1141">
        <v>4</v>
      </c>
      <c r="F1141" s="1" t="s">
        <v>138</v>
      </c>
      <c r="G1141">
        <v>3</v>
      </c>
      <c r="H1141" s="1" t="s">
        <v>18</v>
      </c>
      <c r="I1141">
        <v>6</v>
      </c>
      <c r="J1141">
        <v>3</v>
      </c>
      <c r="K1141">
        <v>3</v>
      </c>
      <c r="L1141">
        <v>2</v>
      </c>
      <c r="M1141">
        <v>0</v>
      </c>
      <c r="N1141">
        <v>2</v>
      </c>
      <c r="O1141" s="1" t="s">
        <v>19</v>
      </c>
      <c r="P1141" s="1" t="s">
        <v>135</v>
      </c>
      <c r="Q1141">
        <v>634</v>
      </c>
      <c r="R1141" s="1" t="s">
        <v>63</v>
      </c>
      <c r="S1141">
        <v>5</v>
      </c>
      <c r="T1141">
        <v>1</v>
      </c>
      <c r="U1141">
        <v>2</v>
      </c>
      <c r="V1141">
        <v>35</v>
      </c>
      <c r="W1141">
        <v>4</v>
      </c>
      <c r="X1141">
        <v>1</v>
      </c>
      <c r="Y1141" s="1" t="s">
        <v>5</v>
      </c>
      <c r="Z1141">
        <v>4</v>
      </c>
      <c r="AA1141">
        <v>3312</v>
      </c>
      <c r="AB1141">
        <v>18783</v>
      </c>
      <c r="AC1141" s="1" t="s">
        <v>19</v>
      </c>
      <c r="AD1141">
        <v>17</v>
      </c>
      <c r="AE1141">
        <v>3</v>
      </c>
      <c r="AF1141">
        <v>4</v>
      </c>
      <c r="AG1141">
        <v>80</v>
      </c>
      <c r="AH1141">
        <v>2</v>
      </c>
      <c r="AI1141">
        <v>3</v>
      </c>
      <c r="AJ1141">
        <v>0</v>
      </c>
      <c r="AK1141" s="1" t="s">
        <v>136</v>
      </c>
    </row>
    <row r="1142" spans="1:37" x14ac:dyDescent="0.25">
      <c r="A1142">
        <v>1608</v>
      </c>
      <c r="B1142">
        <v>44</v>
      </c>
      <c r="C1142" s="1" t="s">
        <v>24</v>
      </c>
      <c r="D1142" s="1" t="s">
        <v>69</v>
      </c>
      <c r="E1142">
        <v>3</v>
      </c>
      <c r="F1142" s="1" t="s">
        <v>139</v>
      </c>
      <c r="G1142">
        <v>0</v>
      </c>
      <c r="H1142" s="1" t="s">
        <v>18</v>
      </c>
      <c r="I1142">
        <v>23</v>
      </c>
      <c r="J1142">
        <v>4</v>
      </c>
      <c r="K1142">
        <v>22</v>
      </c>
      <c r="L1142">
        <v>7</v>
      </c>
      <c r="M1142">
        <v>1</v>
      </c>
      <c r="N1142">
        <v>10</v>
      </c>
      <c r="O1142" s="1" t="s">
        <v>19</v>
      </c>
      <c r="P1142" s="1" t="s">
        <v>135</v>
      </c>
      <c r="Q1142">
        <v>1313</v>
      </c>
      <c r="R1142" s="1" t="s">
        <v>63</v>
      </c>
      <c r="S1142">
        <v>7</v>
      </c>
      <c r="T1142">
        <v>1</v>
      </c>
      <c r="U1142">
        <v>2</v>
      </c>
      <c r="V1142">
        <v>31</v>
      </c>
      <c r="W1142">
        <v>3</v>
      </c>
      <c r="X1142">
        <v>5</v>
      </c>
      <c r="Y1142" s="1" t="s">
        <v>11</v>
      </c>
      <c r="Z1142">
        <v>4</v>
      </c>
      <c r="AA1142">
        <v>19049</v>
      </c>
      <c r="AB1142">
        <v>3549</v>
      </c>
      <c r="AC1142" s="1" t="s">
        <v>18</v>
      </c>
      <c r="AD1142">
        <v>14</v>
      </c>
      <c r="AE1142">
        <v>3</v>
      </c>
      <c r="AF1142">
        <v>4</v>
      </c>
      <c r="AG1142">
        <v>80</v>
      </c>
      <c r="AH1142">
        <v>1</v>
      </c>
      <c r="AI1142">
        <v>2</v>
      </c>
      <c r="AJ1142">
        <v>0</v>
      </c>
      <c r="AK1142" s="1" t="s">
        <v>136</v>
      </c>
    </row>
    <row r="1143" spans="1:37" x14ac:dyDescent="0.25">
      <c r="A1143">
        <v>1609</v>
      </c>
      <c r="B1143">
        <v>30</v>
      </c>
      <c r="C1143" s="1" t="s">
        <v>25</v>
      </c>
      <c r="D1143" s="1" t="s">
        <v>70</v>
      </c>
      <c r="E1143">
        <v>3</v>
      </c>
      <c r="F1143" s="1" t="s">
        <v>139</v>
      </c>
      <c r="G1143">
        <v>1</v>
      </c>
      <c r="H1143" s="1" t="s">
        <v>18</v>
      </c>
      <c r="I1143">
        <v>6</v>
      </c>
      <c r="J1143">
        <v>3</v>
      </c>
      <c r="K1143">
        <v>6</v>
      </c>
      <c r="L1143">
        <v>4</v>
      </c>
      <c r="M1143">
        <v>1</v>
      </c>
      <c r="N1143">
        <v>1</v>
      </c>
      <c r="O1143" s="1" t="s">
        <v>19</v>
      </c>
      <c r="P1143" s="1" t="s">
        <v>135</v>
      </c>
      <c r="Q1143">
        <v>241</v>
      </c>
      <c r="R1143" s="1" t="s">
        <v>63</v>
      </c>
      <c r="S1143">
        <v>7</v>
      </c>
      <c r="T1143">
        <v>1</v>
      </c>
      <c r="U1143">
        <v>2</v>
      </c>
      <c r="V1143">
        <v>48</v>
      </c>
      <c r="W1143">
        <v>2</v>
      </c>
      <c r="X1143">
        <v>1</v>
      </c>
      <c r="Y1143" s="1" t="s">
        <v>5</v>
      </c>
      <c r="Z1143">
        <v>2</v>
      </c>
      <c r="AA1143">
        <v>2141</v>
      </c>
      <c r="AB1143">
        <v>5348</v>
      </c>
      <c r="AC1143" s="1" t="s">
        <v>19</v>
      </c>
      <c r="AD1143">
        <v>12</v>
      </c>
      <c r="AE1143">
        <v>3</v>
      </c>
      <c r="AF1143">
        <v>2</v>
      </c>
      <c r="AG1143">
        <v>80</v>
      </c>
      <c r="AH1143">
        <v>1</v>
      </c>
      <c r="AI1143">
        <v>2</v>
      </c>
      <c r="AJ1143">
        <v>0</v>
      </c>
      <c r="AK1143" s="1" t="s">
        <v>136</v>
      </c>
    </row>
    <row r="1144" spans="1:37" x14ac:dyDescent="0.25">
      <c r="A1144">
        <v>1611</v>
      </c>
      <c r="B1144">
        <v>45</v>
      </c>
      <c r="C1144" s="1" t="s">
        <v>24</v>
      </c>
      <c r="D1144" s="1" t="s">
        <v>71</v>
      </c>
      <c r="E1144">
        <v>5</v>
      </c>
      <c r="F1144" s="1" t="s">
        <v>139</v>
      </c>
      <c r="G1144">
        <v>1</v>
      </c>
      <c r="H1144" s="1" t="s">
        <v>18</v>
      </c>
      <c r="I1144">
        <v>10</v>
      </c>
      <c r="J1144">
        <v>3</v>
      </c>
      <c r="K1144">
        <v>10</v>
      </c>
      <c r="L1144">
        <v>7</v>
      </c>
      <c r="M1144">
        <v>1</v>
      </c>
      <c r="N1144">
        <v>4</v>
      </c>
      <c r="O1144" s="1" t="s">
        <v>19</v>
      </c>
      <c r="P1144" s="1" t="s">
        <v>135</v>
      </c>
      <c r="Q1144">
        <v>1015</v>
      </c>
      <c r="R1144" s="1" t="s">
        <v>63</v>
      </c>
      <c r="S1144">
        <v>5</v>
      </c>
      <c r="T1144">
        <v>1</v>
      </c>
      <c r="U1144">
        <v>3</v>
      </c>
      <c r="V1144">
        <v>50</v>
      </c>
      <c r="W1144">
        <v>1</v>
      </c>
      <c r="X1144">
        <v>2</v>
      </c>
      <c r="Y1144" s="1" t="s">
        <v>6</v>
      </c>
      <c r="Z1144">
        <v>1</v>
      </c>
      <c r="AA1144">
        <v>5769</v>
      </c>
      <c r="AB1144">
        <v>23447</v>
      </c>
      <c r="AC1144" s="1" t="s">
        <v>18</v>
      </c>
      <c r="AD1144">
        <v>14</v>
      </c>
      <c r="AE1144">
        <v>3</v>
      </c>
      <c r="AF1144">
        <v>1</v>
      </c>
      <c r="AG1144">
        <v>80</v>
      </c>
      <c r="AH1144">
        <v>0</v>
      </c>
      <c r="AI1144">
        <v>3</v>
      </c>
      <c r="AJ1144">
        <v>0</v>
      </c>
      <c r="AK1144" s="1" t="s">
        <v>136</v>
      </c>
    </row>
    <row r="1145" spans="1:37" x14ac:dyDescent="0.25">
      <c r="A1145">
        <v>1612</v>
      </c>
      <c r="B1145">
        <v>45</v>
      </c>
      <c r="C1145" s="1" t="s">
        <v>25</v>
      </c>
      <c r="D1145" s="1" t="s">
        <v>70</v>
      </c>
      <c r="E1145">
        <v>3</v>
      </c>
      <c r="F1145" s="1" t="s">
        <v>142</v>
      </c>
      <c r="G1145">
        <v>1</v>
      </c>
      <c r="H1145" s="1" t="s">
        <v>18</v>
      </c>
      <c r="I1145">
        <v>10</v>
      </c>
      <c r="J1145">
        <v>2</v>
      </c>
      <c r="K1145">
        <v>10</v>
      </c>
      <c r="L1145">
        <v>7</v>
      </c>
      <c r="M1145">
        <v>4</v>
      </c>
      <c r="N1145">
        <v>5</v>
      </c>
      <c r="O1145" s="1" t="s">
        <v>19</v>
      </c>
      <c r="P1145" s="1" t="s">
        <v>141</v>
      </c>
      <c r="Q1145">
        <v>336</v>
      </c>
      <c r="R1145" s="1" t="s">
        <v>64</v>
      </c>
      <c r="S1145">
        <v>26</v>
      </c>
      <c r="T1145">
        <v>1</v>
      </c>
      <c r="U1145">
        <v>1</v>
      </c>
      <c r="V1145">
        <v>52</v>
      </c>
      <c r="W1145">
        <v>2</v>
      </c>
      <c r="X1145">
        <v>2</v>
      </c>
      <c r="Y1145" s="1" t="s">
        <v>4</v>
      </c>
      <c r="Z1145">
        <v>1</v>
      </c>
      <c r="AA1145">
        <v>4385</v>
      </c>
      <c r="AB1145">
        <v>24162</v>
      </c>
      <c r="AC1145" s="1" t="s">
        <v>19</v>
      </c>
      <c r="AD1145">
        <v>15</v>
      </c>
      <c r="AE1145">
        <v>3</v>
      </c>
      <c r="AF1145">
        <v>1</v>
      </c>
      <c r="AG1145">
        <v>80</v>
      </c>
      <c r="AH1145">
        <v>1</v>
      </c>
      <c r="AI1145">
        <v>3</v>
      </c>
      <c r="AJ1145">
        <v>0</v>
      </c>
      <c r="AK1145" s="1" t="s">
        <v>136</v>
      </c>
    </row>
    <row r="1146" spans="1:37" x14ac:dyDescent="0.25">
      <c r="A1146">
        <v>1613</v>
      </c>
      <c r="B1146">
        <v>31</v>
      </c>
      <c r="C1146" s="1" t="s">
        <v>25</v>
      </c>
      <c r="D1146" s="1" t="s">
        <v>71</v>
      </c>
      <c r="E1146">
        <v>4</v>
      </c>
      <c r="F1146" s="1" t="s">
        <v>138</v>
      </c>
      <c r="G1146">
        <v>7</v>
      </c>
      <c r="H1146" s="1" t="s">
        <v>18</v>
      </c>
      <c r="I1146">
        <v>10</v>
      </c>
      <c r="J1146">
        <v>3</v>
      </c>
      <c r="K1146">
        <v>5</v>
      </c>
      <c r="L1146">
        <v>2</v>
      </c>
      <c r="M1146">
        <v>0</v>
      </c>
      <c r="N1146">
        <v>3</v>
      </c>
      <c r="O1146" s="1" t="s">
        <v>19</v>
      </c>
      <c r="P1146" s="1" t="s">
        <v>137</v>
      </c>
      <c r="Q1146">
        <v>715</v>
      </c>
      <c r="R1146" s="1" t="s">
        <v>64</v>
      </c>
      <c r="S1146">
        <v>2</v>
      </c>
      <c r="T1146">
        <v>1</v>
      </c>
      <c r="U1146">
        <v>4</v>
      </c>
      <c r="V1146">
        <v>54</v>
      </c>
      <c r="W1146">
        <v>3</v>
      </c>
      <c r="X1146">
        <v>2</v>
      </c>
      <c r="Y1146" s="1" t="s">
        <v>4</v>
      </c>
      <c r="Z1146">
        <v>1</v>
      </c>
      <c r="AA1146">
        <v>5332</v>
      </c>
      <c r="AB1146">
        <v>21602</v>
      </c>
      <c r="AC1146" s="1" t="s">
        <v>19</v>
      </c>
      <c r="AD1146">
        <v>13</v>
      </c>
      <c r="AE1146">
        <v>3</v>
      </c>
      <c r="AF1146">
        <v>4</v>
      </c>
      <c r="AG1146">
        <v>80</v>
      </c>
      <c r="AH1146">
        <v>0</v>
      </c>
      <c r="AI1146">
        <v>3</v>
      </c>
      <c r="AJ1146">
        <v>0</v>
      </c>
      <c r="AK1146" s="1" t="s">
        <v>136</v>
      </c>
    </row>
    <row r="1147" spans="1:37" x14ac:dyDescent="0.25">
      <c r="A1147">
        <v>1614</v>
      </c>
      <c r="B1147">
        <v>36</v>
      </c>
      <c r="C1147" s="1" t="s">
        <v>24</v>
      </c>
      <c r="D1147" s="1" t="s">
        <v>70</v>
      </c>
      <c r="E1147">
        <v>4</v>
      </c>
      <c r="F1147" s="1" t="s">
        <v>134</v>
      </c>
      <c r="G1147">
        <v>9</v>
      </c>
      <c r="H1147" s="1" t="s">
        <v>18</v>
      </c>
      <c r="I1147">
        <v>7</v>
      </c>
      <c r="J1147">
        <v>2</v>
      </c>
      <c r="K1147">
        <v>3</v>
      </c>
      <c r="L1147">
        <v>2</v>
      </c>
      <c r="M1147">
        <v>1</v>
      </c>
      <c r="N1147">
        <v>1</v>
      </c>
      <c r="O1147" s="1" t="s">
        <v>19</v>
      </c>
      <c r="P1147" s="1" t="s">
        <v>135</v>
      </c>
      <c r="Q1147">
        <v>559</v>
      </c>
      <c r="R1147" s="1" t="s">
        <v>63</v>
      </c>
      <c r="S1147">
        <v>12</v>
      </c>
      <c r="T1147">
        <v>1</v>
      </c>
      <c r="U1147">
        <v>3</v>
      </c>
      <c r="V1147">
        <v>76</v>
      </c>
      <c r="W1147">
        <v>3</v>
      </c>
      <c r="X1147">
        <v>2</v>
      </c>
      <c r="Y1147" s="1" t="s">
        <v>7</v>
      </c>
      <c r="Z1147">
        <v>3</v>
      </c>
      <c r="AA1147">
        <v>4663</v>
      </c>
      <c r="AB1147">
        <v>12421</v>
      </c>
      <c r="AC1147" s="1" t="s">
        <v>18</v>
      </c>
      <c r="AD1147">
        <v>12</v>
      </c>
      <c r="AE1147">
        <v>3</v>
      </c>
      <c r="AF1147">
        <v>2</v>
      </c>
      <c r="AG1147">
        <v>80</v>
      </c>
      <c r="AH1147">
        <v>2</v>
      </c>
      <c r="AI1147">
        <v>3</v>
      </c>
      <c r="AJ1147">
        <v>0</v>
      </c>
      <c r="AK1147" s="1" t="s">
        <v>136</v>
      </c>
    </row>
    <row r="1148" spans="1:37" x14ac:dyDescent="0.25">
      <c r="A1148">
        <v>1615</v>
      </c>
      <c r="B1148">
        <v>34</v>
      </c>
      <c r="C1148" s="1" t="s">
        <v>25</v>
      </c>
      <c r="D1148" s="1" t="s">
        <v>69</v>
      </c>
      <c r="E1148">
        <v>4</v>
      </c>
      <c r="F1148" s="1" t="s">
        <v>134</v>
      </c>
      <c r="G1148">
        <v>1</v>
      </c>
      <c r="H1148" s="1" t="s">
        <v>18</v>
      </c>
      <c r="I1148">
        <v>9</v>
      </c>
      <c r="J1148">
        <v>3</v>
      </c>
      <c r="K1148">
        <v>9</v>
      </c>
      <c r="L1148">
        <v>7</v>
      </c>
      <c r="M1148">
        <v>7</v>
      </c>
      <c r="N1148">
        <v>2</v>
      </c>
      <c r="O1148" s="1" t="s">
        <v>19</v>
      </c>
      <c r="P1148" s="1" t="s">
        <v>137</v>
      </c>
      <c r="Q1148">
        <v>426</v>
      </c>
      <c r="R1148" s="1" t="s">
        <v>63</v>
      </c>
      <c r="S1148">
        <v>10</v>
      </c>
      <c r="T1148">
        <v>1</v>
      </c>
      <c r="U1148">
        <v>3</v>
      </c>
      <c r="V1148">
        <v>42</v>
      </c>
      <c r="W1148">
        <v>4</v>
      </c>
      <c r="X1148">
        <v>2</v>
      </c>
      <c r="Y1148" s="1" t="s">
        <v>7</v>
      </c>
      <c r="Z1148">
        <v>4</v>
      </c>
      <c r="AA1148">
        <v>4724</v>
      </c>
      <c r="AB1148">
        <v>17000</v>
      </c>
      <c r="AC1148" s="1" t="s">
        <v>19</v>
      </c>
      <c r="AD1148">
        <v>13</v>
      </c>
      <c r="AE1148">
        <v>3</v>
      </c>
      <c r="AF1148">
        <v>1</v>
      </c>
      <c r="AG1148">
        <v>80</v>
      </c>
      <c r="AH1148">
        <v>1</v>
      </c>
      <c r="AI1148">
        <v>3</v>
      </c>
      <c r="AJ1148">
        <v>0</v>
      </c>
      <c r="AK1148" s="1" t="s">
        <v>136</v>
      </c>
    </row>
    <row r="1149" spans="1:37" x14ac:dyDescent="0.25">
      <c r="A1149">
        <v>1617</v>
      </c>
      <c r="B1149">
        <v>49</v>
      </c>
      <c r="C1149" s="1" t="s">
        <v>24</v>
      </c>
      <c r="D1149" s="1" t="s">
        <v>70</v>
      </c>
      <c r="E1149">
        <v>4</v>
      </c>
      <c r="F1149" s="1" t="s">
        <v>134</v>
      </c>
      <c r="G1149">
        <v>1</v>
      </c>
      <c r="H1149" s="1" t="s">
        <v>18</v>
      </c>
      <c r="I1149">
        <v>10</v>
      </c>
      <c r="J1149">
        <v>3</v>
      </c>
      <c r="K1149">
        <v>9</v>
      </c>
      <c r="L1149">
        <v>6</v>
      </c>
      <c r="M1149">
        <v>1</v>
      </c>
      <c r="N1149">
        <v>4</v>
      </c>
      <c r="O1149" s="1" t="s">
        <v>19</v>
      </c>
      <c r="P1149" s="1" t="s">
        <v>135</v>
      </c>
      <c r="Q1149">
        <v>722</v>
      </c>
      <c r="R1149" s="1" t="s">
        <v>63</v>
      </c>
      <c r="S1149">
        <v>25</v>
      </c>
      <c r="T1149">
        <v>1</v>
      </c>
      <c r="U1149">
        <v>3</v>
      </c>
      <c r="V1149">
        <v>84</v>
      </c>
      <c r="W1149">
        <v>3</v>
      </c>
      <c r="X1149">
        <v>1</v>
      </c>
      <c r="Y1149" s="1" t="s">
        <v>6</v>
      </c>
      <c r="Z1149">
        <v>1</v>
      </c>
      <c r="AA1149">
        <v>3211</v>
      </c>
      <c r="AB1149">
        <v>22102</v>
      </c>
      <c r="AC1149" s="1" t="s">
        <v>19</v>
      </c>
      <c r="AD1149">
        <v>14</v>
      </c>
      <c r="AE1149">
        <v>3</v>
      </c>
      <c r="AF1149">
        <v>4</v>
      </c>
      <c r="AG1149">
        <v>80</v>
      </c>
      <c r="AH1149">
        <v>1</v>
      </c>
      <c r="AI1149">
        <v>2</v>
      </c>
      <c r="AJ1149">
        <v>0</v>
      </c>
      <c r="AK1149" s="1" t="s">
        <v>136</v>
      </c>
    </row>
    <row r="1150" spans="1:37" x14ac:dyDescent="0.25">
      <c r="A1150">
        <v>1618</v>
      </c>
      <c r="B1150">
        <v>39</v>
      </c>
      <c r="C1150" s="1" t="s">
        <v>25</v>
      </c>
      <c r="D1150" s="1" t="s">
        <v>70</v>
      </c>
      <c r="E1150">
        <v>5</v>
      </c>
      <c r="F1150" s="1" t="s">
        <v>139</v>
      </c>
      <c r="G1150">
        <v>2</v>
      </c>
      <c r="H1150" s="1" t="s">
        <v>18</v>
      </c>
      <c r="I1150">
        <v>10</v>
      </c>
      <c r="J1150">
        <v>3</v>
      </c>
      <c r="K1150">
        <v>7</v>
      </c>
      <c r="L1150">
        <v>7</v>
      </c>
      <c r="M1150">
        <v>7</v>
      </c>
      <c r="N1150">
        <v>7</v>
      </c>
      <c r="O1150" s="1" t="s">
        <v>19</v>
      </c>
      <c r="P1150" s="1" t="s">
        <v>135</v>
      </c>
      <c r="Q1150">
        <v>1387</v>
      </c>
      <c r="R1150" s="1" t="s">
        <v>63</v>
      </c>
      <c r="S1150">
        <v>10</v>
      </c>
      <c r="T1150">
        <v>1</v>
      </c>
      <c r="U1150">
        <v>2</v>
      </c>
      <c r="V1150">
        <v>76</v>
      </c>
      <c r="W1150">
        <v>3</v>
      </c>
      <c r="X1150">
        <v>2</v>
      </c>
      <c r="Y1150" s="1" t="s">
        <v>7</v>
      </c>
      <c r="Z1150">
        <v>1</v>
      </c>
      <c r="AA1150">
        <v>5377</v>
      </c>
      <c r="AB1150">
        <v>3835</v>
      </c>
      <c r="AC1150" s="1" t="s">
        <v>19</v>
      </c>
      <c r="AD1150">
        <v>13</v>
      </c>
      <c r="AE1150">
        <v>3</v>
      </c>
      <c r="AF1150">
        <v>4</v>
      </c>
      <c r="AG1150">
        <v>80</v>
      </c>
      <c r="AH1150">
        <v>3</v>
      </c>
      <c r="AI1150">
        <v>3</v>
      </c>
      <c r="AJ1150">
        <v>0</v>
      </c>
      <c r="AK1150" s="1" t="s">
        <v>136</v>
      </c>
    </row>
    <row r="1151" spans="1:37" x14ac:dyDescent="0.25">
      <c r="A1151">
        <v>1619</v>
      </c>
      <c r="B1151">
        <v>27</v>
      </c>
      <c r="C1151" s="1" t="s">
        <v>25</v>
      </c>
      <c r="D1151" s="1" t="s">
        <v>69</v>
      </c>
      <c r="E1151">
        <v>3</v>
      </c>
      <c r="F1151" s="1" t="s">
        <v>138</v>
      </c>
      <c r="G1151">
        <v>1</v>
      </c>
      <c r="H1151" s="1" t="s">
        <v>18</v>
      </c>
      <c r="I1151">
        <v>7</v>
      </c>
      <c r="J1151">
        <v>3</v>
      </c>
      <c r="K1151">
        <v>7</v>
      </c>
      <c r="L1151">
        <v>7</v>
      </c>
      <c r="M1151">
        <v>0</v>
      </c>
      <c r="N1151">
        <v>7</v>
      </c>
      <c r="O1151" s="1" t="s">
        <v>19</v>
      </c>
      <c r="P1151" s="1" t="s">
        <v>135</v>
      </c>
      <c r="Q1151">
        <v>1302</v>
      </c>
      <c r="R1151" s="1" t="s">
        <v>63</v>
      </c>
      <c r="S1151">
        <v>19</v>
      </c>
      <c r="T1151">
        <v>1</v>
      </c>
      <c r="U1151">
        <v>4</v>
      </c>
      <c r="V1151">
        <v>67</v>
      </c>
      <c r="W1151">
        <v>2</v>
      </c>
      <c r="X1151">
        <v>1</v>
      </c>
      <c r="Y1151" s="1" t="s">
        <v>6</v>
      </c>
      <c r="Z1151">
        <v>1</v>
      </c>
      <c r="AA1151">
        <v>4066</v>
      </c>
      <c r="AB1151">
        <v>16290</v>
      </c>
      <c r="AC1151" s="1" t="s">
        <v>19</v>
      </c>
      <c r="AD1151">
        <v>11</v>
      </c>
      <c r="AE1151">
        <v>3</v>
      </c>
      <c r="AF1151">
        <v>1</v>
      </c>
      <c r="AG1151">
        <v>80</v>
      </c>
      <c r="AH1151">
        <v>2</v>
      </c>
      <c r="AI1151">
        <v>3</v>
      </c>
      <c r="AJ1151">
        <v>0</v>
      </c>
      <c r="AK1151" s="1" t="s">
        <v>136</v>
      </c>
    </row>
    <row r="1152" spans="1:37" x14ac:dyDescent="0.25">
      <c r="A1152">
        <v>1621</v>
      </c>
      <c r="B1152">
        <v>35</v>
      </c>
      <c r="C1152" s="1" t="s">
        <v>25</v>
      </c>
      <c r="D1152" s="1" t="s">
        <v>70</v>
      </c>
      <c r="E1152">
        <v>5</v>
      </c>
      <c r="F1152" s="1" t="s">
        <v>134</v>
      </c>
      <c r="G1152">
        <v>1</v>
      </c>
      <c r="H1152" s="1" t="s">
        <v>18</v>
      </c>
      <c r="I1152">
        <v>16</v>
      </c>
      <c r="J1152">
        <v>2</v>
      </c>
      <c r="K1152">
        <v>16</v>
      </c>
      <c r="L1152">
        <v>15</v>
      </c>
      <c r="M1152">
        <v>1</v>
      </c>
      <c r="N1152">
        <v>10</v>
      </c>
      <c r="O1152" s="1" t="s">
        <v>19</v>
      </c>
      <c r="P1152" s="1" t="s">
        <v>135</v>
      </c>
      <c r="Q1152">
        <v>819</v>
      </c>
      <c r="R1152" s="1" t="s">
        <v>63</v>
      </c>
      <c r="S1152">
        <v>18</v>
      </c>
      <c r="T1152">
        <v>1</v>
      </c>
      <c r="U1152">
        <v>2</v>
      </c>
      <c r="V1152">
        <v>48</v>
      </c>
      <c r="W1152">
        <v>4</v>
      </c>
      <c r="X1152">
        <v>2</v>
      </c>
      <c r="Y1152" s="1" t="s">
        <v>5</v>
      </c>
      <c r="Z1152">
        <v>1</v>
      </c>
      <c r="AA1152">
        <v>5208</v>
      </c>
      <c r="AB1152">
        <v>26312</v>
      </c>
      <c r="AC1152" s="1" t="s">
        <v>19</v>
      </c>
      <c r="AD1152">
        <v>11</v>
      </c>
      <c r="AE1152">
        <v>3</v>
      </c>
      <c r="AF1152">
        <v>4</v>
      </c>
      <c r="AG1152">
        <v>80</v>
      </c>
      <c r="AH1152">
        <v>0</v>
      </c>
      <c r="AI1152">
        <v>3</v>
      </c>
      <c r="AJ1152">
        <v>0</v>
      </c>
      <c r="AK1152" s="1" t="s">
        <v>136</v>
      </c>
    </row>
    <row r="1153" spans="1:37" x14ac:dyDescent="0.25">
      <c r="A1153">
        <v>1622</v>
      </c>
      <c r="B1153">
        <v>28</v>
      </c>
      <c r="C1153" s="1" t="s">
        <v>24</v>
      </c>
      <c r="D1153" s="1" t="s">
        <v>69</v>
      </c>
      <c r="E1153">
        <v>3</v>
      </c>
      <c r="F1153" s="1" t="s">
        <v>139</v>
      </c>
      <c r="G1153">
        <v>0</v>
      </c>
      <c r="H1153" s="1" t="s">
        <v>18</v>
      </c>
      <c r="I1153">
        <v>6</v>
      </c>
      <c r="J1153">
        <v>5</v>
      </c>
      <c r="K1153">
        <v>5</v>
      </c>
      <c r="L1153">
        <v>3</v>
      </c>
      <c r="M1153">
        <v>0</v>
      </c>
      <c r="N1153">
        <v>0</v>
      </c>
      <c r="O1153" s="1" t="s">
        <v>19</v>
      </c>
      <c r="P1153" s="1" t="s">
        <v>135</v>
      </c>
      <c r="Q1153">
        <v>580</v>
      </c>
      <c r="R1153" s="1" t="s">
        <v>63</v>
      </c>
      <c r="S1153">
        <v>27</v>
      </c>
      <c r="T1153">
        <v>1</v>
      </c>
      <c r="U1153">
        <v>2</v>
      </c>
      <c r="V1153">
        <v>39</v>
      </c>
      <c r="W1153">
        <v>1</v>
      </c>
      <c r="X1153">
        <v>2</v>
      </c>
      <c r="Y1153" s="1" t="s">
        <v>7</v>
      </c>
      <c r="Z1153">
        <v>1</v>
      </c>
      <c r="AA1153">
        <v>4877</v>
      </c>
      <c r="AB1153">
        <v>20460</v>
      </c>
      <c r="AC1153" s="1" t="s">
        <v>19</v>
      </c>
      <c r="AD1153">
        <v>21</v>
      </c>
      <c r="AE1153">
        <v>4</v>
      </c>
      <c r="AF1153">
        <v>2</v>
      </c>
      <c r="AG1153">
        <v>80</v>
      </c>
      <c r="AH1153">
        <v>1</v>
      </c>
      <c r="AI1153">
        <v>2</v>
      </c>
      <c r="AJ1153">
        <v>0</v>
      </c>
      <c r="AK1153" s="1" t="s">
        <v>136</v>
      </c>
    </row>
    <row r="1154" spans="1:37" x14ac:dyDescent="0.25">
      <c r="A1154">
        <v>1623</v>
      </c>
      <c r="B1154">
        <v>21</v>
      </c>
      <c r="C1154" s="1" t="s">
        <v>25</v>
      </c>
      <c r="D1154" s="1" t="s">
        <v>71</v>
      </c>
      <c r="E1154">
        <v>1</v>
      </c>
      <c r="F1154" s="1" t="s">
        <v>139</v>
      </c>
      <c r="G1154">
        <v>1</v>
      </c>
      <c r="H1154" s="1" t="s">
        <v>18</v>
      </c>
      <c r="I1154">
        <v>3</v>
      </c>
      <c r="J1154">
        <v>2</v>
      </c>
      <c r="K1154">
        <v>2</v>
      </c>
      <c r="L1154">
        <v>2</v>
      </c>
      <c r="M1154">
        <v>2</v>
      </c>
      <c r="N1154">
        <v>2</v>
      </c>
      <c r="O1154" s="1" t="s">
        <v>19</v>
      </c>
      <c r="P1154" s="1" t="s">
        <v>135</v>
      </c>
      <c r="Q1154">
        <v>546</v>
      </c>
      <c r="R1154" s="1" t="s">
        <v>63</v>
      </c>
      <c r="S1154">
        <v>5</v>
      </c>
      <c r="T1154">
        <v>1</v>
      </c>
      <c r="U1154">
        <v>3</v>
      </c>
      <c r="V1154">
        <v>97</v>
      </c>
      <c r="W1154">
        <v>3</v>
      </c>
      <c r="X1154">
        <v>1</v>
      </c>
      <c r="Y1154" s="1" t="s">
        <v>5</v>
      </c>
      <c r="Z1154">
        <v>4</v>
      </c>
      <c r="AA1154">
        <v>3117</v>
      </c>
      <c r="AB1154">
        <v>26009</v>
      </c>
      <c r="AC1154" s="1" t="s">
        <v>19</v>
      </c>
      <c r="AD1154">
        <v>18</v>
      </c>
      <c r="AE1154">
        <v>3</v>
      </c>
      <c r="AF1154">
        <v>3</v>
      </c>
      <c r="AG1154">
        <v>80</v>
      </c>
      <c r="AH1154">
        <v>0</v>
      </c>
      <c r="AI1154">
        <v>3</v>
      </c>
      <c r="AJ1154">
        <v>0</v>
      </c>
      <c r="AK1154" s="1" t="s">
        <v>136</v>
      </c>
    </row>
    <row r="1155" spans="1:37" x14ac:dyDescent="0.25">
      <c r="A1155">
        <v>1624</v>
      </c>
      <c r="B1155">
        <v>18</v>
      </c>
      <c r="C1155" s="1" t="s">
        <v>24</v>
      </c>
      <c r="D1155" s="1" t="s">
        <v>71</v>
      </c>
      <c r="E1155">
        <v>2</v>
      </c>
      <c r="F1155" s="1" t="s">
        <v>139</v>
      </c>
      <c r="G1155">
        <v>1</v>
      </c>
      <c r="H1155" s="1" t="s">
        <v>18</v>
      </c>
      <c r="I1155">
        <v>0</v>
      </c>
      <c r="J1155">
        <v>2</v>
      </c>
      <c r="K1155">
        <v>0</v>
      </c>
      <c r="L1155">
        <v>0</v>
      </c>
      <c r="M1155">
        <v>0</v>
      </c>
      <c r="N1155">
        <v>0</v>
      </c>
      <c r="O1155" s="1" t="s">
        <v>18</v>
      </c>
      <c r="P1155" s="1" t="s">
        <v>137</v>
      </c>
      <c r="Q1155">
        <v>544</v>
      </c>
      <c r="R1155" s="1" t="s">
        <v>64</v>
      </c>
      <c r="S1155">
        <v>3</v>
      </c>
      <c r="T1155">
        <v>1</v>
      </c>
      <c r="U1155">
        <v>2</v>
      </c>
      <c r="V1155">
        <v>70</v>
      </c>
      <c r="W1155">
        <v>3</v>
      </c>
      <c r="X1155">
        <v>1</v>
      </c>
      <c r="Y1155" s="1" t="s">
        <v>10</v>
      </c>
      <c r="Z1155">
        <v>4</v>
      </c>
      <c r="AA1155">
        <v>1569</v>
      </c>
      <c r="AB1155">
        <v>18420</v>
      </c>
      <c r="AC1155" s="1" t="s">
        <v>18</v>
      </c>
      <c r="AD1155">
        <v>12</v>
      </c>
      <c r="AE1155">
        <v>3</v>
      </c>
      <c r="AF1155">
        <v>3</v>
      </c>
      <c r="AG1155">
        <v>80</v>
      </c>
      <c r="AH1155">
        <v>0</v>
      </c>
      <c r="AI1155">
        <v>4</v>
      </c>
      <c r="AJ1155">
        <v>1</v>
      </c>
      <c r="AK1155" s="1" t="s">
        <v>136</v>
      </c>
    </row>
    <row r="1156" spans="1:37" x14ac:dyDescent="0.25">
      <c r="A1156">
        <v>1625</v>
      </c>
      <c r="B1156">
        <v>47</v>
      </c>
      <c r="C1156" s="1" t="s">
        <v>24</v>
      </c>
      <c r="D1156" s="1" t="s">
        <v>70</v>
      </c>
      <c r="E1156">
        <v>4</v>
      </c>
      <c r="F1156" s="1" t="s">
        <v>134</v>
      </c>
      <c r="G1156">
        <v>3</v>
      </c>
      <c r="H1156" s="1" t="s">
        <v>18</v>
      </c>
      <c r="I1156">
        <v>27</v>
      </c>
      <c r="J1156">
        <v>2</v>
      </c>
      <c r="K1156">
        <v>5</v>
      </c>
      <c r="L1156">
        <v>2</v>
      </c>
      <c r="M1156">
        <v>1</v>
      </c>
      <c r="N1156">
        <v>0</v>
      </c>
      <c r="O1156" s="1" t="s">
        <v>19</v>
      </c>
      <c r="P1156" s="1" t="s">
        <v>135</v>
      </c>
      <c r="Q1156">
        <v>1176</v>
      </c>
      <c r="R1156" s="1" t="s">
        <v>12</v>
      </c>
      <c r="S1156">
        <v>26</v>
      </c>
      <c r="T1156">
        <v>1</v>
      </c>
      <c r="U1156">
        <v>4</v>
      </c>
      <c r="V1156">
        <v>98</v>
      </c>
      <c r="W1156">
        <v>3</v>
      </c>
      <c r="X1156">
        <v>5</v>
      </c>
      <c r="Y1156" s="1" t="s">
        <v>9</v>
      </c>
      <c r="Z1156">
        <v>3</v>
      </c>
      <c r="AA1156">
        <v>19658</v>
      </c>
      <c r="AB1156">
        <v>5220</v>
      </c>
      <c r="AC1156" s="1" t="s">
        <v>19</v>
      </c>
      <c r="AD1156">
        <v>11</v>
      </c>
      <c r="AE1156">
        <v>3</v>
      </c>
      <c r="AF1156">
        <v>3</v>
      </c>
      <c r="AG1156">
        <v>80</v>
      </c>
      <c r="AH1156">
        <v>1</v>
      </c>
      <c r="AI1156">
        <v>3</v>
      </c>
      <c r="AJ1156">
        <v>0</v>
      </c>
      <c r="AK1156" s="1" t="s">
        <v>136</v>
      </c>
    </row>
    <row r="1157" spans="1:37" x14ac:dyDescent="0.25">
      <c r="A1157">
        <v>1627</v>
      </c>
      <c r="B1157">
        <v>39</v>
      </c>
      <c r="C1157" s="1" t="s">
        <v>25</v>
      </c>
      <c r="D1157" s="1" t="s">
        <v>69</v>
      </c>
      <c r="E1157">
        <v>2</v>
      </c>
      <c r="F1157" s="1" t="s">
        <v>139</v>
      </c>
      <c r="G1157">
        <v>0</v>
      </c>
      <c r="H1157" s="1" t="s">
        <v>18</v>
      </c>
      <c r="I1157">
        <v>11</v>
      </c>
      <c r="J1157">
        <v>3</v>
      </c>
      <c r="K1157">
        <v>10</v>
      </c>
      <c r="L1157">
        <v>8</v>
      </c>
      <c r="M1157">
        <v>0</v>
      </c>
      <c r="N1157">
        <v>7</v>
      </c>
      <c r="O1157" s="1" t="s">
        <v>19</v>
      </c>
      <c r="P1157" s="1" t="s">
        <v>135</v>
      </c>
      <c r="Q1157">
        <v>170</v>
      </c>
      <c r="R1157" s="1" t="s">
        <v>63</v>
      </c>
      <c r="S1157">
        <v>3</v>
      </c>
      <c r="T1157">
        <v>1</v>
      </c>
      <c r="U1157">
        <v>3</v>
      </c>
      <c r="V1157">
        <v>76</v>
      </c>
      <c r="W1157">
        <v>2</v>
      </c>
      <c r="X1157">
        <v>2</v>
      </c>
      <c r="Y1157" s="1" t="s">
        <v>6</v>
      </c>
      <c r="Z1157">
        <v>3</v>
      </c>
      <c r="AA1157">
        <v>3069</v>
      </c>
      <c r="AB1157">
        <v>10302</v>
      </c>
      <c r="AC1157" s="1" t="s">
        <v>19</v>
      </c>
      <c r="AD1157">
        <v>15</v>
      </c>
      <c r="AE1157">
        <v>3</v>
      </c>
      <c r="AF1157">
        <v>4</v>
      </c>
      <c r="AG1157">
        <v>80</v>
      </c>
      <c r="AH1157">
        <v>1</v>
      </c>
      <c r="AI1157">
        <v>3</v>
      </c>
      <c r="AJ1157">
        <v>0</v>
      </c>
      <c r="AK1157" s="1" t="s">
        <v>136</v>
      </c>
    </row>
    <row r="1158" spans="1:37" x14ac:dyDescent="0.25">
      <c r="A1158">
        <v>1628</v>
      </c>
      <c r="B1158">
        <v>40</v>
      </c>
      <c r="C1158" s="1" t="s">
        <v>24</v>
      </c>
      <c r="D1158" s="1" t="s">
        <v>70</v>
      </c>
      <c r="E1158">
        <v>3</v>
      </c>
      <c r="F1158" s="1" t="s">
        <v>134</v>
      </c>
      <c r="G1158">
        <v>1</v>
      </c>
      <c r="H1158" s="1" t="s">
        <v>18</v>
      </c>
      <c r="I1158">
        <v>18</v>
      </c>
      <c r="J1158">
        <v>2</v>
      </c>
      <c r="K1158">
        <v>18</v>
      </c>
      <c r="L1158">
        <v>15</v>
      </c>
      <c r="M1158">
        <v>14</v>
      </c>
      <c r="N1158">
        <v>12</v>
      </c>
      <c r="O1158" s="1" t="s">
        <v>19</v>
      </c>
      <c r="P1158" s="1" t="s">
        <v>135</v>
      </c>
      <c r="Q1158">
        <v>884</v>
      </c>
      <c r="R1158" s="1" t="s">
        <v>63</v>
      </c>
      <c r="S1158">
        <v>15</v>
      </c>
      <c r="T1158">
        <v>1</v>
      </c>
      <c r="U1158">
        <v>1</v>
      </c>
      <c r="V1158">
        <v>80</v>
      </c>
      <c r="W1158">
        <v>2</v>
      </c>
      <c r="X1158">
        <v>3</v>
      </c>
      <c r="Y1158" s="1" t="s">
        <v>7</v>
      </c>
      <c r="Z1158">
        <v>3</v>
      </c>
      <c r="AA1158">
        <v>10435</v>
      </c>
      <c r="AB1158">
        <v>25800</v>
      </c>
      <c r="AC1158" s="1" t="s">
        <v>19</v>
      </c>
      <c r="AD1158">
        <v>13</v>
      </c>
      <c r="AE1158">
        <v>3</v>
      </c>
      <c r="AF1158">
        <v>4</v>
      </c>
      <c r="AG1158">
        <v>80</v>
      </c>
      <c r="AH1158">
        <v>2</v>
      </c>
      <c r="AI1158">
        <v>3</v>
      </c>
      <c r="AJ1158">
        <v>0</v>
      </c>
      <c r="AK1158" s="1" t="s">
        <v>136</v>
      </c>
    </row>
    <row r="1159" spans="1:37" x14ac:dyDescent="0.25">
      <c r="A1159">
        <v>1630</v>
      </c>
      <c r="B1159">
        <v>35</v>
      </c>
      <c r="C1159" s="1" t="s">
        <v>24</v>
      </c>
      <c r="D1159" s="1" t="s">
        <v>70</v>
      </c>
      <c r="E1159">
        <v>4</v>
      </c>
      <c r="F1159" s="1" t="s">
        <v>134</v>
      </c>
      <c r="G1159">
        <v>1</v>
      </c>
      <c r="H1159" s="1" t="s">
        <v>18</v>
      </c>
      <c r="I1159">
        <v>15</v>
      </c>
      <c r="J1159">
        <v>5</v>
      </c>
      <c r="K1159">
        <v>14</v>
      </c>
      <c r="L1159">
        <v>11</v>
      </c>
      <c r="M1159">
        <v>2</v>
      </c>
      <c r="N1159">
        <v>9</v>
      </c>
      <c r="O1159" s="1" t="s">
        <v>19</v>
      </c>
      <c r="P1159" s="1" t="s">
        <v>141</v>
      </c>
      <c r="Q1159">
        <v>208</v>
      </c>
      <c r="R1159" s="1" t="s">
        <v>63</v>
      </c>
      <c r="S1159">
        <v>8</v>
      </c>
      <c r="T1159">
        <v>1</v>
      </c>
      <c r="U1159">
        <v>3</v>
      </c>
      <c r="V1159">
        <v>52</v>
      </c>
      <c r="W1159">
        <v>3</v>
      </c>
      <c r="X1159">
        <v>2</v>
      </c>
      <c r="Y1159" s="1" t="s">
        <v>8</v>
      </c>
      <c r="Z1159">
        <v>3</v>
      </c>
      <c r="AA1159">
        <v>4148</v>
      </c>
      <c r="AB1159">
        <v>12250</v>
      </c>
      <c r="AC1159" s="1" t="s">
        <v>19</v>
      </c>
      <c r="AD1159">
        <v>12</v>
      </c>
      <c r="AE1159">
        <v>3</v>
      </c>
      <c r="AF1159">
        <v>4</v>
      </c>
      <c r="AG1159">
        <v>80</v>
      </c>
      <c r="AH1159">
        <v>1</v>
      </c>
      <c r="AI1159">
        <v>3</v>
      </c>
      <c r="AJ1159">
        <v>0</v>
      </c>
      <c r="AK1159" s="1" t="s">
        <v>136</v>
      </c>
    </row>
    <row r="1160" spans="1:37" x14ac:dyDescent="0.25">
      <c r="A1160">
        <v>1631</v>
      </c>
      <c r="B1160">
        <v>37</v>
      </c>
      <c r="C1160" s="1" t="s">
        <v>25</v>
      </c>
      <c r="D1160" s="1" t="s">
        <v>70</v>
      </c>
      <c r="E1160">
        <v>3</v>
      </c>
      <c r="F1160" s="1" t="s">
        <v>134</v>
      </c>
      <c r="G1160">
        <v>3</v>
      </c>
      <c r="H1160" s="1" t="s">
        <v>18</v>
      </c>
      <c r="I1160">
        <v>9</v>
      </c>
      <c r="J1160">
        <v>2</v>
      </c>
      <c r="K1160">
        <v>4</v>
      </c>
      <c r="L1160">
        <v>3</v>
      </c>
      <c r="M1160">
        <v>0</v>
      </c>
      <c r="N1160">
        <v>2</v>
      </c>
      <c r="O1160" s="1" t="s">
        <v>19</v>
      </c>
      <c r="P1160" s="1" t="s">
        <v>135</v>
      </c>
      <c r="Q1160">
        <v>671</v>
      </c>
      <c r="R1160" s="1" t="s">
        <v>63</v>
      </c>
      <c r="S1160">
        <v>19</v>
      </c>
      <c r="T1160">
        <v>1</v>
      </c>
      <c r="U1160">
        <v>3</v>
      </c>
      <c r="V1160">
        <v>85</v>
      </c>
      <c r="W1160">
        <v>3</v>
      </c>
      <c r="X1160">
        <v>2</v>
      </c>
      <c r="Y1160" s="1" t="s">
        <v>7</v>
      </c>
      <c r="Z1160">
        <v>3</v>
      </c>
      <c r="AA1160">
        <v>5768</v>
      </c>
      <c r="AB1160">
        <v>26493</v>
      </c>
      <c r="AC1160" s="1" t="s">
        <v>19</v>
      </c>
      <c r="AD1160">
        <v>17</v>
      </c>
      <c r="AE1160">
        <v>3</v>
      </c>
      <c r="AF1160">
        <v>1</v>
      </c>
      <c r="AG1160">
        <v>80</v>
      </c>
      <c r="AH1160">
        <v>3</v>
      </c>
      <c r="AI1160">
        <v>2</v>
      </c>
      <c r="AJ1160">
        <v>0</v>
      </c>
      <c r="AK1160" s="1" t="s">
        <v>136</v>
      </c>
    </row>
    <row r="1161" spans="1:37" x14ac:dyDescent="0.25">
      <c r="A1161">
        <v>1633</v>
      </c>
      <c r="B1161">
        <v>39</v>
      </c>
      <c r="C1161" s="1" t="s">
        <v>24</v>
      </c>
      <c r="D1161" s="1" t="s">
        <v>71</v>
      </c>
      <c r="E1161">
        <v>3</v>
      </c>
      <c r="F1161" s="1" t="s">
        <v>139</v>
      </c>
      <c r="G1161">
        <v>0</v>
      </c>
      <c r="H1161" s="1" t="s">
        <v>18</v>
      </c>
      <c r="I1161">
        <v>10</v>
      </c>
      <c r="J1161">
        <v>2</v>
      </c>
      <c r="K1161">
        <v>9</v>
      </c>
      <c r="L1161">
        <v>2</v>
      </c>
      <c r="M1161">
        <v>3</v>
      </c>
      <c r="N1161">
        <v>8</v>
      </c>
      <c r="O1161" s="1" t="s">
        <v>19</v>
      </c>
      <c r="P1161" s="1" t="s">
        <v>137</v>
      </c>
      <c r="Q1161">
        <v>711</v>
      </c>
      <c r="R1161" s="1" t="s">
        <v>63</v>
      </c>
      <c r="S1161">
        <v>4</v>
      </c>
      <c r="T1161">
        <v>1</v>
      </c>
      <c r="U1161">
        <v>1</v>
      </c>
      <c r="V1161">
        <v>81</v>
      </c>
      <c r="W1161">
        <v>3</v>
      </c>
      <c r="X1161">
        <v>2</v>
      </c>
      <c r="Y1161" s="1" t="s">
        <v>7</v>
      </c>
      <c r="Z1161">
        <v>3</v>
      </c>
      <c r="AA1161">
        <v>5042</v>
      </c>
      <c r="AB1161">
        <v>3140</v>
      </c>
      <c r="AC1161" s="1" t="s">
        <v>19</v>
      </c>
      <c r="AD1161">
        <v>13</v>
      </c>
      <c r="AE1161">
        <v>3</v>
      </c>
      <c r="AF1161">
        <v>4</v>
      </c>
      <c r="AG1161">
        <v>80</v>
      </c>
      <c r="AH1161">
        <v>0</v>
      </c>
      <c r="AI1161">
        <v>1</v>
      </c>
      <c r="AJ1161">
        <v>0</v>
      </c>
      <c r="AK1161" s="1" t="s">
        <v>136</v>
      </c>
    </row>
    <row r="1162" spans="1:37" x14ac:dyDescent="0.25">
      <c r="A1162">
        <v>1635</v>
      </c>
      <c r="B1162">
        <v>45</v>
      </c>
      <c r="C1162" s="1" t="s">
        <v>24</v>
      </c>
      <c r="D1162" s="1" t="s">
        <v>69</v>
      </c>
      <c r="E1162">
        <v>2</v>
      </c>
      <c r="F1162" s="1" t="s">
        <v>138</v>
      </c>
      <c r="G1162">
        <v>1</v>
      </c>
      <c r="H1162" s="1" t="s">
        <v>18</v>
      </c>
      <c r="I1162">
        <v>10</v>
      </c>
      <c r="J1162">
        <v>3</v>
      </c>
      <c r="K1162">
        <v>10</v>
      </c>
      <c r="L1162">
        <v>7</v>
      </c>
      <c r="M1162">
        <v>3</v>
      </c>
      <c r="N1162">
        <v>9</v>
      </c>
      <c r="O1162" s="1" t="s">
        <v>19</v>
      </c>
      <c r="P1162" s="1" t="s">
        <v>135</v>
      </c>
      <c r="Q1162">
        <v>1329</v>
      </c>
      <c r="R1162" s="1" t="s">
        <v>63</v>
      </c>
      <c r="S1162">
        <v>2</v>
      </c>
      <c r="T1162">
        <v>1</v>
      </c>
      <c r="U1162">
        <v>4</v>
      </c>
      <c r="V1162">
        <v>59</v>
      </c>
      <c r="W1162">
        <v>2</v>
      </c>
      <c r="X1162">
        <v>2</v>
      </c>
      <c r="Y1162" s="1" t="s">
        <v>7</v>
      </c>
      <c r="Z1162">
        <v>4</v>
      </c>
      <c r="AA1162">
        <v>5770</v>
      </c>
      <c r="AB1162">
        <v>5388</v>
      </c>
      <c r="AC1162" s="1" t="s">
        <v>19</v>
      </c>
      <c r="AD1162">
        <v>19</v>
      </c>
      <c r="AE1162">
        <v>3</v>
      </c>
      <c r="AF1162">
        <v>1</v>
      </c>
      <c r="AG1162">
        <v>80</v>
      </c>
      <c r="AH1162">
        <v>2</v>
      </c>
      <c r="AI1162">
        <v>3</v>
      </c>
      <c r="AJ1162">
        <v>0</v>
      </c>
      <c r="AK1162" s="1" t="s">
        <v>136</v>
      </c>
    </row>
    <row r="1163" spans="1:37" x14ac:dyDescent="0.25">
      <c r="A1163">
        <v>1638</v>
      </c>
      <c r="B1163">
        <v>38</v>
      </c>
      <c r="C1163" s="1" t="s">
        <v>24</v>
      </c>
      <c r="D1163" s="1" t="s">
        <v>70</v>
      </c>
      <c r="E1163">
        <v>2</v>
      </c>
      <c r="F1163" s="1" t="s">
        <v>139</v>
      </c>
      <c r="G1163">
        <v>3</v>
      </c>
      <c r="H1163" s="1" t="s">
        <v>18</v>
      </c>
      <c r="I1163">
        <v>10</v>
      </c>
      <c r="J1163">
        <v>6</v>
      </c>
      <c r="K1163">
        <v>5</v>
      </c>
      <c r="L1163">
        <v>4</v>
      </c>
      <c r="M1163">
        <v>0</v>
      </c>
      <c r="N1163">
        <v>2</v>
      </c>
      <c r="O1163" s="1" t="s">
        <v>19</v>
      </c>
      <c r="P1163" s="1" t="s">
        <v>135</v>
      </c>
      <c r="Q1163">
        <v>397</v>
      </c>
      <c r="R1163" s="1" t="s">
        <v>63</v>
      </c>
      <c r="S1163">
        <v>2</v>
      </c>
      <c r="T1163">
        <v>1</v>
      </c>
      <c r="U1163">
        <v>4</v>
      </c>
      <c r="V1163">
        <v>54</v>
      </c>
      <c r="W1163">
        <v>2</v>
      </c>
      <c r="X1163">
        <v>3</v>
      </c>
      <c r="Y1163" s="1" t="s">
        <v>7</v>
      </c>
      <c r="Z1163">
        <v>3</v>
      </c>
      <c r="AA1163">
        <v>7756</v>
      </c>
      <c r="AB1163">
        <v>14199</v>
      </c>
      <c r="AC1163" s="1" t="s">
        <v>18</v>
      </c>
      <c r="AD1163">
        <v>19</v>
      </c>
      <c r="AE1163">
        <v>3</v>
      </c>
      <c r="AF1163">
        <v>4</v>
      </c>
      <c r="AG1163">
        <v>80</v>
      </c>
      <c r="AH1163">
        <v>1</v>
      </c>
      <c r="AI1163">
        <v>4</v>
      </c>
      <c r="AJ1163">
        <v>0</v>
      </c>
      <c r="AK1163" s="1" t="s">
        <v>136</v>
      </c>
    </row>
    <row r="1164" spans="1:37" x14ac:dyDescent="0.25">
      <c r="A1164">
        <v>1639</v>
      </c>
      <c r="B1164">
        <v>35</v>
      </c>
      <c r="C1164" s="1" t="s">
        <v>25</v>
      </c>
      <c r="D1164" s="1" t="s">
        <v>70</v>
      </c>
      <c r="E1164">
        <v>3</v>
      </c>
      <c r="F1164" s="1" t="s">
        <v>139</v>
      </c>
      <c r="G1164">
        <v>9</v>
      </c>
      <c r="H1164" s="1" t="s">
        <v>18</v>
      </c>
      <c r="I1164">
        <v>15</v>
      </c>
      <c r="J1164">
        <v>3</v>
      </c>
      <c r="K1164">
        <v>13</v>
      </c>
      <c r="L1164">
        <v>12</v>
      </c>
      <c r="M1164">
        <v>6</v>
      </c>
      <c r="N1164">
        <v>0</v>
      </c>
      <c r="O1164" s="1" t="s">
        <v>18</v>
      </c>
      <c r="P1164" s="1" t="s">
        <v>135</v>
      </c>
      <c r="Q1164">
        <v>737</v>
      </c>
      <c r="R1164" s="1" t="s">
        <v>64</v>
      </c>
      <c r="S1164">
        <v>10</v>
      </c>
      <c r="T1164">
        <v>1</v>
      </c>
      <c r="U1164">
        <v>4</v>
      </c>
      <c r="V1164">
        <v>55</v>
      </c>
      <c r="W1164">
        <v>2</v>
      </c>
      <c r="X1164">
        <v>3</v>
      </c>
      <c r="Y1164" s="1" t="s">
        <v>4</v>
      </c>
      <c r="Z1164">
        <v>1</v>
      </c>
      <c r="AA1164">
        <v>10306</v>
      </c>
      <c r="AB1164">
        <v>21530</v>
      </c>
      <c r="AC1164" s="1" t="s">
        <v>19</v>
      </c>
      <c r="AD1164">
        <v>17</v>
      </c>
      <c r="AE1164">
        <v>3</v>
      </c>
      <c r="AF1164">
        <v>3</v>
      </c>
      <c r="AG1164">
        <v>80</v>
      </c>
      <c r="AH1164">
        <v>0</v>
      </c>
      <c r="AI1164">
        <v>3</v>
      </c>
      <c r="AJ1164">
        <v>1</v>
      </c>
      <c r="AK1164" s="1" t="s">
        <v>136</v>
      </c>
    </row>
    <row r="1165" spans="1:37" x14ac:dyDescent="0.25">
      <c r="A1165">
        <v>1640</v>
      </c>
      <c r="B1165">
        <v>37</v>
      </c>
      <c r="C1165" s="1" t="s">
        <v>24</v>
      </c>
      <c r="D1165" s="1" t="s">
        <v>70</v>
      </c>
      <c r="E1165">
        <v>3</v>
      </c>
      <c r="F1165" s="1" t="s">
        <v>139</v>
      </c>
      <c r="G1165">
        <v>1</v>
      </c>
      <c r="H1165" s="1" t="s">
        <v>18</v>
      </c>
      <c r="I1165">
        <v>8</v>
      </c>
      <c r="J1165">
        <v>2</v>
      </c>
      <c r="K1165">
        <v>8</v>
      </c>
      <c r="L1165">
        <v>4</v>
      </c>
      <c r="M1165">
        <v>7</v>
      </c>
      <c r="N1165">
        <v>7</v>
      </c>
      <c r="O1165" s="1" t="s">
        <v>19</v>
      </c>
      <c r="P1165" s="1" t="s">
        <v>135</v>
      </c>
      <c r="Q1165">
        <v>1470</v>
      </c>
      <c r="R1165" s="1" t="s">
        <v>63</v>
      </c>
      <c r="S1165">
        <v>10</v>
      </c>
      <c r="T1165">
        <v>1</v>
      </c>
      <c r="U1165">
        <v>2</v>
      </c>
      <c r="V1165">
        <v>71</v>
      </c>
      <c r="W1165">
        <v>3</v>
      </c>
      <c r="X1165">
        <v>1</v>
      </c>
      <c r="Y1165" s="1" t="s">
        <v>5</v>
      </c>
      <c r="Z1165">
        <v>2</v>
      </c>
      <c r="AA1165">
        <v>3936</v>
      </c>
      <c r="AB1165">
        <v>9953</v>
      </c>
      <c r="AC1165" s="1" t="s">
        <v>19</v>
      </c>
      <c r="AD1165">
        <v>11</v>
      </c>
      <c r="AE1165">
        <v>3</v>
      </c>
      <c r="AF1165">
        <v>1</v>
      </c>
      <c r="AG1165">
        <v>80</v>
      </c>
      <c r="AH1165">
        <v>1</v>
      </c>
      <c r="AI1165">
        <v>1</v>
      </c>
      <c r="AJ1165">
        <v>0</v>
      </c>
      <c r="AK1165" s="1" t="s">
        <v>136</v>
      </c>
    </row>
    <row r="1166" spans="1:37" x14ac:dyDescent="0.25">
      <c r="A1166">
        <v>1641</v>
      </c>
      <c r="B1166">
        <v>40</v>
      </c>
      <c r="C1166" s="1" t="s">
        <v>24</v>
      </c>
      <c r="D1166" s="1" t="s">
        <v>71</v>
      </c>
      <c r="E1166">
        <v>3</v>
      </c>
      <c r="F1166" s="1" t="s">
        <v>134</v>
      </c>
      <c r="G1166">
        <v>6</v>
      </c>
      <c r="H1166" s="1" t="s">
        <v>18</v>
      </c>
      <c r="I1166">
        <v>18</v>
      </c>
      <c r="J1166">
        <v>2</v>
      </c>
      <c r="K1166">
        <v>4</v>
      </c>
      <c r="L1166">
        <v>2</v>
      </c>
      <c r="M1166">
        <v>3</v>
      </c>
      <c r="N1166">
        <v>3</v>
      </c>
      <c r="O1166" s="1" t="s">
        <v>19</v>
      </c>
      <c r="P1166" s="1" t="s">
        <v>135</v>
      </c>
      <c r="Q1166">
        <v>448</v>
      </c>
      <c r="R1166" s="1" t="s">
        <v>63</v>
      </c>
      <c r="S1166">
        <v>16</v>
      </c>
      <c r="T1166">
        <v>1</v>
      </c>
      <c r="U1166">
        <v>3</v>
      </c>
      <c r="V1166">
        <v>84</v>
      </c>
      <c r="W1166">
        <v>3</v>
      </c>
      <c r="X1166">
        <v>3</v>
      </c>
      <c r="Y1166" s="1" t="s">
        <v>7</v>
      </c>
      <c r="Z1166">
        <v>4</v>
      </c>
      <c r="AA1166">
        <v>7945</v>
      </c>
      <c r="AB1166">
        <v>19948</v>
      </c>
      <c r="AC1166" s="1" t="s">
        <v>18</v>
      </c>
      <c r="AD1166">
        <v>15</v>
      </c>
      <c r="AE1166">
        <v>3</v>
      </c>
      <c r="AF1166">
        <v>4</v>
      </c>
      <c r="AG1166">
        <v>80</v>
      </c>
      <c r="AH1166">
        <v>0</v>
      </c>
      <c r="AI1166">
        <v>2</v>
      </c>
      <c r="AJ1166">
        <v>0</v>
      </c>
      <c r="AK1166" s="1" t="s">
        <v>136</v>
      </c>
    </row>
    <row r="1167" spans="1:37" x14ac:dyDescent="0.25">
      <c r="A1167">
        <v>1642</v>
      </c>
      <c r="B1167">
        <v>44</v>
      </c>
      <c r="C1167" s="1" t="s">
        <v>25</v>
      </c>
      <c r="D1167" s="1" t="s">
        <v>70</v>
      </c>
      <c r="E1167">
        <v>5</v>
      </c>
      <c r="F1167" s="1" t="s">
        <v>12</v>
      </c>
      <c r="G1167">
        <v>4</v>
      </c>
      <c r="H1167" s="1" t="s">
        <v>18</v>
      </c>
      <c r="I1167">
        <v>14</v>
      </c>
      <c r="J1167">
        <v>3</v>
      </c>
      <c r="K1167">
        <v>10</v>
      </c>
      <c r="L1167">
        <v>7</v>
      </c>
      <c r="M1167">
        <v>0</v>
      </c>
      <c r="N1167">
        <v>2</v>
      </c>
      <c r="O1167" s="1" t="s">
        <v>19</v>
      </c>
      <c r="P1167" s="1" t="s">
        <v>137</v>
      </c>
      <c r="Q1167">
        <v>602</v>
      </c>
      <c r="R1167" s="1" t="s">
        <v>12</v>
      </c>
      <c r="S1167">
        <v>1</v>
      </c>
      <c r="T1167">
        <v>1</v>
      </c>
      <c r="U1167">
        <v>1</v>
      </c>
      <c r="V1167">
        <v>37</v>
      </c>
      <c r="W1167">
        <v>3</v>
      </c>
      <c r="X1167">
        <v>2</v>
      </c>
      <c r="Y1167" s="1" t="s">
        <v>12</v>
      </c>
      <c r="Z1167">
        <v>4</v>
      </c>
      <c r="AA1167">
        <v>5743</v>
      </c>
      <c r="AB1167">
        <v>10503</v>
      </c>
      <c r="AC1167" s="1" t="s">
        <v>18</v>
      </c>
      <c r="AD1167">
        <v>11</v>
      </c>
      <c r="AE1167">
        <v>3</v>
      </c>
      <c r="AF1167">
        <v>3</v>
      </c>
      <c r="AG1167">
        <v>80</v>
      </c>
      <c r="AH1167">
        <v>0</v>
      </c>
      <c r="AI1167">
        <v>3</v>
      </c>
      <c r="AJ1167">
        <v>0</v>
      </c>
      <c r="AK1167" s="1" t="s">
        <v>136</v>
      </c>
    </row>
    <row r="1168" spans="1:37" x14ac:dyDescent="0.25">
      <c r="A1168">
        <v>1644</v>
      </c>
      <c r="B1168">
        <v>48</v>
      </c>
      <c r="C1168" s="1" t="s">
        <v>25</v>
      </c>
      <c r="D1168" s="1" t="s">
        <v>70</v>
      </c>
      <c r="E1168">
        <v>5</v>
      </c>
      <c r="F1168" s="1" t="s">
        <v>139</v>
      </c>
      <c r="G1168">
        <v>2</v>
      </c>
      <c r="H1168" s="1" t="s">
        <v>18</v>
      </c>
      <c r="I1168">
        <v>23</v>
      </c>
      <c r="J1168">
        <v>3</v>
      </c>
      <c r="K1168">
        <v>2</v>
      </c>
      <c r="L1168">
        <v>2</v>
      </c>
      <c r="M1168">
        <v>2</v>
      </c>
      <c r="N1168">
        <v>2</v>
      </c>
      <c r="O1168" s="1" t="s">
        <v>19</v>
      </c>
      <c r="P1168" s="1" t="s">
        <v>137</v>
      </c>
      <c r="Q1168">
        <v>365</v>
      </c>
      <c r="R1168" s="1" t="s">
        <v>63</v>
      </c>
      <c r="S1168">
        <v>4</v>
      </c>
      <c r="T1168">
        <v>1</v>
      </c>
      <c r="U1168">
        <v>3</v>
      </c>
      <c r="V1168">
        <v>89</v>
      </c>
      <c r="W1168">
        <v>2</v>
      </c>
      <c r="X1168">
        <v>4</v>
      </c>
      <c r="Y1168" s="1" t="s">
        <v>9</v>
      </c>
      <c r="Z1168">
        <v>4</v>
      </c>
      <c r="AA1168">
        <v>15202</v>
      </c>
      <c r="AB1168">
        <v>5602</v>
      </c>
      <c r="AC1168" s="1" t="s">
        <v>19</v>
      </c>
      <c r="AD1168">
        <v>25</v>
      </c>
      <c r="AE1168">
        <v>4</v>
      </c>
      <c r="AF1168">
        <v>2</v>
      </c>
      <c r="AG1168">
        <v>80</v>
      </c>
      <c r="AH1168">
        <v>1</v>
      </c>
      <c r="AI1168">
        <v>3</v>
      </c>
      <c r="AJ1168">
        <v>0</v>
      </c>
      <c r="AK1168" s="1" t="s">
        <v>136</v>
      </c>
    </row>
    <row r="1169" spans="1:37" x14ac:dyDescent="0.25">
      <c r="A1169">
        <v>1645</v>
      </c>
      <c r="B1169">
        <v>35</v>
      </c>
      <c r="C1169" s="1" t="s">
        <v>25</v>
      </c>
      <c r="D1169" s="1" t="s">
        <v>69</v>
      </c>
      <c r="E1169">
        <v>2</v>
      </c>
      <c r="F1169" s="1" t="s">
        <v>139</v>
      </c>
      <c r="G1169">
        <v>6</v>
      </c>
      <c r="H1169" s="1" t="s">
        <v>18</v>
      </c>
      <c r="I1169">
        <v>7</v>
      </c>
      <c r="J1169">
        <v>2</v>
      </c>
      <c r="K1169">
        <v>2</v>
      </c>
      <c r="L1169">
        <v>2</v>
      </c>
      <c r="M1169">
        <v>2</v>
      </c>
      <c r="N1169">
        <v>2</v>
      </c>
      <c r="O1169" s="1" t="s">
        <v>18</v>
      </c>
      <c r="P1169" s="1" t="s">
        <v>135</v>
      </c>
      <c r="Q1169">
        <v>763</v>
      </c>
      <c r="R1169" s="1" t="s">
        <v>64</v>
      </c>
      <c r="S1169">
        <v>15</v>
      </c>
      <c r="T1169">
        <v>1</v>
      </c>
      <c r="U1169">
        <v>1</v>
      </c>
      <c r="V1169">
        <v>59</v>
      </c>
      <c r="W1169">
        <v>1</v>
      </c>
      <c r="X1169">
        <v>2</v>
      </c>
      <c r="Y1169" s="1" t="s">
        <v>4</v>
      </c>
      <c r="Z1169">
        <v>4</v>
      </c>
      <c r="AA1169">
        <v>5440</v>
      </c>
      <c r="AB1169">
        <v>22098</v>
      </c>
      <c r="AC1169" s="1" t="s">
        <v>18</v>
      </c>
      <c r="AD1169">
        <v>14</v>
      </c>
      <c r="AE1169">
        <v>3</v>
      </c>
      <c r="AF1169">
        <v>4</v>
      </c>
      <c r="AG1169">
        <v>80</v>
      </c>
      <c r="AH1169">
        <v>2</v>
      </c>
      <c r="AI1169">
        <v>2</v>
      </c>
      <c r="AJ1169">
        <v>1</v>
      </c>
      <c r="AK1169" s="1" t="s">
        <v>136</v>
      </c>
    </row>
    <row r="1170" spans="1:37" x14ac:dyDescent="0.25">
      <c r="A1170">
        <v>1646</v>
      </c>
      <c r="B1170">
        <v>24</v>
      </c>
      <c r="C1170" s="1" t="s">
        <v>24</v>
      </c>
      <c r="D1170" s="1" t="s">
        <v>71</v>
      </c>
      <c r="E1170">
        <v>1</v>
      </c>
      <c r="F1170" s="1" t="s">
        <v>143</v>
      </c>
      <c r="G1170">
        <v>1</v>
      </c>
      <c r="H1170" s="1" t="s">
        <v>18</v>
      </c>
      <c r="I1170">
        <v>6</v>
      </c>
      <c r="J1170">
        <v>2</v>
      </c>
      <c r="K1170">
        <v>6</v>
      </c>
      <c r="L1170">
        <v>3</v>
      </c>
      <c r="M1170">
        <v>1</v>
      </c>
      <c r="N1170">
        <v>3</v>
      </c>
      <c r="O1170" s="1" t="s">
        <v>19</v>
      </c>
      <c r="P1170" s="1" t="s">
        <v>137</v>
      </c>
      <c r="Q1170">
        <v>567</v>
      </c>
      <c r="R1170" s="1" t="s">
        <v>63</v>
      </c>
      <c r="S1170">
        <v>2</v>
      </c>
      <c r="T1170">
        <v>1</v>
      </c>
      <c r="U1170">
        <v>1</v>
      </c>
      <c r="V1170">
        <v>32</v>
      </c>
      <c r="W1170">
        <v>3</v>
      </c>
      <c r="X1170">
        <v>1</v>
      </c>
      <c r="Y1170" s="1" t="s">
        <v>5</v>
      </c>
      <c r="Z1170">
        <v>4</v>
      </c>
      <c r="AA1170">
        <v>3760</v>
      </c>
      <c r="AB1170">
        <v>17218</v>
      </c>
      <c r="AC1170" s="1" t="s">
        <v>18</v>
      </c>
      <c r="AD1170">
        <v>13</v>
      </c>
      <c r="AE1170">
        <v>3</v>
      </c>
      <c r="AF1170">
        <v>3</v>
      </c>
      <c r="AG1170">
        <v>80</v>
      </c>
      <c r="AH1170">
        <v>0</v>
      </c>
      <c r="AI1170">
        <v>3</v>
      </c>
      <c r="AJ1170">
        <v>0</v>
      </c>
      <c r="AK1170" s="1" t="s">
        <v>136</v>
      </c>
    </row>
    <row r="1171" spans="1:37" x14ac:dyDescent="0.25">
      <c r="A1171">
        <v>1647</v>
      </c>
      <c r="B1171">
        <v>27</v>
      </c>
      <c r="C1171" s="1" t="s">
        <v>24</v>
      </c>
      <c r="D1171" s="1" t="s">
        <v>70</v>
      </c>
      <c r="E1171">
        <v>3</v>
      </c>
      <c r="F1171" s="1" t="s">
        <v>139</v>
      </c>
      <c r="G1171">
        <v>7</v>
      </c>
      <c r="H1171" s="1" t="s">
        <v>18</v>
      </c>
      <c r="I1171">
        <v>5</v>
      </c>
      <c r="J1171">
        <v>0</v>
      </c>
      <c r="K1171">
        <v>3</v>
      </c>
      <c r="L1171">
        <v>2</v>
      </c>
      <c r="M1171">
        <v>0</v>
      </c>
      <c r="N1171">
        <v>2</v>
      </c>
      <c r="O1171" s="1" t="s">
        <v>19</v>
      </c>
      <c r="P1171" s="1" t="s">
        <v>135</v>
      </c>
      <c r="Q1171">
        <v>486</v>
      </c>
      <c r="R1171" s="1" t="s">
        <v>63</v>
      </c>
      <c r="S1171">
        <v>8</v>
      </c>
      <c r="T1171">
        <v>1</v>
      </c>
      <c r="U1171">
        <v>2</v>
      </c>
      <c r="V1171">
        <v>86</v>
      </c>
      <c r="W1171">
        <v>4</v>
      </c>
      <c r="X1171">
        <v>1</v>
      </c>
      <c r="Y1171" s="1" t="s">
        <v>5</v>
      </c>
      <c r="Z1171">
        <v>3</v>
      </c>
      <c r="AA1171">
        <v>3517</v>
      </c>
      <c r="AB1171">
        <v>22490</v>
      </c>
      <c r="AC1171" s="1" t="s">
        <v>19</v>
      </c>
      <c r="AD1171">
        <v>17</v>
      </c>
      <c r="AE1171">
        <v>3</v>
      </c>
      <c r="AF1171">
        <v>1</v>
      </c>
      <c r="AG1171">
        <v>80</v>
      </c>
      <c r="AH1171">
        <v>0</v>
      </c>
      <c r="AI1171">
        <v>3</v>
      </c>
      <c r="AJ1171">
        <v>0</v>
      </c>
      <c r="AK1171" s="1" t="s">
        <v>136</v>
      </c>
    </row>
    <row r="1172" spans="1:37" x14ac:dyDescent="0.25">
      <c r="A1172">
        <v>1648</v>
      </c>
      <c r="B1172">
        <v>27</v>
      </c>
      <c r="C1172" s="1" t="s">
        <v>25</v>
      </c>
      <c r="D1172" s="1" t="s">
        <v>71</v>
      </c>
      <c r="E1172">
        <v>3</v>
      </c>
      <c r="F1172" s="1" t="s">
        <v>139</v>
      </c>
      <c r="G1172">
        <v>2</v>
      </c>
      <c r="H1172" s="1" t="s">
        <v>18</v>
      </c>
      <c r="I1172">
        <v>6</v>
      </c>
      <c r="J1172">
        <v>0</v>
      </c>
      <c r="K1172">
        <v>4</v>
      </c>
      <c r="L1172">
        <v>2</v>
      </c>
      <c r="M1172">
        <v>1</v>
      </c>
      <c r="N1172">
        <v>2</v>
      </c>
      <c r="O1172" s="1" t="s">
        <v>19</v>
      </c>
      <c r="P1172" s="1" t="s">
        <v>137</v>
      </c>
      <c r="Q1172">
        <v>591</v>
      </c>
      <c r="R1172" s="1" t="s">
        <v>63</v>
      </c>
      <c r="S1172">
        <v>2</v>
      </c>
      <c r="T1172">
        <v>1</v>
      </c>
      <c r="U1172">
        <v>4</v>
      </c>
      <c r="V1172">
        <v>87</v>
      </c>
      <c r="W1172">
        <v>3</v>
      </c>
      <c r="X1172">
        <v>1</v>
      </c>
      <c r="Y1172" s="1" t="s">
        <v>5</v>
      </c>
      <c r="Z1172">
        <v>4</v>
      </c>
      <c r="AA1172">
        <v>2580</v>
      </c>
      <c r="AB1172">
        <v>6297</v>
      </c>
      <c r="AC1172" s="1" t="s">
        <v>19</v>
      </c>
      <c r="AD1172">
        <v>13</v>
      </c>
      <c r="AE1172">
        <v>3</v>
      </c>
      <c r="AF1172">
        <v>3</v>
      </c>
      <c r="AG1172">
        <v>80</v>
      </c>
      <c r="AH1172">
        <v>0</v>
      </c>
      <c r="AI1172">
        <v>2</v>
      </c>
      <c r="AJ1172">
        <v>0</v>
      </c>
      <c r="AK1172" s="1" t="s">
        <v>136</v>
      </c>
    </row>
    <row r="1173" spans="1:37" x14ac:dyDescent="0.25">
      <c r="A1173">
        <v>1649</v>
      </c>
      <c r="B1173">
        <v>40</v>
      </c>
      <c r="C1173" s="1" t="s">
        <v>25</v>
      </c>
      <c r="D1173" s="1" t="s">
        <v>71</v>
      </c>
      <c r="E1173">
        <v>3</v>
      </c>
      <c r="F1173" s="1" t="s">
        <v>134</v>
      </c>
      <c r="G1173">
        <v>3</v>
      </c>
      <c r="H1173" s="1" t="s">
        <v>18</v>
      </c>
      <c r="I1173">
        <v>10</v>
      </c>
      <c r="J1173">
        <v>3</v>
      </c>
      <c r="K1173">
        <v>4</v>
      </c>
      <c r="L1173">
        <v>2</v>
      </c>
      <c r="M1173">
        <v>0</v>
      </c>
      <c r="N1173">
        <v>3</v>
      </c>
      <c r="O1173" s="1" t="s">
        <v>18</v>
      </c>
      <c r="P1173" s="1" t="s">
        <v>135</v>
      </c>
      <c r="Q1173">
        <v>1329</v>
      </c>
      <c r="R1173" s="1" t="s">
        <v>63</v>
      </c>
      <c r="S1173">
        <v>7</v>
      </c>
      <c r="T1173">
        <v>1</v>
      </c>
      <c r="U1173">
        <v>1</v>
      </c>
      <c r="V1173">
        <v>73</v>
      </c>
      <c r="W1173">
        <v>3</v>
      </c>
      <c r="X1173">
        <v>1</v>
      </c>
      <c r="Y1173" s="1" t="s">
        <v>6</v>
      </c>
      <c r="Z1173">
        <v>1</v>
      </c>
      <c r="AA1173">
        <v>2166</v>
      </c>
      <c r="AB1173">
        <v>3339</v>
      </c>
      <c r="AC1173" s="1" t="s">
        <v>18</v>
      </c>
      <c r="AD1173">
        <v>14</v>
      </c>
      <c r="AE1173">
        <v>3</v>
      </c>
      <c r="AF1173">
        <v>2</v>
      </c>
      <c r="AG1173">
        <v>80</v>
      </c>
      <c r="AH1173">
        <v>0</v>
      </c>
      <c r="AI1173">
        <v>1</v>
      </c>
      <c r="AJ1173">
        <v>1</v>
      </c>
      <c r="AK1173" s="1" t="s">
        <v>136</v>
      </c>
    </row>
    <row r="1174" spans="1:37" x14ac:dyDescent="0.25">
      <c r="A1174">
        <v>1650</v>
      </c>
      <c r="B1174">
        <v>29</v>
      </c>
      <c r="C1174" s="1" t="s">
        <v>25</v>
      </c>
      <c r="D1174" s="1" t="s">
        <v>71</v>
      </c>
      <c r="E1174">
        <v>3</v>
      </c>
      <c r="F1174" s="1" t="s">
        <v>139</v>
      </c>
      <c r="G1174">
        <v>9</v>
      </c>
      <c r="H1174" s="1" t="s">
        <v>18</v>
      </c>
      <c r="I1174">
        <v>8</v>
      </c>
      <c r="J1174">
        <v>2</v>
      </c>
      <c r="K1174">
        <v>5</v>
      </c>
      <c r="L1174">
        <v>2</v>
      </c>
      <c r="M1174">
        <v>1</v>
      </c>
      <c r="N1174">
        <v>4</v>
      </c>
      <c r="O1174" s="1" t="s">
        <v>19</v>
      </c>
      <c r="P1174" s="1" t="s">
        <v>135</v>
      </c>
      <c r="Q1174">
        <v>469</v>
      </c>
      <c r="R1174" s="1" t="s">
        <v>64</v>
      </c>
      <c r="S1174">
        <v>10</v>
      </c>
      <c r="T1174">
        <v>1</v>
      </c>
      <c r="U1174">
        <v>3</v>
      </c>
      <c r="V1174">
        <v>42</v>
      </c>
      <c r="W1174">
        <v>2</v>
      </c>
      <c r="X1174">
        <v>2</v>
      </c>
      <c r="Y1174" s="1" t="s">
        <v>4</v>
      </c>
      <c r="Z1174">
        <v>3</v>
      </c>
      <c r="AA1174">
        <v>5869</v>
      </c>
      <c r="AB1174">
        <v>23413</v>
      </c>
      <c r="AC1174" s="1" t="s">
        <v>19</v>
      </c>
      <c r="AD1174">
        <v>11</v>
      </c>
      <c r="AE1174">
        <v>3</v>
      </c>
      <c r="AF1174">
        <v>3</v>
      </c>
      <c r="AG1174">
        <v>80</v>
      </c>
      <c r="AH1174">
        <v>0</v>
      </c>
      <c r="AI1174">
        <v>3</v>
      </c>
      <c r="AJ1174">
        <v>0</v>
      </c>
      <c r="AK1174" s="1" t="s">
        <v>136</v>
      </c>
    </row>
    <row r="1175" spans="1:37" x14ac:dyDescent="0.25">
      <c r="A1175">
        <v>1651</v>
      </c>
      <c r="B1175">
        <v>36</v>
      </c>
      <c r="C1175" s="1" t="s">
        <v>24</v>
      </c>
      <c r="D1175" s="1" t="s">
        <v>70</v>
      </c>
      <c r="E1175">
        <v>4</v>
      </c>
      <c r="F1175" s="1" t="s">
        <v>134</v>
      </c>
      <c r="G1175">
        <v>4</v>
      </c>
      <c r="H1175" s="1" t="s">
        <v>18</v>
      </c>
      <c r="I1175">
        <v>9</v>
      </c>
      <c r="J1175">
        <v>6</v>
      </c>
      <c r="K1175">
        <v>3</v>
      </c>
      <c r="L1175">
        <v>2</v>
      </c>
      <c r="M1175">
        <v>0</v>
      </c>
      <c r="N1175">
        <v>2</v>
      </c>
      <c r="O1175" s="1" t="s">
        <v>19</v>
      </c>
      <c r="P1175" s="1" t="s">
        <v>135</v>
      </c>
      <c r="Q1175">
        <v>711</v>
      </c>
      <c r="R1175" s="1" t="s">
        <v>63</v>
      </c>
      <c r="S1175">
        <v>5</v>
      </c>
      <c r="T1175">
        <v>1</v>
      </c>
      <c r="U1175">
        <v>2</v>
      </c>
      <c r="V1175">
        <v>42</v>
      </c>
      <c r="W1175">
        <v>3</v>
      </c>
      <c r="X1175">
        <v>3</v>
      </c>
      <c r="Y1175" s="1" t="s">
        <v>8</v>
      </c>
      <c r="Z1175">
        <v>1</v>
      </c>
      <c r="AA1175">
        <v>8008</v>
      </c>
      <c r="AB1175">
        <v>22792</v>
      </c>
      <c r="AC1175" s="1" t="s">
        <v>19</v>
      </c>
      <c r="AD1175">
        <v>12</v>
      </c>
      <c r="AE1175">
        <v>3</v>
      </c>
      <c r="AF1175">
        <v>3</v>
      </c>
      <c r="AG1175">
        <v>80</v>
      </c>
      <c r="AH1175">
        <v>2</v>
      </c>
      <c r="AI1175">
        <v>3</v>
      </c>
      <c r="AJ1175">
        <v>0</v>
      </c>
      <c r="AK1175" s="1" t="s">
        <v>136</v>
      </c>
    </row>
    <row r="1176" spans="1:37" x14ac:dyDescent="0.25">
      <c r="A1176">
        <v>1653</v>
      </c>
      <c r="B1176">
        <v>25</v>
      </c>
      <c r="C1176" s="1" t="s">
        <v>25</v>
      </c>
      <c r="D1176" s="1" t="s">
        <v>69</v>
      </c>
      <c r="E1176">
        <v>1</v>
      </c>
      <c r="F1176" s="1" t="s">
        <v>134</v>
      </c>
      <c r="G1176">
        <v>1</v>
      </c>
      <c r="H1176" s="1" t="s">
        <v>18</v>
      </c>
      <c r="I1176">
        <v>7</v>
      </c>
      <c r="J1176">
        <v>6</v>
      </c>
      <c r="K1176">
        <v>7</v>
      </c>
      <c r="L1176">
        <v>7</v>
      </c>
      <c r="M1176">
        <v>0</v>
      </c>
      <c r="N1176">
        <v>7</v>
      </c>
      <c r="O1176" s="1" t="s">
        <v>19</v>
      </c>
      <c r="P1176" s="1" t="s">
        <v>137</v>
      </c>
      <c r="Q1176">
        <v>772</v>
      </c>
      <c r="R1176" s="1" t="s">
        <v>63</v>
      </c>
      <c r="S1176">
        <v>2</v>
      </c>
      <c r="T1176">
        <v>1</v>
      </c>
      <c r="U1176">
        <v>4</v>
      </c>
      <c r="V1176">
        <v>77</v>
      </c>
      <c r="W1176">
        <v>4</v>
      </c>
      <c r="X1176">
        <v>2</v>
      </c>
      <c r="Y1176" s="1" t="s">
        <v>7</v>
      </c>
      <c r="Z1176">
        <v>3</v>
      </c>
      <c r="AA1176">
        <v>5206</v>
      </c>
      <c r="AB1176">
        <v>4973</v>
      </c>
      <c r="AC1176" s="1" t="s">
        <v>19</v>
      </c>
      <c r="AD1176">
        <v>17</v>
      </c>
      <c r="AE1176">
        <v>3</v>
      </c>
      <c r="AF1176">
        <v>3</v>
      </c>
      <c r="AG1176">
        <v>80</v>
      </c>
      <c r="AH1176">
        <v>2</v>
      </c>
      <c r="AI1176">
        <v>3</v>
      </c>
      <c r="AJ1176">
        <v>0</v>
      </c>
      <c r="AK1176" s="1" t="s">
        <v>136</v>
      </c>
    </row>
    <row r="1177" spans="1:37" x14ac:dyDescent="0.25">
      <c r="A1177">
        <v>1654</v>
      </c>
      <c r="B1177">
        <v>39</v>
      </c>
      <c r="C1177" s="1" t="s">
        <v>25</v>
      </c>
      <c r="D1177" s="1" t="s">
        <v>70</v>
      </c>
      <c r="E1177">
        <v>3</v>
      </c>
      <c r="F1177" s="1" t="s">
        <v>139</v>
      </c>
      <c r="G1177">
        <v>4</v>
      </c>
      <c r="H1177" s="1" t="s">
        <v>18</v>
      </c>
      <c r="I1177">
        <v>7</v>
      </c>
      <c r="J1177">
        <v>3</v>
      </c>
      <c r="K1177">
        <v>5</v>
      </c>
      <c r="L1177">
        <v>4</v>
      </c>
      <c r="M1177">
        <v>1</v>
      </c>
      <c r="N1177">
        <v>0</v>
      </c>
      <c r="O1177" s="1" t="s">
        <v>19</v>
      </c>
      <c r="P1177" s="1" t="s">
        <v>135</v>
      </c>
      <c r="Q1177">
        <v>492</v>
      </c>
      <c r="R1177" s="1" t="s">
        <v>63</v>
      </c>
      <c r="S1177">
        <v>12</v>
      </c>
      <c r="T1177">
        <v>1</v>
      </c>
      <c r="U1177">
        <v>4</v>
      </c>
      <c r="V1177">
        <v>66</v>
      </c>
      <c r="W1177">
        <v>3</v>
      </c>
      <c r="X1177">
        <v>2</v>
      </c>
      <c r="Y1177" s="1" t="s">
        <v>7</v>
      </c>
      <c r="Z1177">
        <v>2</v>
      </c>
      <c r="AA1177">
        <v>5295</v>
      </c>
      <c r="AB1177">
        <v>7693</v>
      </c>
      <c r="AC1177" s="1" t="s">
        <v>19</v>
      </c>
      <c r="AD1177">
        <v>21</v>
      </c>
      <c r="AE1177">
        <v>4</v>
      </c>
      <c r="AF1177">
        <v>3</v>
      </c>
      <c r="AG1177">
        <v>80</v>
      </c>
      <c r="AH1177">
        <v>0</v>
      </c>
      <c r="AI1177">
        <v>3</v>
      </c>
      <c r="AJ1177">
        <v>0</v>
      </c>
      <c r="AK1177" s="1" t="s">
        <v>136</v>
      </c>
    </row>
    <row r="1178" spans="1:37" x14ac:dyDescent="0.25">
      <c r="A1178">
        <v>1655</v>
      </c>
      <c r="B1178">
        <v>49</v>
      </c>
      <c r="C1178" s="1" t="s">
        <v>24</v>
      </c>
      <c r="D1178" s="1" t="s">
        <v>70</v>
      </c>
      <c r="E1178">
        <v>4</v>
      </c>
      <c r="F1178" s="1" t="s">
        <v>138</v>
      </c>
      <c r="G1178">
        <v>3</v>
      </c>
      <c r="H1178" s="1" t="s">
        <v>18</v>
      </c>
      <c r="I1178">
        <v>27</v>
      </c>
      <c r="J1178">
        <v>2</v>
      </c>
      <c r="K1178">
        <v>4</v>
      </c>
      <c r="L1178">
        <v>2</v>
      </c>
      <c r="M1178">
        <v>1</v>
      </c>
      <c r="N1178">
        <v>2</v>
      </c>
      <c r="O1178" s="1" t="s">
        <v>19</v>
      </c>
      <c r="P1178" s="1" t="s">
        <v>135</v>
      </c>
      <c r="Q1178">
        <v>301</v>
      </c>
      <c r="R1178" s="1" t="s">
        <v>63</v>
      </c>
      <c r="S1178">
        <v>22</v>
      </c>
      <c r="T1178">
        <v>1</v>
      </c>
      <c r="U1178">
        <v>1</v>
      </c>
      <c r="V1178">
        <v>72</v>
      </c>
      <c r="W1178">
        <v>3</v>
      </c>
      <c r="X1178">
        <v>4</v>
      </c>
      <c r="Y1178" s="1" t="s">
        <v>11</v>
      </c>
      <c r="Z1178">
        <v>2</v>
      </c>
      <c r="AA1178">
        <v>16413</v>
      </c>
      <c r="AB1178">
        <v>3498</v>
      </c>
      <c r="AC1178" s="1" t="s">
        <v>19</v>
      </c>
      <c r="AD1178">
        <v>16</v>
      </c>
      <c r="AE1178">
        <v>3</v>
      </c>
      <c r="AF1178">
        <v>2</v>
      </c>
      <c r="AG1178">
        <v>80</v>
      </c>
      <c r="AH1178">
        <v>2</v>
      </c>
      <c r="AI1178">
        <v>3</v>
      </c>
      <c r="AJ1178">
        <v>0</v>
      </c>
      <c r="AK1178" s="1" t="s">
        <v>136</v>
      </c>
    </row>
    <row r="1179" spans="1:37" x14ac:dyDescent="0.25">
      <c r="A1179">
        <v>1656</v>
      </c>
      <c r="B1179">
        <v>50</v>
      </c>
      <c r="C1179" s="1" t="s">
        <v>24</v>
      </c>
      <c r="D1179" s="1" t="s">
        <v>69</v>
      </c>
      <c r="E1179">
        <v>5</v>
      </c>
      <c r="F1179" s="1" t="s">
        <v>134</v>
      </c>
      <c r="G1179">
        <v>5</v>
      </c>
      <c r="H1179" s="1" t="s">
        <v>18</v>
      </c>
      <c r="I1179">
        <v>19</v>
      </c>
      <c r="J1179">
        <v>3</v>
      </c>
      <c r="K1179">
        <v>14</v>
      </c>
      <c r="L1179">
        <v>11</v>
      </c>
      <c r="M1179">
        <v>1</v>
      </c>
      <c r="N1179">
        <v>11</v>
      </c>
      <c r="O1179" s="1" t="s">
        <v>19</v>
      </c>
      <c r="P1179" s="1" t="s">
        <v>135</v>
      </c>
      <c r="Q1179">
        <v>813</v>
      </c>
      <c r="R1179" s="1" t="s">
        <v>63</v>
      </c>
      <c r="S1179">
        <v>17</v>
      </c>
      <c r="T1179">
        <v>1</v>
      </c>
      <c r="U1179">
        <v>4</v>
      </c>
      <c r="V1179">
        <v>50</v>
      </c>
      <c r="W1179">
        <v>2</v>
      </c>
      <c r="X1179">
        <v>3</v>
      </c>
      <c r="Y1179" s="1" t="s">
        <v>11</v>
      </c>
      <c r="Z1179">
        <v>1</v>
      </c>
      <c r="AA1179">
        <v>13269</v>
      </c>
      <c r="AB1179">
        <v>21981</v>
      </c>
      <c r="AC1179" s="1" t="s">
        <v>19</v>
      </c>
      <c r="AD1179">
        <v>15</v>
      </c>
      <c r="AE1179">
        <v>3</v>
      </c>
      <c r="AF1179">
        <v>3</v>
      </c>
      <c r="AG1179">
        <v>80</v>
      </c>
      <c r="AH1179">
        <v>3</v>
      </c>
      <c r="AI1179">
        <v>3</v>
      </c>
      <c r="AJ1179">
        <v>0</v>
      </c>
      <c r="AK1179" s="1" t="s">
        <v>140</v>
      </c>
    </row>
    <row r="1180" spans="1:37" x14ac:dyDescent="0.25">
      <c r="A1180">
        <v>1657</v>
      </c>
      <c r="B1180">
        <v>20</v>
      </c>
      <c r="C1180" s="1" t="s">
        <v>24</v>
      </c>
      <c r="D1180" s="1" t="s">
        <v>71</v>
      </c>
      <c r="E1180">
        <v>3</v>
      </c>
      <c r="F1180" s="1" t="s">
        <v>139</v>
      </c>
      <c r="G1180">
        <v>1</v>
      </c>
      <c r="H1180" s="1" t="s">
        <v>18</v>
      </c>
      <c r="I1180">
        <v>2</v>
      </c>
      <c r="J1180">
        <v>3</v>
      </c>
      <c r="K1180">
        <v>2</v>
      </c>
      <c r="L1180">
        <v>2</v>
      </c>
      <c r="M1180">
        <v>2</v>
      </c>
      <c r="N1180">
        <v>2</v>
      </c>
      <c r="O1180" s="1" t="s">
        <v>19</v>
      </c>
      <c r="P1180" s="1" t="s">
        <v>135</v>
      </c>
      <c r="Q1180">
        <v>1141</v>
      </c>
      <c r="R1180" s="1" t="s">
        <v>64</v>
      </c>
      <c r="S1180">
        <v>2</v>
      </c>
      <c r="T1180">
        <v>1</v>
      </c>
      <c r="U1180">
        <v>3</v>
      </c>
      <c r="V1180">
        <v>31</v>
      </c>
      <c r="W1180">
        <v>3</v>
      </c>
      <c r="X1180">
        <v>1</v>
      </c>
      <c r="Y1180" s="1" t="s">
        <v>10</v>
      </c>
      <c r="Z1180">
        <v>3</v>
      </c>
      <c r="AA1180">
        <v>2783</v>
      </c>
      <c r="AB1180">
        <v>13251</v>
      </c>
      <c r="AC1180" s="1" t="s">
        <v>19</v>
      </c>
      <c r="AD1180">
        <v>19</v>
      </c>
      <c r="AE1180">
        <v>3</v>
      </c>
      <c r="AF1180">
        <v>1</v>
      </c>
      <c r="AG1180">
        <v>80</v>
      </c>
      <c r="AH1180">
        <v>0</v>
      </c>
      <c r="AI1180">
        <v>3</v>
      </c>
      <c r="AJ1180">
        <v>0</v>
      </c>
      <c r="AK1180" s="1" t="s">
        <v>136</v>
      </c>
    </row>
    <row r="1181" spans="1:37" x14ac:dyDescent="0.25">
      <c r="A1181">
        <v>1658</v>
      </c>
      <c r="B1181">
        <v>34</v>
      </c>
      <c r="C1181" s="1" t="s">
        <v>24</v>
      </c>
      <c r="D1181" s="1" t="s">
        <v>69</v>
      </c>
      <c r="E1181">
        <v>3</v>
      </c>
      <c r="F1181" s="1" t="s">
        <v>134</v>
      </c>
      <c r="G1181">
        <v>1</v>
      </c>
      <c r="H1181" s="1" t="s">
        <v>18</v>
      </c>
      <c r="I1181">
        <v>11</v>
      </c>
      <c r="J1181">
        <v>2</v>
      </c>
      <c r="K1181">
        <v>11</v>
      </c>
      <c r="L1181">
        <v>8</v>
      </c>
      <c r="M1181">
        <v>7</v>
      </c>
      <c r="N1181">
        <v>9</v>
      </c>
      <c r="O1181" s="1" t="s">
        <v>19</v>
      </c>
      <c r="P1181" s="1" t="s">
        <v>135</v>
      </c>
      <c r="Q1181">
        <v>1130</v>
      </c>
      <c r="R1181" s="1" t="s">
        <v>63</v>
      </c>
      <c r="S1181">
        <v>3</v>
      </c>
      <c r="T1181">
        <v>1</v>
      </c>
      <c r="U1181">
        <v>4</v>
      </c>
      <c r="V1181">
        <v>66</v>
      </c>
      <c r="W1181">
        <v>3</v>
      </c>
      <c r="X1181">
        <v>2</v>
      </c>
      <c r="Y1181" s="1" t="s">
        <v>5</v>
      </c>
      <c r="Z1181">
        <v>2</v>
      </c>
      <c r="AA1181">
        <v>5433</v>
      </c>
      <c r="AB1181">
        <v>19332</v>
      </c>
      <c r="AC1181" s="1" t="s">
        <v>19</v>
      </c>
      <c r="AD1181">
        <v>12</v>
      </c>
      <c r="AE1181">
        <v>3</v>
      </c>
      <c r="AF1181">
        <v>3</v>
      </c>
      <c r="AG1181">
        <v>80</v>
      </c>
      <c r="AH1181">
        <v>1</v>
      </c>
      <c r="AI1181">
        <v>3</v>
      </c>
      <c r="AJ1181">
        <v>0</v>
      </c>
      <c r="AK1181" s="1" t="s">
        <v>136</v>
      </c>
    </row>
    <row r="1182" spans="1:37" x14ac:dyDescent="0.25">
      <c r="A1182">
        <v>1659</v>
      </c>
      <c r="B1182">
        <v>36</v>
      </c>
      <c r="C1182" s="1" t="s">
        <v>25</v>
      </c>
      <c r="D1182" s="1" t="s">
        <v>71</v>
      </c>
      <c r="E1182">
        <v>3</v>
      </c>
      <c r="F1182" s="1" t="s">
        <v>134</v>
      </c>
      <c r="G1182">
        <v>2</v>
      </c>
      <c r="H1182" s="1" t="s">
        <v>18</v>
      </c>
      <c r="I1182">
        <v>15</v>
      </c>
      <c r="J1182">
        <v>4</v>
      </c>
      <c r="K1182">
        <v>4</v>
      </c>
      <c r="L1182">
        <v>3</v>
      </c>
      <c r="M1182">
        <v>1</v>
      </c>
      <c r="N1182">
        <v>3</v>
      </c>
      <c r="O1182" s="1" t="s">
        <v>19</v>
      </c>
      <c r="P1182" s="1" t="s">
        <v>135</v>
      </c>
      <c r="Q1182">
        <v>311</v>
      </c>
      <c r="R1182" s="1" t="s">
        <v>63</v>
      </c>
      <c r="S1182">
        <v>7</v>
      </c>
      <c r="T1182">
        <v>1</v>
      </c>
      <c r="U1182">
        <v>1</v>
      </c>
      <c r="V1182">
        <v>77</v>
      </c>
      <c r="W1182">
        <v>3</v>
      </c>
      <c r="X1182">
        <v>1</v>
      </c>
      <c r="Y1182" s="1" t="s">
        <v>6</v>
      </c>
      <c r="Z1182">
        <v>2</v>
      </c>
      <c r="AA1182">
        <v>2013</v>
      </c>
      <c r="AB1182">
        <v>10950</v>
      </c>
      <c r="AC1182" s="1" t="s">
        <v>19</v>
      </c>
      <c r="AD1182">
        <v>11</v>
      </c>
      <c r="AE1182">
        <v>3</v>
      </c>
      <c r="AF1182">
        <v>3</v>
      </c>
      <c r="AG1182">
        <v>80</v>
      </c>
      <c r="AH1182">
        <v>0</v>
      </c>
      <c r="AI1182">
        <v>3</v>
      </c>
      <c r="AJ1182">
        <v>0</v>
      </c>
      <c r="AK1182" s="1" t="s">
        <v>136</v>
      </c>
    </row>
    <row r="1183" spans="1:37" x14ac:dyDescent="0.25">
      <c r="A1183">
        <v>1661</v>
      </c>
      <c r="B1183">
        <v>49</v>
      </c>
      <c r="C1183" s="1" t="s">
        <v>24</v>
      </c>
      <c r="D1183" s="1" t="s">
        <v>70</v>
      </c>
      <c r="E1183">
        <v>1</v>
      </c>
      <c r="F1183" s="1" t="s">
        <v>134</v>
      </c>
      <c r="G1183">
        <v>2</v>
      </c>
      <c r="H1183" s="1" t="s">
        <v>18</v>
      </c>
      <c r="I1183">
        <v>30</v>
      </c>
      <c r="J1183">
        <v>3</v>
      </c>
      <c r="K1183">
        <v>15</v>
      </c>
      <c r="L1183">
        <v>11</v>
      </c>
      <c r="M1183">
        <v>2</v>
      </c>
      <c r="N1183">
        <v>12</v>
      </c>
      <c r="O1183" s="1" t="s">
        <v>19</v>
      </c>
      <c r="P1183" s="1" t="s">
        <v>135</v>
      </c>
      <c r="Q1183">
        <v>465</v>
      </c>
      <c r="R1183" s="1" t="s">
        <v>63</v>
      </c>
      <c r="S1183">
        <v>6</v>
      </c>
      <c r="T1183">
        <v>1</v>
      </c>
      <c r="U1183">
        <v>3</v>
      </c>
      <c r="V1183">
        <v>41</v>
      </c>
      <c r="W1183">
        <v>2</v>
      </c>
      <c r="X1183">
        <v>4</v>
      </c>
      <c r="Y1183" s="1" t="s">
        <v>8</v>
      </c>
      <c r="Z1183">
        <v>3</v>
      </c>
      <c r="AA1183">
        <v>13966</v>
      </c>
      <c r="AB1183">
        <v>11652</v>
      </c>
      <c r="AC1183" s="1" t="s">
        <v>18</v>
      </c>
      <c r="AD1183">
        <v>19</v>
      </c>
      <c r="AE1183">
        <v>3</v>
      </c>
      <c r="AF1183">
        <v>2</v>
      </c>
      <c r="AG1183">
        <v>80</v>
      </c>
      <c r="AH1183">
        <v>1</v>
      </c>
      <c r="AI1183">
        <v>3</v>
      </c>
      <c r="AJ1183">
        <v>0</v>
      </c>
      <c r="AK1183" s="1" t="s">
        <v>136</v>
      </c>
    </row>
    <row r="1184" spans="1:37" x14ac:dyDescent="0.25">
      <c r="A1184">
        <v>1662</v>
      </c>
      <c r="B1184">
        <v>36</v>
      </c>
      <c r="C1184" s="1" t="s">
        <v>24</v>
      </c>
      <c r="D1184" s="1" t="s">
        <v>70</v>
      </c>
      <c r="E1184">
        <v>4</v>
      </c>
      <c r="F1184" s="1" t="s">
        <v>139</v>
      </c>
      <c r="G1184">
        <v>0</v>
      </c>
      <c r="H1184" s="1" t="s">
        <v>18</v>
      </c>
      <c r="I1184">
        <v>4</v>
      </c>
      <c r="J1184">
        <v>6</v>
      </c>
      <c r="K1184">
        <v>3</v>
      </c>
      <c r="L1184">
        <v>2</v>
      </c>
      <c r="M1184">
        <v>1</v>
      </c>
      <c r="N1184">
        <v>2</v>
      </c>
      <c r="O1184" s="1" t="s">
        <v>19</v>
      </c>
      <c r="P1184" s="1" t="s">
        <v>141</v>
      </c>
      <c r="Q1184">
        <v>894</v>
      </c>
      <c r="R1184" s="1" t="s">
        <v>63</v>
      </c>
      <c r="S1184">
        <v>1</v>
      </c>
      <c r="T1184">
        <v>1</v>
      </c>
      <c r="U1184">
        <v>4</v>
      </c>
      <c r="V1184">
        <v>33</v>
      </c>
      <c r="W1184">
        <v>2</v>
      </c>
      <c r="X1184">
        <v>2</v>
      </c>
      <c r="Y1184" s="1" t="s">
        <v>7</v>
      </c>
      <c r="Z1184">
        <v>3</v>
      </c>
      <c r="AA1184">
        <v>4374</v>
      </c>
      <c r="AB1184">
        <v>15411</v>
      </c>
      <c r="AC1184" s="1" t="s">
        <v>19</v>
      </c>
      <c r="AD1184">
        <v>15</v>
      </c>
      <c r="AE1184">
        <v>3</v>
      </c>
      <c r="AF1184">
        <v>3</v>
      </c>
      <c r="AG1184">
        <v>80</v>
      </c>
      <c r="AH1184">
        <v>0</v>
      </c>
      <c r="AI1184">
        <v>3</v>
      </c>
      <c r="AJ1184">
        <v>0</v>
      </c>
      <c r="AK1184" s="1" t="s">
        <v>136</v>
      </c>
    </row>
    <row r="1185" spans="1:37" x14ac:dyDescent="0.25">
      <c r="A1185">
        <v>1664</v>
      </c>
      <c r="B1185">
        <v>36</v>
      </c>
      <c r="C1185" s="1" t="s">
        <v>25</v>
      </c>
      <c r="D1185" s="1" t="s">
        <v>69</v>
      </c>
      <c r="E1185">
        <v>2</v>
      </c>
      <c r="F1185" s="1" t="s">
        <v>134</v>
      </c>
      <c r="G1185">
        <v>6</v>
      </c>
      <c r="H1185" s="1" t="s">
        <v>18</v>
      </c>
      <c r="I1185">
        <v>13</v>
      </c>
      <c r="J1185">
        <v>3</v>
      </c>
      <c r="K1185">
        <v>5</v>
      </c>
      <c r="L1185">
        <v>4</v>
      </c>
      <c r="M1185">
        <v>0</v>
      </c>
      <c r="N1185">
        <v>4</v>
      </c>
      <c r="O1185" s="1" t="s">
        <v>19</v>
      </c>
      <c r="P1185" s="1" t="s">
        <v>135</v>
      </c>
      <c r="Q1185">
        <v>1040</v>
      </c>
      <c r="R1185" s="1" t="s">
        <v>63</v>
      </c>
      <c r="S1185">
        <v>3</v>
      </c>
      <c r="T1185">
        <v>1</v>
      </c>
      <c r="U1185">
        <v>4</v>
      </c>
      <c r="V1185">
        <v>79</v>
      </c>
      <c r="W1185">
        <v>4</v>
      </c>
      <c r="X1185">
        <v>2</v>
      </c>
      <c r="Y1185" s="1" t="s">
        <v>8</v>
      </c>
      <c r="Z1185">
        <v>1</v>
      </c>
      <c r="AA1185">
        <v>6842</v>
      </c>
      <c r="AB1185">
        <v>26308</v>
      </c>
      <c r="AC1185" s="1" t="s">
        <v>19</v>
      </c>
      <c r="AD1185">
        <v>20</v>
      </c>
      <c r="AE1185">
        <v>4</v>
      </c>
      <c r="AF1185">
        <v>1</v>
      </c>
      <c r="AG1185">
        <v>80</v>
      </c>
      <c r="AH1185">
        <v>1</v>
      </c>
      <c r="AI1185">
        <v>3</v>
      </c>
      <c r="AJ1185">
        <v>0</v>
      </c>
      <c r="AK1185" s="1" t="s">
        <v>136</v>
      </c>
    </row>
    <row r="1186" spans="1:37" x14ac:dyDescent="0.25">
      <c r="A1186">
        <v>1665</v>
      </c>
      <c r="B1186">
        <v>54</v>
      </c>
      <c r="C1186" s="1" t="s">
        <v>24</v>
      </c>
      <c r="D1186" s="1" t="s">
        <v>70</v>
      </c>
      <c r="E1186">
        <v>5</v>
      </c>
      <c r="F1186" s="1" t="s">
        <v>139</v>
      </c>
      <c r="G1186">
        <v>3</v>
      </c>
      <c r="H1186" s="1" t="s">
        <v>18</v>
      </c>
      <c r="I1186">
        <v>36</v>
      </c>
      <c r="J1186">
        <v>6</v>
      </c>
      <c r="K1186">
        <v>10</v>
      </c>
      <c r="L1186">
        <v>8</v>
      </c>
      <c r="M1186">
        <v>4</v>
      </c>
      <c r="N1186">
        <v>7</v>
      </c>
      <c r="O1186" s="1" t="s">
        <v>19</v>
      </c>
      <c r="P1186" s="1" t="s">
        <v>135</v>
      </c>
      <c r="Q1186">
        <v>584</v>
      </c>
      <c r="R1186" s="1" t="s">
        <v>63</v>
      </c>
      <c r="S1186">
        <v>22</v>
      </c>
      <c r="T1186">
        <v>1</v>
      </c>
      <c r="U1186">
        <v>2</v>
      </c>
      <c r="V1186">
        <v>91</v>
      </c>
      <c r="W1186">
        <v>3</v>
      </c>
      <c r="X1186">
        <v>4</v>
      </c>
      <c r="Y1186" s="1" t="s">
        <v>9</v>
      </c>
      <c r="Z1186">
        <v>3</v>
      </c>
      <c r="AA1186">
        <v>17426</v>
      </c>
      <c r="AB1186">
        <v>18685</v>
      </c>
      <c r="AC1186" s="1" t="s">
        <v>19</v>
      </c>
      <c r="AD1186">
        <v>25</v>
      </c>
      <c r="AE1186">
        <v>4</v>
      </c>
      <c r="AF1186">
        <v>3</v>
      </c>
      <c r="AG1186">
        <v>80</v>
      </c>
      <c r="AH1186">
        <v>1</v>
      </c>
      <c r="AI1186">
        <v>3</v>
      </c>
      <c r="AJ1186">
        <v>0</v>
      </c>
      <c r="AK1186" s="1" t="s">
        <v>140</v>
      </c>
    </row>
    <row r="1187" spans="1:37" x14ac:dyDescent="0.25">
      <c r="A1187">
        <v>1666</v>
      </c>
      <c r="B1187">
        <v>43</v>
      </c>
      <c r="C1187" s="1" t="s">
        <v>25</v>
      </c>
      <c r="D1187" s="1" t="s">
        <v>70</v>
      </c>
      <c r="E1187">
        <v>2</v>
      </c>
      <c r="F1187" s="1" t="s">
        <v>134</v>
      </c>
      <c r="G1187">
        <v>1</v>
      </c>
      <c r="H1187" s="1" t="s">
        <v>18</v>
      </c>
      <c r="I1187">
        <v>14</v>
      </c>
      <c r="J1187">
        <v>3</v>
      </c>
      <c r="K1187">
        <v>14</v>
      </c>
      <c r="L1187">
        <v>10</v>
      </c>
      <c r="M1187">
        <v>6</v>
      </c>
      <c r="N1187">
        <v>11</v>
      </c>
      <c r="O1187" s="1" t="s">
        <v>19</v>
      </c>
      <c r="P1187" s="1" t="s">
        <v>135</v>
      </c>
      <c r="Q1187">
        <v>1291</v>
      </c>
      <c r="R1187" s="1" t="s">
        <v>63</v>
      </c>
      <c r="S1187">
        <v>15</v>
      </c>
      <c r="T1187">
        <v>1</v>
      </c>
      <c r="U1187">
        <v>3</v>
      </c>
      <c r="V1187">
        <v>65</v>
      </c>
      <c r="W1187">
        <v>2</v>
      </c>
      <c r="X1187">
        <v>4</v>
      </c>
      <c r="Y1187" s="1" t="s">
        <v>11</v>
      </c>
      <c r="Z1187">
        <v>3</v>
      </c>
      <c r="AA1187">
        <v>17603</v>
      </c>
      <c r="AB1187">
        <v>3525</v>
      </c>
      <c r="AC1187" s="1" t="s">
        <v>19</v>
      </c>
      <c r="AD1187">
        <v>24</v>
      </c>
      <c r="AE1187">
        <v>4</v>
      </c>
      <c r="AF1187">
        <v>1</v>
      </c>
      <c r="AG1187">
        <v>80</v>
      </c>
      <c r="AH1187">
        <v>1</v>
      </c>
      <c r="AI1187">
        <v>3</v>
      </c>
      <c r="AJ1187">
        <v>0</v>
      </c>
      <c r="AK1187" s="1" t="s">
        <v>136</v>
      </c>
    </row>
    <row r="1188" spans="1:37" x14ac:dyDescent="0.25">
      <c r="A1188">
        <v>1667</v>
      </c>
      <c r="B1188">
        <v>35</v>
      </c>
      <c r="C1188" s="1" t="s">
        <v>25</v>
      </c>
      <c r="D1188" s="1" t="s">
        <v>71</v>
      </c>
      <c r="E1188">
        <v>4</v>
      </c>
      <c r="F1188" s="1" t="s">
        <v>138</v>
      </c>
      <c r="G1188">
        <v>3</v>
      </c>
      <c r="H1188" s="1" t="s">
        <v>18</v>
      </c>
      <c r="I1188">
        <v>13</v>
      </c>
      <c r="J1188">
        <v>2</v>
      </c>
      <c r="K1188">
        <v>11</v>
      </c>
      <c r="L1188">
        <v>9</v>
      </c>
      <c r="M1188">
        <v>6</v>
      </c>
      <c r="N1188">
        <v>7</v>
      </c>
      <c r="O1188" s="1" t="s">
        <v>18</v>
      </c>
      <c r="P1188" s="1" t="s">
        <v>137</v>
      </c>
      <c r="Q1188">
        <v>880</v>
      </c>
      <c r="R1188" s="1" t="s">
        <v>64</v>
      </c>
      <c r="S1188">
        <v>12</v>
      </c>
      <c r="T1188">
        <v>1</v>
      </c>
      <c r="U1188">
        <v>4</v>
      </c>
      <c r="V1188">
        <v>36</v>
      </c>
      <c r="W1188">
        <v>3</v>
      </c>
      <c r="X1188">
        <v>2</v>
      </c>
      <c r="Y1188" s="1" t="s">
        <v>4</v>
      </c>
      <c r="Z1188">
        <v>4</v>
      </c>
      <c r="AA1188">
        <v>4581</v>
      </c>
      <c r="AB1188">
        <v>10414</v>
      </c>
      <c r="AC1188" s="1" t="s">
        <v>18</v>
      </c>
      <c r="AD1188">
        <v>24</v>
      </c>
      <c r="AE1188">
        <v>4</v>
      </c>
      <c r="AF1188">
        <v>1</v>
      </c>
      <c r="AG1188">
        <v>80</v>
      </c>
      <c r="AH1188">
        <v>0</v>
      </c>
      <c r="AI1188">
        <v>4</v>
      </c>
      <c r="AJ1188">
        <v>1</v>
      </c>
      <c r="AK1188" s="1" t="s">
        <v>136</v>
      </c>
    </row>
    <row r="1189" spans="1:37" x14ac:dyDescent="0.25">
      <c r="A1189">
        <v>1668</v>
      </c>
      <c r="B1189">
        <v>38</v>
      </c>
      <c r="C1189" s="1" t="s">
        <v>25</v>
      </c>
      <c r="D1189" s="1" t="s">
        <v>70</v>
      </c>
      <c r="E1189">
        <v>3</v>
      </c>
      <c r="F1189" s="1" t="s">
        <v>134</v>
      </c>
      <c r="G1189">
        <v>7</v>
      </c>
      <c r="H1189" s="1" t="s">
        <v>18</v>
      </c>
      <c r="I1189">
        <v>19</v>
      </c>
      <c r="J1189">
        <v>4</v>
      </c>
      <c r="K1189">
        <v>13</v>
      </c>
      <c r="L1189">
        <v>11</v>
      </c>
      <c r="M1189">
        <v>2</v>
      </c>
      <c r="N1189">
        <v>9</v>
      </c>
      <c r="O1189" s="1" t="s">
        <v>19</v>
      </c>
      <c r="P1189" s="1" t="s">
        <v>137</v>
      </c>
      <c r="Q1189">
        <v>1189</v>
      </c>
      <c r="R1189" s="1" t="s">
        <v>63</v>
      </c>
      <c r="S1189">
        <v>1</v>
      </c>
      <c r="T1189">
        <v>1</v>
      </c>
      <c r="U1189">
        <v>4</v>
      </c>
      <c r="V1189">
        <v>90</v>
      </c>
      <c r="W1189">
        <v>3</v>
      </c>
      <c r="X1189">
        <v>2</v>
      </c>
      <c r="Y1189" s="1" t="s">
        <v>5</v>
      </c>
      <c r="Z1189">
        <v>4</v>
      </c>
      <c r="AA1189">
        <v>4735</v>
      </c>
      <c r="AB1189">
        <v>9867</v>
      </c>
      <c r="AC1189" s="1" t="s">
        <v>19</v>
      </c>
      <c r="AD1189">
        <v>15</v>
      </c>
      <c r="AE1189">
        <v>3</v>
      </c>
      <c r="AF1189">
        <v>4</v>
      </c>
      <c r="AG1189">
        <v>80</v>
      </c>
      <c r="AH1189">
        <v>2</v>
      </c>
      <c r="AI1189">
        <v>4</v>
      </c>
      <c r="AJ1189">
        <v>0</v>
      </c>
      <c r="AK1189" s="1" t="s">
        <v>136</v>
      </c>
    </row>
    <row r="1190" spans="1:37" x14ac:dyDescent="0.25">
      <c r="A1190">
        <v>1669</v>
      </c>
      <c r="B1190">
        <v>29</v>
      </c>
      <c r="C1190" s="1" t="s">
        <v>25</v>
      </c>
      <c r="D1190" s="1" t="s">
        <v>69</v>
      </c>
      <c r="E1190">
        <v>3</v>
      </c>
      <c r="F1190" s="1" t="s">
        <v>139</v>
      </c>
      <c r="G1190">
        <v>1</v>
      </c>
      <c r="H1190" s="1" t="s">
        <v>18</v>
      </c>
      <c r="I1190">
        <v>10</v>
      </c>
      <c r="J1190">
        <v>3</v>
      </c>
      <c r="K1190">
        <v>10</v>
      </c>
      <c r="L1190">
        <v>0</v>
      </c>
      <c r="M1190">
        <v>0</v>
      </c>
      <c r="N1190">
        <v>9</v>
      </c>
      <c r="O1190" s="1" t="s">
        <v>19</v>
      </c>
      <c r="P1190" s="1" t="s">
        <v>135</v>
      </c>
      <c r="Q1190">
        <v>991</v>
      </c>
      <c r="R1190" s="1" t="s">
        <v>64</v>
      </c>
      <c r="S1190">
        <v>5</v>
      </c>
      <c r="T1190">
        <v>1</v>
      </c>
      <c r="U1190">
        <v>1</v>
      </c>
      <c r="V1190">
        <v>43</v>
      </c>
      <c r="W1190">
        <v>2</v>
      </c>
      <c r="X1190">
        <v>2</v>
      </c>
      <c r="Y1190" s="1" t="s">
        <v>4</v>
      </c>
      <c r="Z1190">
        <v>2</v>
      </c>
      <c r="AA1190">
        <v>4187</v>
      </c>
      <c r="AB1190">
        <v>3356</v>
      </c>
      <c r="AC1190" s="1" t="s">
        <v>18</v>
      </c>
      <c r="AD1190">
        <v>13</v>
      </c>
      <c r="AE1190">
        <v>3</v>
      </c>
      <c r="AF1190">
        <v>2</v>
      </c>
      <c r="AG1190">
        <v>80</v>
      </c>
      <c r="AH1190">
        <v>1</v>
      </c>
      <c r="AI1190">
        <v>2</v>
      </c>
      <c r="AJ1190">
        <v>0</v>
      </c>
      <c r="AK1190" s="1" t="s">
        <v>136</v>
      </c>
    </row>
    <row r="1191" spans="1:37" x14ac:dyDescent="0.25">
      <c r="A1191">
        <v>1670</v>
      </c>
      <c r="B1191">
        <v>33</v>
      </c>
      <c r="C1191" s="1" t="s">
        <v>25</v>
      </c>
      <c r="D1191" s="1" t="s">
        <v>69</v>
      </c>
      <c r="E1191">
        <v>4</v>
      </c>
      <c r="F1191" s="1" t="s">
        <v>139</v>
      </c>
      <c r="G1191">
        <v>1</v>
      </c>
      <c r="H1191" s="1" t="s">
        <v>18</v>
      </c>
      <c r="I1191">
        <v>6</v>
      </c>
      <c r="J1191">
        <v>5</v>
      </c>
      <c r="K1191">
        <v>6</v>
      </c>
      <c r="L1191">
        <v>2</v>
      </c>
      <c r="M1191">
        <v>0</v>
      </c>
      <c r="N1191">
        <v>4</v>
      </c>
      <c r="O1191" s="1" t="s">
        <v>19</v>
      </c>
      <c r="P1191" s="1" t="s">
        <v>135</v>
      </c>
      <c r="Q1191">
        <v>392</v>
      </c>
      <c r="R1191" s="1" t="s">
        <v>64</v>
      </c>
      <c r="S1191">
        <v>2</v>
      </c>
      <c r="T1191">
        <v>1</v>
      </c>
      <c r="U1191">
        <v>4</v>
      </c>
      <c r="V1191">
        <v>93</v>
      </c>
      <c r="W1191">
        <v>3</v>
      </c>
      <c r="X1191">
        <v>2</v>
      </c>
      <c r="Y1191" s="1" t="s">
        <v>4</v>
      </c>
      <c r="Z1191">
        <v>4</v>
      </c>
      <c r="AA1191">
        <v>5505</v>
      </c>
      <c r="AB1191">
        <v>3921</v>
      </c>
      <c r="AC1191" s="1" t="s">
        <v>19</v>
      </c>
      <c r="AD1191">
        <v>14</v>
      </c>
      <c r="AE1191">
        <v>3</v>
      </c>
      <c r="AF1191">
        <v>3</v>
      </c>
      <c r="AG1191">
        <v>80</v>
      </c>
      <c r="AH1191">
        <v>2</v>
      </c>
      <c r="AI1191">
        <v>3</v>
      </c>
      <c r="AJ1191">
        <v>0</v>
      </c>
      <c r="AK1191" s="1" t="s">
        <v>136</v>
      </c>
    </row>
    <row r="1192" spans="1:37" x14ac:dyDescent="0.25">
      <c r="A1192">
        <v>1671</v>
      </c>
      <c r="B1192">
        <v>32</v>
      </c>
      <c r="C1192" s="1" t="s">
        <v>25</v>
      </c>
      <c r="D1192" s="1" t="s">
        <v>69</v>
      </c>
      <c r="E1192">
        <v>3</v>
      </c>
      <c r="F1192" s="1" t="s">
        <v>139</v>
      </c>
      <c r="G1192">
        <v>0</v>
      </c>
      <c r="H1192" s="1" t="s">
        <v>18</v>
      </c>
      <c r="I1192">
        <v>10</v>
      </c>
      <c r="J1192">
        <v>4</v>
      </c>
      <c r="K1192">
        <v>9</v>
      </c>
      <c r="L1192">
        <v>5</v>
      </c>
      <c r="M1192">
        <v>1</v>
      </c>
      <c r="N1192">
        <v>6</v>
      </c>
      <c r="O1192" s="1" t="s">
        <v>19</v>
      </c>
      <c r="P1192" s="1" t="s">
        <v>135</v>
      </c>
      <c r="Q1192">
        <v>977</v>
      </c>
      <c r="R1192" s="1" t="s">
        <v>63</v>
      </c>
      <c r="S1192">
        <v>2</v>
      </c>
      <c r="T1192">
        <v>1</v>
      </c>
      <c r="U1192">
        <v>4</v>
      </c>
      <c r="V1192">
        <v>45</v>
      </c>
      <c r="W1192">
        <v>3</v>
      </c>
      <c r="X1192">
        <v>2</v>
      </c>
      <c r="Y1192" s="1" t="s">
        <v>5</v>
      </c>
      <c r="Z1192">
        <v>2</v>
      </c>
      <c r="AA1192">
        <v>5470</v>
      </c>
      <c r="AB1192">
        <v>25518</v>
      </c>
      <c r="AC1192" s="1" t="s">
        <v>19</v>
      </c>
      <c r="AD1192">
        <v>13</v>
      </c>
      <c r="AE1192">
        <v>3</v>
      </c>
      <c r="AF1192">
        <v>3</v>
      </c>
      <c r="AG1192">
        <v>80</v>
      </c>
      <c r="AH1192">
        <v>2</v>
      </c>
      <c r="AI1192">
        <v>2</v>
      </c>
      <c r="AJ1192">
        <v>0</v>
      </c>
      <c r="AK1192" s="1" t="s">
        <v>136</v>
      </c>
    </row>
    <row r="1193" spans="1:37" x14ac:dyDescent="0.25">
      <c r="A1193">
        <v>1673</v>
      </c>
      <c r="B1193">
        <v>31</v>
      </c>
      <c r="C1193" s="1" t="s">
        <v>24</v>
      </c>
      <c r="D1193" s="1" t="s">
        <v>70</v>
      </c>
      <c r="E1193">
        <v>4</v>
      </c>
      <c r="F1193" s="1" t="s">
        <v>134</v>
      </c>
      <c r="G1193">
        <v>1</v>
      </c>
      <c r="H1193" s="1" t="s">
        <v>18</v>
      </c>
      <c r="I1193">
        <v>10</v>
      </c>
      <c r="J1193">
        <v>2</v>
      </c>
      <c r="K1193">
        <v>10</v>
      </c>
      <c r="L1193">
        <v>0</v>
      </c>
      <c r="M1193">
        <v>0</v>
      </c>
      <c r="N1193">
        <v>2</v>
      </c>
      <c r="O1193" s="1" t="s">
        <v>19</v>
      </c>
      <c r="P1193" s="1" t="s">
        <v>135</v>
      </c>
      <c r="Q1193">
        <v>1112</v>
      </c>
      <c r="R1193" s="1" t="s">
        <v>64</v>
      </c>
      <c r="S1193">
        <v>5</v>
      </c>
      <c r="T1193">
        <v>1</v>
      </c>
      <c r="U1193">
        <v>1</v>
      </c>
      <c r="V1193">
        <v>67</v>
      </c>
      <c r="W1193">
        <v>3</v>
      </c>
      <c r="X1193">
        <v>2</v>
      </c>
      <c r="Y1193" s="1" t="s">
        <v>4</v>
      </c>
      <c r="Z1193">
        <v>4</v>
      </c>
      <c r="AA1193">
        <v>5476</v>
      </c>
      <c r="AB1193">
        <v>22589</v>
      </c>
      <c r="AC1193" s="1" t="s">
        <v>19</v>
      </c>
      <c r="AD1193">
        <v>11</v>
      </c>
      <c r="AE1193">
        <v>3</v>
      </c>
      <c r="AF1193">
        <v>1</v>
      </c>
      <c r="AG1193">
        <v>80</v>
      </c>
      <c r="AH1193">
        <v>2</v>
      </c>
      <c r="AI1193">
        <v>3</v>
      </c>
      <c r="AJ1193">
        <v>0</v>
      </c>
      <c r="AK1193" s="1" t="s">
        <v>136</v>
      </c>
    </row>
    <row r="1194" spans="1:37" x14ac:dyDescent="0.25">
      <c r="A1194">
        <v>1674</v>
      </c>
      <c r="B1194">
        <v>49</v>
      </c>
      <c r="C1194" s="1" t="s">
        <v>24</v>
      </c>
      <c r="D1194" s="1" t="s">
        <v>69</v>
      </c>
      <c r="E1194">
        <v>3</v>
      </c>
      <c r="F1194" s="1" t="s">
        <v>139</v>
      </c>
      <c r="G1194">
        <v>4</v>
      </c>
      <c r="H1194" s="1" t="s">
        <v>18</v>
      </c>
      <c r="I1194">
        <v>17</v>
      </c>
      <c r="J1194">
        <v>2</v>
      </c>
      <c r="K1194">
        <v>2</v>
      </c>
      <c r="L1194">
        <v>2</v>
      </c>
      <c r="M1194">
        <v>2</v>
      </c>
      <c r="N1194">
        <v>2</v>
      </c>
      <c r="O1194" s="1" t="s">
        <v>19</v>
      </c>
      <c r="P1194" s="1" t="s">
        <v>135</v>
      </c>
      <c r="Q1194">
        <v>464</v>
      </c>
      <c r="R1194" s="1" t="s">
        <v>63</v>
      </c>
      <c r="S1194">
        <v>16</v>
      </c>
      <c r="T1194">
        <v>1</v>
      </c>
      <c r="U1194">
        <v>4</v>
      </c>
      <c r="V1194">
        <v>74</v>
      </c>
      <c r="W1194">
        <v>3</v>
      </c>
      <c r="X1194">
        <v>1</v>
      </c>
      <c r="Y1194" s="1" t="s">
        <v>6</v>
      </c>
      <c r="Z1194">
        <v>1</v>
      </c>
      <c r="AA1194">
        <v>2587</v>
      </c>
      <c r="AB1194">
        <v>24941</v>
      </c>
      <c r="AC1194" s="1" t="s">
        <v>18</v>
      </c>
      <c r="AD1194">
        <v>16</v>
      </c>
      <c r="AE1194">
        <v>3</v>
      </c>
      <c r="AF1194">
        <v>2</v>
      </c>
      <c r="AG1194">
        <v>80</v>
      </c>
      <c r="AH1194">
        <v>1</v>
      </c>
      <c r="AI1194">
        <v>2</v>
      </c>
      <c r="AJ1194">
        <v>0</v>
      </c>
      <c r="AK1194" s="1" t="s">
        <v>136</v>
      </c>
    </row>
    <row r="1195" spans="1:37" x14ac:dyDescent="0.25">
      <c r="A1195">
        <v>1675</v>
      </c>
      <c r="B1195">
        <v>38</v>
      </c>
      <c r="C1195" s="1" t="s">
        <v>24</v>
      </c>
      <c r="D1195" s="1" t="s">
        <v>71</v>
      </c>
      <c r="E1195">
        <v>3</v>
      </c>
      <c r="F1195" s="1" t="s">
        <v>139</v>
      </c>
      <c r="G1195">
        <v>1</v>
      </c>
      <c r="H1195" s="1" t="s">
        <v>18</v>
      </c>
      <c r="I1195">
        <v>4</v>
      </c>
      <c r="J1195">
        <v>3</v>
      </c>
      <c r="K1195">
        <v>4</v>
      </c>
      <c r="L1195">
        <v>3</v>
      </c>
      <c r="M1195">
        <v>3</v>
      </c>
      <c r="N1195">
        <v>3</v>
      </c>
      <c r="O1195" s="1" t="s">
        <v>19</v>
      </c>
      <c r="P1195" s="1" t="s">
        <v>137</v>
      </c>
      <c r="Q1195">
        <v>148</v>
      </c>
      <c r="R1195" s="1" t="s">
        <v>63</v>
      </c>
      <c r="S1195">
        <v>2</v>
      </c>
      <c r="T1195">
        <v>1</v>
      </c>
      <c r="U1195">
        <v>4</v>
      </c>
      <c r="V1195">
        <v>42</v>
      </c>
      <c r="W1195">
        <v>2</v>
      </c>
      <c r="X1195">
        <v>1</v>
      </c>
      <c r="Y1195" s="1" t="s">
        <v>6</v>
      </c>
      <c r="Z1195">
        <v>2</v>
      </c>
      <c r="AA1195">
        <v>2440</v>
      </c>
      <c r="AB1195">
        <v>23826</v>
      </c>
      <c r="AC1195" s="1" t="s">
        <v>19</v>
      </c>
      <c r="AD1195">
        <v>22</v>
      </c>
      <c r="AE1195">
        <v>4</v>
      </c>
      <c r="AF1195">
        <v>2</v>
      </c>
      <c r="AG1195">
        <v>80</v>
      </c>
      <c r="AH1195">
        <v>0</v>
      </c>
      <c r="AI1195">
        <v>3</v>
      </c>
      <c r="AJ1195">
        <v>0</v>
      </c>
      <c r="AK1195" s="1" t="s">
        <v>136</v>
      </c>
    </row>
    <row r="1196" spans="1:37" x14ac:dyDescent="0.25">
      <c r="A1196">
        <v>1676</v>
      </c>
      <c r="B1196">
        <v>47</v>
      </c>
      <c r="C1196" s="1" t="s">
        <v>24</v>
      </c>
      <c r="D1196" s="1" t="s">
        <v>69</v>
      </c>
      <c r="E1196">
        <v>4</v>
      </c>
      <c r="F1196" s="1" t="s">
        <v>134</v>
      </c>
      <c r="G1196">
        <v>6</v>
      </c>
      <c r="H1196" s="1" t="s">
        <v>18</v>
      </c>
      <c r="I1196">
        <v>29</v>
      </c>
      <c r="J1196">
        <v>2</v>
      </c>
      <c r="K1196">
        <v>3</v>
      </c>
      <c r="L1196">
        <v>2</v>
      </c>
      <c r="M1196">
        <v>1</v>
      </c>
      <c r="N1196">
        <v>2</v>
      </c>
      <c r="O1196" s="1" t="s">
        <v>19</v>
      </c>
      <c r="P1196" s="1" t="s">
        <v>135</v>
      </c>
      <c r="Q1196">
        <v>1225</v>
      </c>
      <c r="R1196" s="1" t="s">
        <v>64</v>
      </c>
      <c r="S1196">
        <v>2</v>
      </c>
      <c r="T1196">
        <v>1</v>
      </c>
      <c r="U1196">
        <v>2</v>
      </c>
      <c r="V1196">
        <v>47</v>
      </c>
      <c r="W1196">
        <v>4</v>
      </c>
      <c r="X1196">
        <v>4</v>
      </c>
      <c r="Y1196" s="1" t="s">
        <v>9</v>
      </c>
      <c r="Z1196">
        <v>2</v>
      </c>
      <c r="AA1196">
        <v>15972</v>
      </c>
      <c r="AB1196">
        <v>21086</v>
      </c>
      <c r="AC1196" s="1" t="s">
        <v>19</v>
      </c>
      <c r="AD1196">
        <v>14</v>
      </c>
      <c r="AE1196">
        <v>3</v>
      </c>
      <c r="AF1196">
        <v>3</v>
      </c>
      <c r="AG1196">
        <v>80</v>
      </c>
      <c r="AH1196">
        <v>3</v>
      </c>
      <c r="AI1196">
        <v>3</v>
      </c>
      <c r="AJ1196">
        <v>0</v>
      </c>
      <c r="AK1196" s="1" t="s">
        <v>136</v>
      </c>
    </row>
    <row r="1197" spans="1:37" x14ac:dyDescent="0.25">
      <c r="A1197">
        <v>1677</v>
      </c>
      <c r="B1197">
        <v>49</v>
      </c>
      <c r="C1197" s="1" t="s">
        <v>25</v>
      </c>
      <c r="D1197" s="1" t="s">
        <v>71</v>
      </c>
      <c r="E1197">
        <v>3</v>
      </c>
      <c r="F1197" s="1" t="s">
        <v>134</v>
      </c>
      <c r="G1197">
        <v>4</v>
      </c>
      <c r="H1197" s="1" t="s">
        <v>18</v>
      </c>
      <c r="I1197">
        <v>23</v>
      </c>
      <c r="J1197">
        <v>2</v>
      </c>
      <c r="K1197">
        <v>8</v>
      </c>
      <c r="L1197">
        <v>7</v>
      </c>
      <c r="M1197">
        <v>0</v>
      </c>
      <c r="N1197">
        <v>0</v>
      </c>
      <c r="O1197" s="1" t="s">
        <v>19</v>
      </c>
      <c r="P1197" s="1" t="s">
        <v>135</v>
      </c>
      <c r="Q1197">
        <v>809</v>
      </c>
      <c r="R1197" s="1" t="s">
        <v>63</v>
      </c>
      <c r="S1197">
        <v>1</v>
      </c>
      <c r="T1197">
        <v>1</v>
      </c>
      <c r="U1197">
        <v>3</v>
      </c>
      <c r="V1197">
        <v>36</v>
      </c>
      <c r="W1197">
        <v>3</v>
      </c>
      <c r="X1197">
        <v>4</v>
      </c>
      <c r="Y1197" s="1" t="s">
        <v>9</v>
      </c>
      <c r="Z1197">
        <v>3</v>
      </c>
      <c r="AA1197">
        <v>15379</v>
      </c>
      <c r="AB1197">
        <v>22384</v>
      </c>
      <c r="AC1197" s="1" t="s">
        <v>19</v>
      </c>
      <c r="AD1197">
        <v>14</v>
      </c>
      <c r="AE1197">
        <v>3</v>
      </c>
      <c r="AF1197">
        <v>1</v>
      </c>
      <c r="AG1197">
        <v>80</v>
      </c>
      <c r="AH1197">
        <v>0</v>
      </c>
      <c r="AI1197">
        <v>3</v>
      </c>
      <c r="AJ1197">
        <v>0</v>
      </c>
      <c r="AK1197" s="1" t="s">
        <v>136</v>
      </c>
    </row>
    <row r="1198" spans="1:37" x14ac:dyDescent="0.25">
      <c r="A1198">
        <v>1678</v>
      </c>
      <c r="B1198">
        <v>41</v>
      </c>
      <c r="C1198" s="1" t="s">
        <v>25</v>
      </c>
      <c r="D1198" s="1" t="s">
        <v>71</v>
      </c>
      <c r="E1198">
        <v>2</v>
      </c>
      <c r="F1198" s="1" t="s">
        <v>134</v>
      </c>
      <c r="G1198">
        <v>3</v>
      </c>
      <c r="H1198" s="1" t="s">
        <v>18</v>
      </c>
      <c r="I1198">
        <v>21</v>
      </c>
      <c r="J1198">
        <v>2</v>
      </c>
      <c r="K1198">
        <v>2</v>
      </c>
      <c r="L1198">
        <v>0</v>
      </c>
      <c r="M1198">
        <v>0</v>
      </c>
      <c r="N1198">
        <v>2</v>
      </c>
      <c r="O1198" s="1" t="s">
        <v>19</v>
      </c>
      <c r="P1198" s="1" t="s">
        <v>135</v>
      </c>
      <c r="Q1198">
        <v>1206</v>
      </c>
      <c r="R1198" s="1" t="s">
        <v>64</v>
      </c>
      <c r="S1198">
        <v>23</v>
      </c>
      <c r="T1198">
        <v>1</v>
      </c>
      <c r="U1198">
        <v>4</v>
      </c>
      <c r="V1198">
        <v>80</v>
      </c>
      <c r="W1198">
        <v>3</v>
      </c>
      <c r="X1198">
        <v>3</v>
      </c>
      <c r="Y1198" s="1" t="s">
        <v>4</v>
      </c>
      <c r="Z1198">
        <v>3</v>
      </c>
      <c r="AA1198">
        <v>7082</v>
      </c>
      <c r="AB1198">
        <v>11591</v>
      </c>
      <c r="AC1198" s="1" t="s">
        <v>18</v>
      </c>
      <c r="AD1198">
        <v>16</v>
      </c>
      <c r="AE1198">
        <v>3</v>
      </c>
      <c r="AF1198">
        <v>4</v>
      </c>
      <c r="AG1198">
        <v>80</v>
      </c>
      <c r="AH1198">
        <v>0</v>
      </c>
      <c r="AI1198">
        <v>3</v>
      </c>
      <c r="AJ1198">
        <v>0</v>
      </c>
      <c r="AK1198" s="1" t="s">
        <v>136</v>
      </c>
    </row>
    <row r="1199" spans="1:37" x14ac:dyDescent="0.25">
      <c r="A1199">
        <v>1680</v>
      </c>
      <c r="B1199">
        <v>20</v>
      </c>
      <c r="C1199" s="1" t="s">
        <v>25</v>
      </c>
      <c r="D1199" s="1" t="s">
        <v>71</v>
      </c>
      <c r="E1199">
        <v>1</v>
      </c>
      <c r="F1199" s="1" t="s">
        <v>134</v>
      </c>
      <c r="G1199">
        <v>1</v>
      </c>
      <c r="H1199" s="1" t="s">
        <v>18</v>
      </c>
      <c r="I1199">
        <v>2</v>
      </c>
      <c r="J1199">
        <v>3</v>
      </c>
      <c r="K1199">
        <v>2</v>
      </c>
      <c r="L1199">
        <v>2</v>
      </c>
      <c r="M1199">
        <v>0</v>
      </c>
      <c r="N1199">
        <v>2</v>
      </c>
      <c r="O1199" s="1" t="s">
        <v>19</v>
      </c>
      <c r="P1199" s="1" t="s">
        <v>135</v>
      </c>
      <c r="Q1199">
        <v>727</v>
      </c>
      <c r="R1199" s="1" t="s">
        <v>64</v>
      </c>
      <c r="S1199">
        <v>9</v>
      </c>
      <c r="T1199">
        <v>1</v>
      </c>
      <c r="U1199">
        <v>4</v>
      </c>
      <c r="V1199">
        <v>54</v>
      </c>
      <c r="W1199">
        <v>3</v>
      </c>
      <c r="X1199">
        <v>1</v>
      </c>
      <c r="Y1199" s="1" t="s">
        <v>10</v>
      </c>
      <c r="Z1199">
        <v>1</v>
      </c>
      <c r="AA1199">
        <v>2728</v>
      </c>
      <c r="AB1199">
        <v>21082</v>
      </c>
      <c r="AC1199" s="1" t="s">
        <v>19</v>
      </c>
      <c r="AD1199">
        <v>11</v>
      </c>
      <c r="AE1199">
        <v>3</v>
      </c>
      <c r="AF1199">
        <v>1</v>
      </c>
      <c r="AG1199">
        <v>80</v>
      </c>
      <c r="AH1199">
        <v>0</v>
      </c>
      <c r="AI1199">
        <v>3</v>
      </c>
      <c r="AJ1199">
        <v>0</v>
      </c>
      <c r="AK1199" s="1" t="s">
        <v>136</v>
      </c>
    </row>
    <row r="1200" spans="1:37" x14ac:dyDescent="0.25">
      <c r="A1200">
        <v>1681</v>
      </c>
      <c r="B1200">
        <v>33</v>
      </c>
      <c r="C1200" s="1" t="s">
        <v>24</v>
      </c>
      <c r="D1200" s="1" t="s">
        <v>69</v>
      </c>
      <c r="E1200">
        <v>3</v>
      </c>
      <c r="F1200" s="1" t="s">
        <v>134</v>
      </c>
      <c r="G1200">
        <v>1</v>
      </c>
      <c r="H1200" s="1" t="s">
        <v>18</v>
      </c>
      <c r="I1200">
        <v>7</v>
      </c>
      <c r="J1200">
        <v>2</v>
      </c>
      <c r="K1200">
        <v>6</v>
      </c>
      <c r="L1200">
        <v>5</v>
      </c>
      <c r="M1200">
        <v>1</v>
      </c>
      <c r="N1200">
        <v>2</v>
      </c>
      <c r="O1200" s="1" t="s">
        <v>19</v>
      </c>
      <c r="P1200" s="1" t="s">
        <v>141</v>
      </c>
      <c r="Q1200">
        <v>530</v>
      </c>
      <c r="R1200" s="1" t="s">
        <v>64</v>
      </c>
      <c r="S1200">
        <v>16</v>
      </c>
      <c r="T1200">
        <v>1</v>
      </c>
      <c r="U1200">
        <v>3</v>
      </c>
      <c r="V1200">
        <v>36</v>
      </c>
      <c r="W1200">
        <v>3</v>
      </c>
      <c r="X1200">
        <v>2</v>
      </c>
      <c r="Y1200" s="1" t="s">
        <v>4</v>
      </c>
      <c r="Z1200">
        <v>4</v>
      </c>
      <c r="AA1200">
        <v>5368</v>
      </c>
      <c r="AB1200">
        <v>16130</v>
      </c>
      <c r="AC1200" s="1" t="s">
        <v>18</v>
      </c>
      <c r="AD1200">
        <v>25</v>
      </c>
      <c r="AE1200">
        <v>4</v>
      </c>
      <c r="AF1200">
        <v>3</v>
      </c>
      <c r="AG1200">
        <v>80</v>
      </c>
      <c r="AH1200">
        <v>1</v>
      </c>
      <c r="AI1200">
        <v>3</v>
      </c>
      <c r="AJ1200">
        <v>0</v>
      </c>
      <c r="AK1200" s="1" t="s">
        <v>136</v>
      </c>
    </row>
    <row r="1201" spans="1:37" x14ac:dyDescent="0.25">
      <c r="A1201">
        <v>1682</v>
      </c>
      <c r="B1201">
        <v>36</v>
      </c>
      <c r="C1201" s="1" t="s">
        <v>25</v>
      </c>
      <c r="D1201" s="1" t="s">
        <v>70</v>
      </c>
      <c r="E1201">
        <v>4</v>
      </c>
      <c r="F1201" s="1" t="s">
        <v>134</v>
      </c>
      <c r="G1201">
        <v>6</v>
      </c>
      <c r="H1201" s="1" t="s">
        <v>18</v>
      </c>
      <c r="I1201">
        <v>10</v>
      </c>
      <c r="J1201">
        <v>2</v>
      </c>
      <c r="K1201">
        <v>3</v>
      </c>
      <c r="L1201">
        <v>2</v>
      </c>
      <c r="M1201">
        <v>0</v>
      </c>
      <c r="N1201">
        <v>2</v>
      </c>
      <c r="O1201" s="1" t="s">
        <v>19</v>
      </c>
      <c r="P1201" s="1" t="s">
        <v>135</v>
      </c>
      <c r="Q1201">
        <v>1351</v>
      </c>
      <c r="R1201" s="1" t="s">
        <v>63</v>
      </c>
      <c r="S1201">
        <v>26</v>
      </c>
      <c r="T1201">
        <v>1</v>
      </c>
      <c r="U1201">
        <v>1</v>
      </c>
      <c r="V1201">
        <v>80</v>
      </c>
      <c r="W1201">
        <v>3</v>
      </c>
      <c r="X1201">
        <v>2</v>
      </c>
      <c r="Y1201" s="1" t="s">
        <v>8</v>
      </c>
      <c r="Z1201">
        <v>3</v>
      </c>
      <c r="AA1201">
        <v>5347</v>
      </c>
      <c r="AB1201">
        <v>7419</v>
      </c>
      <c r="AC1201" s="1" t="s">
        <v>19</v>
      </c>
      <c r="AD1201">
        <v>14</v>
      </c>
      <c r="AE1201">
        <v>3</v>
      </c>
      <c r="AF1201">
        <v>2</v>
      </c>
      <c r="AG1201">
        <v>80</v>
      </c>
      <c r="AH1201">
        <v>2</v>
      </c>
      <c r="AI1201">
        <v>2</v>
      </c>
      <c r="AJ1201">
        <v>0</v>
      </c>
      <c r="AK1201" s="1" t="s">
        <v>136</v>
      </c>
    </row>
    <row r="1202" spans="1:37" x14ac:dyDescent="0.25">
      <c r="A1202">
        <v>1683</v>
      </c>
      <c r="B1202">
        <v>44</v>
      </c>
      <c r="C1202" s="1" t="s">
        <v>24</v>
      </c>
      <c r="D1202" s="1" t="s">
        <v>69</v>
      </c>
      <c r="E1202">
        <v>3</v>
      </c>
      <c r="F1202" s="1" t="s">
        <v>134</v>
      </c>
      <c r="G1202">
        <v>4</v>
      </c>
      <c r="H1202" s="1" t="s">
        <v>18</v>
      </c>
      <c r="I1202">
        <v>8</v>
      </c>
      <c r="J1202">
        <v>2</v>
      </c>
      <c r="K1202">
        <v>2</v>
      </c>
      <c r="L1202">
        <v>2</v>
      </c>
      <c r="M1202">
        <v>2</v>
      </c>
      <c r="N1202">
        <v>2</v>
      </c>
      <c r="O1202" s="1" t="s">
        <v>19</v>
      </c>
      <c r="P1202" s="1" t="s">
        <v>135</v>
      </c>
      <c r="Q1202">
        <v>528</v>
      </c>
      <c r="R1202" s="1" t="s">
        <v>12</v>
      </c>
      <c r="S1202">
        <v>1</v>
      </c>
      <c r="T1202">
        <v>1</v>
      </c>
      <c r="U1202">
        <v>3</v>
      </c>
      <c r="V1202">
        <v>44</v>
      </c>
      <c r="W1202">
        <v>3</v>
      </c>
      <c r="X1202">
        <v>1</v>
      </c>
      <c r="Y1202" s="1" t="s">
        <v>12</v>
      </c>
      <c r="Z1202">
        <v>4</v>
      </c>
      <c r="AA1202">
        <v>3195</v>
      </c>
      <c r="AB1202">
        <v>4167</v>
      </c>
      <c r="AC1202" s="1" t="s">
        <v>18</v>
      </c>
      <c r="AD1202">
        <v>18</v>
      </c>
      <c r="AE1202">
        <v>3</v>
      </c>
      <c r="AF1202">
        <v>1</v>
      </c>
      <c r="AG1202">
        <v>80</v>
      </c>
      <c r="AH1202">
        <v>3</v>
      </c>
      <c r="AI1202">
        <v>3</v>
      </c>
      <c r="AJ1202">
        <v>0</v>
      </c>
      <c r="AK1202" s="1" t="s">
        <v>136</v>
      </c>
    </row>
    <row r="1203" spans="1:37" x14ac:dyDescent="0.25">
      <c r="A1203">
        <v>1684</v>
      </c>
      <c r="B1203">
        <v>23</v>
      </c>
      <c r="C1203" s="1" t="s">
        <v>25</v>
      </c>
      <c r="D1203" s="1" t="s">
        <v>71</v>
      </c>
      <c r="E1203">
        <v>1</v>
      </c>
      <c r="F1203" s="1" t="s">
        <v>139</v>
      </c>
      <c r="G1203">
        <v>1</v>
      </c>
      <c r="H1203" s="1" t="s">
        <v>18</v>
      </c>
      <c r="I1203">
        <v>5</v>
      </c>
      <c r="J1203">
        <v>2</v>
      </c>
      <c r="K1203">
        <v>5</v>
      </c>
      <c r="L1203">
        <v>4</v>
      </c>
      <c r="M1203">
        <v>1</v>
      </c>
      <c r="N1203">
        <v>2</v>
      </c>
      <c r="O1203" s="1" t="s">
        <v>18</v>
      </c>
      <c r="P1203" s="1" t="s">
        <v>135</v>
      </c>
      <c r="Q1203">
        <v>1320</v>
      </c>
      <c r="R1203" s="1" t="s">
        <v>63</v>
      </c>
      <c r="S1203">
        <v>8</v>
      </c>
      <c r="T1203">
        <v>1</v>
      </c>
      <c r="U1203">
        <v>4</v>
      </c>
      <c r="V1203">
        <v>93</v>
      </c>
      <c r="W1203">
        <v>2</v>
      </c>
      <c r="X1203">
        <v>1</v>
      </c>
      <c r="Y1203" s="1" t="s">
        <v>6</v>
      </c>
      <c r="Z1203">
        <v>3</v>
      </c>
      <c r="AA1203">
        <v>3989</v>
      </c>
      <c r="AB1203">
        <v>20586</v>
      </c>
      <c r="AC1203" s="1" t="s">
        <v>18</v>
      </c>
      <c r="AD1203">
        <v>11</v>
      </c>
      <c r="AE1203">
        <v>3</v>
      </c>
      <c r="AF1203">
        <v>1</v>
      </c>
      <c r="AG1203">
        <v>80</v>
      </c>
      <c r="AH1203">
        <v>0</v>
      </c>
      <c r="AI1203">
        <v>3</v>
      </c>
      <c r="AJ1203">
        <v>1</v>
      </c>
      <c r="AK1203" s="1" t="s">
        <v>136</v>
      </c>
    </row>
    <row r="1204" spans="1:37" x14ac:dyDescent="0.25">
      <c r="A1204">
        <v>1687</v>
      </c>
      <c r="B1204">
        <v>38</v>
      </c>
      <c r="C1204" s="1" t="s">
        <v>24</v>
      </c>
      <c r="D1204" s="1" t="s">
        <v>70</v>
      </c>
      <c r="E1204">
        <v>2</v>
      </c>
      <c r="F1204" s="1" t="s">
        <v>139</v>
      </c>
      <c r="G1204">
        <v>7</v>
      </c>
      <c r="H1204" s="1" t="s">
        <v>18</v>
      </c>
      <c r="I1204">
        <v>7</v>
      </c>
      <c r="J1204">
        <v>5</v>
      </c>
      <c r="K1204">
        <v>0</v>
      </c>
      <c r="L1204">
        <v>0</v>
      </c>
      <c r="M1204">
        <v>0</v>
      </c>
      <c r="N1204">
        <v>0</v>
      </c>
      <c r="O1204" s="1" t="s">
        <v>19</v>
      </c>
      <c r="P1204" s="1" t="s">
        <v>135</v>
      </c>
      <c r="Q1204">
        <v>1495</v>
      </c>
      <c r="R1204" s="1" t="s">
        <v>63</v>
      </c>
      <c r="S1204">
        <v>4</v>
      </c>
      <c r="T1204">
        <v>1</v>
      </c>
      <c r="U1204">
        <v>4</v>
      </c>
      <c r="V1204">
        <v>87</v>
      </c>
      <c r="W1204">
        <v>3</v>
      </c>
      <c r="X1204">
        <v>1</v>
      </c>
      <c r="Y1204" s="1" t="s">
        <v>6</v>
      </c>
      <c r="Z1204">
        <v>3</v>
      </c>
      <c r="AA1204">
        <v>3306</v>
      </c>
      <c r="AB1204">
        <v>26176</v>
      </c>
      <c r="AC1204" s="1" t="s">
        <v>19</v>
      </c>
      <c r="AD1204">
        <v>19</v>
      </c>
      <c r="AE1204">
        <v>3</v>
      </c>
      <c r="AF1204">
        <v>4</v>
      </c>
      <c r="AG1204">
        <v>80</v>
      </c>
      <c r="AH1204">
        <v>1</v>
      </c>
      <c r="AI1204">
        <v>2</v>
      </c>
      <c r="AJ1204">
        <v>0</v>
      </c>
      <c r="AK1204" s="1" t="s">
        <v>136</v>
      </c>
    </row>
    <row r="1205" spans="1:37" x14ac:dyDescent="0.25">
      <c r="A1205">
        <v>1689</v>
      </c>
      <c r="B1205">
        <v>53</v>
      </c>
      <c r="C1205" s="1" t="s">
        <v>25</v>
      </c>
      <c r="D1205" s="1" t="s">
        <v>70</v>
      </c>
      <c r="E1205">
        <v>4</v>
      </c>
      <c r="F1205" s="1" t="s">
        <v>139</v>
      </c>
      <c r="G1205">
        <v>3</v>
      </c>
      <c r="H1205" s="1" t="s">
        <v>18</v>
      </c>
      <c r="I1205">
        <v>11</v>
      </c>
      <c r="J1205">
        <v>2</v>
      </c>
      <c r="K1205">
        <v>4</v>
      </c>
      <c r="L1205">
        <v>3</v>
      </c>
      <c r="M1205">
        <v>1</v>
      </c>
      <c r="N1205">
        <v>2</v>
      </c>
      <c r="O1205" s="1" t="s">
        <v>19</v>
      </c>
      <c r="P1205" s="1" t="s">
        <v>135</v>
      </c>
      <c r="Q1205">
        <v>1395</v>
      </c>
      <c r="R1205" s="1" t="s">
        <v>63</v>
      </c>
      <c r="S1205">
        <v>24</v>
      </c>
      <c r="T1205">
        <v>1</v>
      </c>
      <c r="U1205">
        <v>2</v>
      </c>
      <c r="V1205">
        <v>48</v>
      </c>
      <c r="W1205">
        <v>4</v>
      </c>
      <c r="X1205">
        <v>3</v>
      </c>
      <c r="Y1205" s="1" t="s">
        <v>8</v>
      </c>
      <c r="Z1205">
        <v>4</v>
      </c>
      <c r="AA1205">
        <v>7005</v>
      </c>
      <c r="AB1205">
        <v>3458</v>
      </c>
      <c r="AC1205" s="1" t="s">
        <v>19</v>
      </c>
      <c r="AD1205">
        <v>15</v>
      </c>
      <c r="AE1205">
        <v>3</v>
      </c>
      <c r="AF1205">
        <v>3</v>
      </c>
      <c r="AG1205">
        <v>80</v>
      </c>
      <c r="AH1205">
        <v>0</v>
      </c>
      <c r="AI1205">
        <v>3</v>
      </c>
      <c r="AJ1205">
        <v>0</v>
      </c>
      <c r="AK1205" s="1" t="s">
        <v>140</v>
      </c>
    </row>
    <row r="1206" spans="1:37" x14ac:dyDescent="0.25">
      <c r="A1206">
        <v>1691</v>
      </c>
      <c r="B1206">
        <v>48</v>
      </c>
      <c r="C1206" s="1" t="s">
        <v>24</v>
      </c>
      <c r="D1206" s="1" t="s">
        <v>70</v>
      </c>
      <c r="E1206">
        <v>2</v>
      </c>
      <c r="F1206" s="1" t="s">
        <v>139</v>
      </c>
      <c r="G1206">
        <v>2</v>
      </c>
      <c r="H1206" s="1" t="s">
        <v>18</v>
      </c>
      <c r="I1206">
        <v>19</v>
      </c>
      <c r="J1206">
        <v>3</v>
      </c>
      <c r="K1206">
        <v>9</v>
      </c>
      <c r="L1206">
        <v>7</v>
      </c>
      <c r="M1206">
        <v>7</v>
      </c>
      <c r="N1206">
        <v>7</v>
      </c>
      <c r="O1206" s="1" t="s">
        <v>18</v>
      </c>
      <c r="P1206" s="1" t="s">
        <v>137</v>
      </c>
      <c r="Q1206">
        <v>708</v>
      </c>
      <c r="R1206" s="1" t="s">
        <v>64</v>
      </c>
      <c r="S1206">
        <v>7</v>
      </c>
      <c r="T1206">
        <v>1</v>
      </c>
      <c r="U1206">
        <v>4</v>
      </c>
      <c r="V1206">
        <v>95</v>
      </c>
      <c r="W1206">
        <v>3</v>
      </c>
      <c r="X1206">
        <v>1</v>
      </c>
      <c r="Y1206" s="1" t="s">
        <v>10</v>
      </c>
      <c r="Z1206">
        <v>3</v>
      </c>
      <c r="AA1206">
        <v>2655</v>
      </c>
      <c r="AB1206">
        <v>11740</v>
      </c>
      <c r="AC1206" s="1" t="s">
        <v>18</v>
      </c>
      <c r="AD1206">
        <v>11</v>
      </c>
      <c r="AE1206">
        <v>3</v>
      </c>
      <c r="AF1206">
        <v>3</v>
      </c>
      <c r="AG1206">
        <v>80</v>
      </c>
      <c r="AH1206">
        <v>2</v>
      </c>
      <c r="AI1206">
        <v>3</v>
      </c>
      <c r="AJ1206">
        <v>1</v>
      </c>
      <c r="AK1206" s="1" t="s">
        <v>136</v>
      </c>
    </row>
    <row r="1207" spans="1:37" x14ac:dyDescent="0.25">
      <c r="A1207">
        <v>1692</v>
      </c>
      <c r="B1207">
        <v>32</v>
      </c>
      <c r="C1207" s="1" t="s">
        <v>25</v>
      </c>
      <c r="D1207" s="1" t="s">
        <v>71</v>
      </c>
      <c r="E1207">
        <v>4</v>
      </c>
      <c r="F1207" s="1" t="s">
        <v>134</v>
      </c>
      <c r="G1207">
        <v>1</v>
      </c>
      <c r="H1207" s="1" t="s">
        <v>18</v>
      </c>
      <c r="I1207">
        <v>1</v>
      </c>
      <c r="J1207">
        <v>2</v>
      </c>
      <c r="K1207">
        <v>1</v>
      </c>
      <c r="L1207">
        <v>0</v>
      </c>
      <c r="M1207">
        <v>0</v>
      </c>
      <c r="N1207">
        <v>0</v>
      </c>
      <c r="O1207" s="1" t="s">
        <v>18</v>
      </c>
      <c r="P1207" s="1" t="s">
        <v>135</v>
      </c>
      <c r="Q1207">
        <v>1259</v>
      </c>
      <c r="R1207" s="1" t="s">
        <v>63</v>
      </c>
      <c r="S1207">
        <v>2</v>
      </c>
      <c r="T1207">
        <v>1</v>
      </c>
      <c r="U1207">
        <v>4</v>
      </c>
      <c r="V1207">
        <v>95</v>
      </c>
      <c r="W1207">
        <v>3</v>
      </c>
      <c r="X1207">
        <v>1</v>
      </c>
      <c r="Y1207" s="1" t="s">
        <v>6</v>
      </c>
      <c r="Z1207">
        <v>2</v>
      </c>
      <c r="AA1207">
        <v>1393</v>
      </c>
      <c r="AB1207">
        <v>24852</v>
      </c>
      <c r="AC1207" s="1" t="s">
        <v>19</v>
      </c>
      <c r="AD1207">
        <v>12</v>
      </c>
      <c r="AE1207">
        <v>3</v>
      </c>
      <c r="AF1207">
        <v>1</v>
      </c>
      <c r="AG1207">
        <v>80</v>
      </c>
      <c r="AH1207">
        <v>0</v>
      </c>
      <c r="AI1207">
        <v>3</v>
      </c>
      <c r="AJ1207">
        <v>1</v>
      </c>
      <c r="AK1207" s="1" t="s">
        <v>136</v>
      </c>
    </row>
    <row r="1208" spans="1:37" x14ac:dyDescent="0.25">
      <c r="A1208">
        <v>1693</v>
      </c>
      <c r="B1208">
        <v>26</v>
      </c>
      <c r="C1208" s="1" t="s">
        <v>25</v>
      </c>
      <c r="D1208" s="1" t="s">
        <v>71</v>
      </c>
      <c r="E1208">
        <v>3</v>
      </c>
      <c r="F1208" s="1" t="s">
        <v>139</v>
      </c>
      <c r="G1208">
        <v>1</v>
      </c>
      <c r="H1208" s="1" t="s">
        <v>18</v>
      </c>
      <c r="I1208">
        <v>7</v>
      </c>
      <c r="J1208">
        <v>5</v>
      </c>
      <c r="K1208">
        <v>7</v>
      </c>
      <c r="L1208">
        <v>7</v>
      </c>
      <c r="M1208">
        <v>5</v>
      </c>
      <c r="N1208">
        <v>7</v>
      </c>
      <c r="O1208" s="1" t="s">
        <v>19</v>
      </c>
      <c r="P1208" s="1" t="s">
        <v>141</v>
      </c>
      <c r="Q1208">
        <v>786</v>
      </c>
      <c r="R1208" s="1" t="s">
        <v>63</v>
      </c>
      <c r="S1208">
        <v>7</v>
      </c>
      <c r="T1208">
        <v>1</v>
      </c>
      <c r="U1208">
        <v>4</v>
      </c>
      <c r="V1208">
        <v>76</v>
      </c>
      <c r="W1208">
        <v>3</v>
      </c>
      <c r="X1208">
        <v>1</v>
      </c>
      <c r="Y1208" s="1" t="s">
        <v>6</v>
      </c>
      <c r="Z1208">
        <v>4</v>
      </c>
      <c r="AA1208">
        <v>2570</v>
      </c>
      <c r="AB1208">
        <v>11925</v>
      </c>
      <c r="AC1208" s="1" t="s">
        <v>19</v>
      </c>
      <c r="AD1208">
        <v>20</v>
      </c>
      <c r="AE1208">
        <v>4</v>
      </c>
      <c r="AF1208">
        <v>3</v>
      </c>
      <c r="AG1208">
        <v>80</v>
      </c>
      <c r="AH1208">
        <v>0</v>
      </c>
      <c r="AI1208">
        <v>3</v>
      </c>
      <c r="AJ1208">
        <v>0</v>
      </c>
      <c r="AK1208" s="1" t="s">
        <v>136</v>
      </c>
    </row>
    <row r="1209" spans="1:37" x14ac:dyDescent="0.25">
      <c r="A1209">
        <v>1694</v>
      </c>
      <c r="B1209">
        <v>55</v>
      </c>
      <c r="C1209" s="1" t="s">
        <v>25</v>
      </c>
      <c r="D1209" s="1" t="s">
        <v>69</v>
      </c>
      <c r="E1209">
        <v>3</v>
      </c>
      <c r="F1209" s="1" t="s">
        <v>143</v>
      </c>
      <c r="G1209">
        <v>5</v>
      </c>
      <c r="H1209" s="1" t="s">
        <v>18</v>
      </c>
      <c r="I1209">
        <v>8</v>
      </c>
      <c r="J1209">
        <v>1</v>
      </c>
      <c r="K1209">
        <v>4</v>
      </c>
      <c r="L1209">
        <v>2</v>
      </c>
      <c r="M1209">
        <v>1</v>
      </c>
      <c r="N1209">
        <v>2</v>
      </c>
      <c r="O1209" s="1" t="s">
        <v>19</v>
      </c>
      <c r="P1209" s="1" t="s">
        <v>135</v>
      </c>
      <c r="Q1209">
        <v>1441</v>
      </c>
      <c r="R1209" s="1" t="s">
        <v>63</v>
      </c>
      <c r="S1209">
        <v>22</v>
      </c>
      <c r="T1209">
        <v>1</v>
      </c>
      <c r="U1209">
        <v>1</v>
      </c>
      <c r="V1209">
        <v>94</v>
      </c>
      <c r="W1209">
        <v>2</v>
      </c>
      <c r="X1209">
        <v>1</v>
      </c>
      <c r="Y1209" s="1" t="s">
        <v>5</v>
      </c>
      <c r="Z1209">
        <v>2</v>
      </c>
      <c r="AA1209">
        <v>3537</v>
      </c>
      <c r="AB1209">
        <v>23737</v>
      </c>
      <c r="AC1209" s="1" t="s">
        <v>19</v>
      </c>
      <c r="AD1209">
        <v>12</v>
      </c>
      <c r="AE1209">
        <v>3</v>
      </c>
      <c r="AF1209">
        <v>4</v>
      </c>
      <c r="AG1209">
        <v>80</v>
      </c>
      <c r="AH1209">
        <v>1</v>
      </c>
      <c r="AI1209">
        <v>3</v>
      </c>
      <c r="AJ1209">
        <v>0</v>
      </c>
      <c r="AK1209" s="1" t="s">
        <v>140</v>
      </c>
    </row>
    <row r="1210" spans="1:37" x14ac:dyDescent="0.25">
      <c r="A1210">
        <v>1696</v>
      </c>
      <c r="B1210">
        <v>34</v>
      </c>
      <c r="C1210" s="1" t="s">
        <v>25</v>
      </c>
      <c r="D1210" s="1" t="s">
        <v>70</v>
      </c>
      <c r="E1210">
        <v>2</v>
      </c>
      <c r="F1210" s="1" t="s">
        <v>139</v>
      </c>
      <c r="G1210">
        <v>1</v>
      </c>
      <c r="H1210" s="1" t="s">
        <v>18</v>
      </c>
      <c r="I1210">
        <v>15</v>
      </c>
      <c r="J1210">
        <v>3</v>
      </c>
      <c r="K1210">
        <v>15</v>
      </c>
      <c r="L1210">
        <v>10</v>
      </c>
      <c r="M1210">
        <v>4</v>
      </c>
      <c r="N1210">
        <v>13</v>
      </c>
      <c r="O1210" s="1" t="s">
        <v>19</v>
      </c>
      <c r="P1210" s="1" t="s">
        <v>135</v>
      </c>
      <c r="Q1210">
        <v>1157</v>
      </c>
      <c r="R1210" s="1" t="s">
        <v>63</v>
      </c>
      <c r="S1210">
        <v>5</v>
      </c>
      <c r="T1210">
        <v>1</v>
      </c>
      <c r="U1210">
        <v>2</v>
      </c>
      <c r="V1210">
        <v>57</v>
      </c>
      <c r="W1210">
        <v>2</v>
      </c>
      <c r="X1210">
        <v>2</v>
      </c>
      <c r="Y1210" s="1" t="s">
        <v>6</v>
      </c>
      <c r="Z1210">
        <v>4</v>
      </c>
      <c r="AA1210">
        <v>3986</v>
      </c>
      <c r="AB1210">
        <v>11912</v>
      </c>
      <c r="AC1210" s="1" t="s">
        <v>19</v>
      </c>
      <c r="AD1210">
        <v>14</v>
      </c>
      <c r="AE1210">
        <v>3</v>
      </c>
      <c r="AF1210">
        <v>3</v>
      </c>
      <c r="AG1210">
        <v>80</v>
      </c>
      <c r="AH1210">
        <v>1</v>
      </c>
      <c r="AI1210">
        <v>4</v>
      </c>
      <c r="AJ1210">
        <v>0</v>
      </c>
      <c r="AK1210" s="1" t="s">
        <v>136</v>
      </c>
    </row>
    <row r="1211" spans="1:37" x14ac:dyDescent="0.25">
      <c r="A1211">
        <v>1697</v>
      </c>
      <c r="B1211">
        <v>60</v>
      </c>
      <c r="C1211" s="1" t="s">
        <v>25</v>
      </c>
      <c r="D1211" s="1" t="s">
        <v>69</v>
      </c>
      <c r="E1211">
        <v>4</v>
      </c>
      <c r="F1211" s="1" t="s">
        <v>139</v>
      </c>
      <c r="G1211">
        <v>3</v>
      </c>
      <c r="H1211" s="1" t="s">
        <v>18</v>
      </c>
      <c r="I1211">
        <v>19</v>
      </c>
      <c r="J1211">
        <v>2</v>
      </c>
      <c r="K1211">
        <v>1</v>
      </c>
      <c r="L1211">
        <v>0</v>
      </c>
      <c r="M1211">
        <v>0</v>
      </c>
      <c r="N1211">
        <v>0</v>
      </c>
      <c r="O1211" s="1" t="s">
        <v>19</v>
      </c>
      <c r="P1211" s="1" t="s">
        <v>135</v>
      </c>
      <c r="Q1211">
        <v>370</v>
      </c>
      <c r="R1211" s="1" t="s">
        <v>63</v>
      </c>
      <c r="S1211">
        <v>1</v>
      </c>
      <c r="T1211">
        <v>1</v>
      </c>
      <c r="U1211">
        <v>3</v>
      </c>
      <c r="V1211">
        <v>92</v>
      </c>
      <c r="W1211">
        <v>1</v>
      </c>
      <c r="X1211">
        <v>3</v>
      </c>
      <c r="Y1211" s="1" t="s">
        <v>8</v>
      </c>
      <c r="Z1211">
        <v>4</v>
      </c>
      <c r="AA1211">
        <v>10883</v>
      </c>
      <c r="AB1211">
        <v>20467</v>
      </c>
      <c r="AC1211" s="1" t="s">
        <v>19</v>
      </c>
      <c r="AD1211">
        <v>20</v>
      </c>
      <c r="AE1211">
        <v>4</v>
      </c>
      <c r="AF1211">
        <v>3</v>
      </c>
      <c r="AG1211">
        <v>80</v>
      </c>
      <c r="AH1211">
        <v>1</v>
      </c>
      <c r="AI1211">
        <v>4</v>
      </c>
      <c r="AJ1211">
        <v>0</v>
      </c>
      <c r="AK1211" s="1" t="s">
        <v>140</v>
      </c>
    </row>
    <row r="1212" spans="1:37" x14ac:dyDescent="0.25">
      <c r="A1212">
        <v>1698</v>
      </c>
      <c r="B1212">
        <v>33</v>
      </c>
      <c r="C1212" s="1" t="s">
        <v>25</v>
      </c>
      <c r="D1212" s="1" t="s">
        <v>70</v>
      </c>
      <c r="E1212">
        <v>3</v>
      </c>
      <c r="F1212" s="1" t="s">
        <v>139</v>
      </c>
      <c r="G1212">
        <v>1</v>
      </c>
      <c r="H1212" s="1" t="s">
        <v>18</v>
      </c>
      <c r="I1212">
        <v>14</v>
      </c>
      <c r="J1212">
        <v>6</v>
      </c>
      <c r="K1212">
        <v>14</v>
      </c>
      <c r="L1212">
        <v>11</v>
      </c>
      <c r="M1212">
        <v>2</v>
      </c>
      <c r="N1212">
        <v>13</v>
      </c>
      <c r="O1212" s="1" t="s">
        <v>19</v>
      </c>
      <c r="P1212" s="1" t="s">
        <v>135</v>
      </c>
      <c r="Q1212">
        <v>267</v>
      </c>
      <c r="R1212" s="1" t="s">
        <v>63</v>
      </c>
      <c r="S1212">
        <v>21</v>
      </c>
      <c r="T1212">
        <v>1</v>
      </c>
      <c r="U1212">
        <v>2</v>
      </c>
      <c r="V1212">
        <v>79</v>
      </c>
      <c r="W1212">
        <v>4</v>
      </c>
      <c r="X1212">
        <v>1</v>
      </c>
      <c r="Y1212" s="1" t="s">
        <v>6</v>
      </c>
      <c r="Z1212">
        <v>2</v>
      </c>
      <c r="AA1212">
        <v>2028</v>
      </c>
      <c r="AB1212">
        <v>13637</v>
      </c>
      <c r="AC1212" s="1" t="s">
        <v>19</v>
      </c>
      <c r="AD1212">
        <v>18</v>
      </c>
      <c r="AE1212">
        <v>3</v>
      </c>
      <c r="AF1212">
        <v>4</v>
      </c>
      <c r="AG1212">
        <v>80</v>
      </c>
      <c r="AH1212">
        <v>3</v>
      </c>
      <c r="AI1212">
        <v>3</v>
      </c>
      <c r="AJ1212">
        <v>0</v>
      </c>
      <c r="AK1212" s="1" t="s">
        <v>136</v>
      </c>
    </row>
    <row r="1213" spans="1:37" x14ac:dyDescent="0.25">
      <c r="A1213">
        <v>1700</v>
      </c>
      <c r="B1213">
        <v>37</v>
      </c>
      <c r="C1213" s="1" t="s">
        <v>25</v>
      </c>
      <c r="D1213" s="1" t="s">
        <v>69</v>
      </c>
      <c r="E1213">
        <v>4</v>
      </c>
      <c r="F1213" s="1" t="s">
        <v>139</v>
      </c>
      <c r="G1213">
        <v>1</v>
      </c>
      <c r="H1213" s="1" t="s">
        <v>18</v>
      </c>
      <c r="I1213">
        <v>6</v>
      </c>
      <c r="J1213">
        <v>2</v>
      </c>
      <c r="K1213">
        <v>6</v>
      </c>
      <c r="L1213">
        <v>3</v>
      </c>
      <c r="M1213">
        <v>1</v>
      </c>
      <c r="N1213">
        <v>3</v>
      </c>
      <c r="O1213" s="1" t="s">
        <v>19</v>
      </c>
      <c r="P1213" s="1" t="s">
        <v>137</v>
      </c>
      <c r="Q1213">
        <v>1278</v>
      </c>
      <c r="R1213" s="1" t="s">
        <v>64</v>
      </c>
      <c r="S1213">
        <v>1</v>
      </c>
      <c r="T1213">
        <v>1</v>
      </c>
      <c r="U1213">
        <v>3</v>
      </c>
      <c r="V1213">
        <v>31</v>
      </c>
      <c r="W1213">
        <v>1</v>
      </c>
      <c r="X1213">
        <v>2</v>
      </c>
      <c r="Y1213" s="1" t="s">
        <v>4</v>
      </c>
      <c r="Z1213">
        <v>4</v>
      </c>
      <c r="AA1213">
        <v>9525</v>
      </c>
      <c r="AB1213">
        <v>7677</v>
      </c>
      <c r="AC1213" s="1" t="s">
        <v>19</v>
      </c>
      <c r="AD1213">
        <v>14</v>
      </c>
      <c r="AE1213">
        <v>3</v>
      </c>
      <c r="AF1213">
        <v>3</v>
      </c>
      <c r="AG1213">
        <v>80</v>
      </c>
      <c r="AH1213">
        <v>2</v>
      </c>
      <c r="AI1213">
        <v>2</v>
      </c>
      <c r="AJ1213">
        <v>0</v>
      </c>
      <c r="AK1213" s="1" t="s">
        <v>136</v>
      </c>
    </row>
    <row r="1214" spans="1:37" x14ac:dyDescent="0.25">
      <c r="A1214">
        <v>1701</v>
      </c>
      <c r="B1214">
        <v>34</v>
      </c>
      <c r="C1214" s="1" t="s">
        <v>24</v>
      </c>
      <c r="D1214" s="1" t="s">
        <v>70</v>
      </c>
      <c r="E1214">
        <v>3</v>
      </c>
      <c r="F1214" s="1" t="s">
        <v>134</v>
      </c>
      <c r="G1214">
        <v>1</v>
      </c>
      <c r="H1214" s="1" t="s">
        <v>18</v>
      </c>
      <c r="I1214">
        <v>10</v>
      </c>
      <c r="J1214">
        <v>3</v>
      </c>
      <c r="K1214">
        <v>10</v>
      </c>
      <c r="L1214">
        <v>9</v>
      </c>
      <c r="M1214">
        <v>8</v>
      </c>
      <c r="N1214">
        <v>7</v>
      </c>
      <c r="O1214" s="1" t="s">
        <v>19</v>
      </c>
      <c r="P1214" s="1" t="s">
        <v>135</v>
      </c>
      <c r="Q1214">
        <v>678</v>
      </c>
      <c r="R1214" s="1" t="s">
        <v>63</v>
      </c>
      <c r="S1214">
        <v>19</v>
      </c>
      <c r="T1214">
        <v>1</v>
      </c>
      <c r="U1214">
        <v>2</v>
      </c>
      <c r="V1214">
        <v>35</v>
      </c>
      <c r="W1214">
        <v>2</v>
      </c>
      <c r="X1214">
        <v>1</v>
      </c>
      <c r="Y1214" s="1" t="s">
        <v>5</v>
      </c>
      <c r="Z1214">
        <v>4</v>
      </c>
      <c r="AA1214">
        <v>2929</v>
      </c>
      <c r="AB1214">
        <v>20338</v>
      </c>
      <c r="AC1214" s="1" t="s">
        <v>19</v>
      </c>
      <c r="AD1214">
        <v>12</v>
      </c>
      <c r="AE1214">
        <v>3</v>
      </c>
      <c r="AF1214">
        <v>2</v>
      </c>
      <c r="AG1214">
        <v>80</v>
      </c>
      <c r="AH1214">
        <v>0</v>
      </c>
      <c r="AI1214">
        <v>3</v>
      </c>
      <c r="AJ1214">
        <v>0</v>
      </c>
      <c r="AK1214" s="1" t="s">
        <v>136</v>
      </c>
    </row>
    <row r="1215" spans="1:37" x14ac:dyDescent="0.25">
      <c r="A1215">
        <v>1702</v>
      </c>
      <c r="B1215">
        <v>23</v>
      </c>
      <c r="C1215" s="1" t="s">
        <v>25</v>
      </c>
      <c r="D1215" s="1" t="s">
        <v>69</v>
      </c>
      <c r="E1215">
        <v>3</v>
      </c>
      <c r="F1215" s="1" t="s">
        <v>134</v>
      </c>
      <c r="G1215">
        <v>1</v>
      </c>
      <c r="H1215" s="1" t="s">
        <v>18</v>
      </c>
      <c r="I1215">
        <v>3</v>
      </c>
      <c r="J1215">
        <v>2</v>
      </c>
      <c r="K1215">
        <v>3</v>
      </c>
      <c r="L1215">
        <v>2</v>
      </c>
      <c r="M1215">
        <v>0</v>
      </c>
      <c r="N1215">
        <v>2</v>
      </c>
      <c r="O1215" s="1" t="s">
        <v>18</v>
      </c>
      <c r="P1215" s="1" t="s">
        <v>135</v>
      </c>
      <c r="Q1215">
        <v>427</v>
      </c>
      <c r="R1215" s="1" t="s">
        <v>64</v>
      </c>
      <c r="S1215">
        <v>7</v>
      </c>
      <c r="T1215">
        <v>1</v>
      </c>
      <c r="U1215">
        <v>3</v>
      </c>
      <c r="V1215">
        <v>99</v>
      </c>
      <c r="W1215">
        <v>3</v>
      </c>
      <c r="X1215">
        <v>1</v>
      </c>
      <c r="Y1215" s="1" t="s">
        <v>10</v>
      </c>
      <c r="Z1215">
        <v>4</v>
      </c>
      <c r="AA1215">
        <v>2275</v>
      </c>
      <c r="AB1215">
        <v>25103</v>
      </c>
      <c r="AC1215" s="1" t="s">
        <v>18</v>
      </c>
      <c r="AD1215">
        <v>21</v>
      </c>
      <c r="AE1215">
        <v>4</v>
      </c>
      <c r="AF1215">
        <v>2</v>
      </c>
      <c r="AG1215">
        <v>80</v>
      </c>
      <c r="AH1215">
        <v>1</v>
      </c>
      <c r="AI1215">
        <v>3</v>
      </c>
      <c r="AJ1215">
        <v>1</v>
      </c>
      <c r="AK1215" s="1" t="s">
        <v>136</v>
      </c>
    </row>
    <row r="1216" spans="1:37" x14ac:dyDescent="0.25">
      <c r="A1216">
        <v>1703</v>
      </c>
      <c r="B1216">
        <v>44</v>
      </c>
      <c r="C1216" s="1" t="s">
        <v>24</v>
      </c>
      <c r="D1216" s="1" t="s">
        <v>70</v>
      </c>
      <c r="E1216">
        <v>3</v>
      </c>
      <c r="F1216" s="1" t="s">
        <v>134</v>
      </c>
      <c r="G1216">
        <v>1</v>
      </c>
      <c r="H1216" s="1" t="s">
        <v>18</v>
      </c>
      <c r="I1216">
        <v>9</v>
      </c>
      <c r="J1216">
        <v>2</v>
      </c>
      <c r="K1216">
        <v>8</v>
      </c>
      <c r="L1216">
        <v>7</v>
      </c>
      <c r="M1216">
        <v>6</v>
      </c>
      <c r="N1216">
        <v>7</v>
      </c>
      <c r="O1216" s="1" t="s">
        <v>19</v>
      </c>
      <c r="P1216" s="1" t="s">
        <v>135</v>
      </c>
      <c r="Q1216">
        <v>921</v>
      </c>
      <c r="R1216" s="1" t="s">
        <v>63</v>
      </c>
      <c r="S1216">
        <v>2</v>
      </c>
      <c r="T1216">
        <v>1</v>
      </c>
      <c r="U1216">
        <v>3</v>
      </c>
      <c r="V1216">
        <v>96</v>
      </c>
      <c r="W1216">
        <v>4</v>
      </c>
      <c r="X1216">
        <v>3</v>
      </c>
      <c r="Y1216" s="1" t="s">
        <v>8</v>
      </c>
      <c r="Z1216">
        <v>4</v>
      </c>
      <c r="AA1216">
        <v>7879</v>
      </c>
      <c r="AB1216">
        <v>14810</v>
      </c>
      <c r="AC1216" s="1" t="s">
        <v>18</v>
      </c>
      <c r="AD1216">
        <v>19</v>
      </c>
      <c r="AE1216">
        <v>3</v>
      </c>
      <c r="AF1216">
        <v>2</v>
      </c>
      <c r="AG1216">
        <v>80</v>
      </c>
      <c r="AH1216">
        <v>1</v>
      </c>
      <c r="AI1216">
        <v>3</v>
      </c>
      <c r="AJ1216">
        <v>0</v>
      </c>
      <c r="AK1216" s="1" t="s">
        <v>136</v>
      </c>
    </row>
    <row r="1217" spans="1:37" x14ac:dyDescent="0.25">
      <c r="A1217">
        <v>1704</v>
      </c>
      <c r="B1217">
        <v>35</v>
      </c>
      <c r="C1217" s="1" t="s">
        <v>25</v>
      </c>
      <c r="D1217" s="1" t="s">
        <v>71</v>
      </c>
      <c r="E1217">
        <v>4</v>
      </c>
      <c r="F1217" s="1" t="s">
        <v>139</v>
      </c>
      <c r="G1217">
        <v>0</v>
      </c>
      <c r="H1217" s="1" t="s">
        <v>18</v>
      </c>
      <c r="I1217">
        <v>6</v>
      </c>
      <c r="J1217">
        <v>2</v>
      </c>
      <c r="K1217">
        <v>5</v>
      </c>
      <c r="L1217">
        <v>4</v>
      </c>
      <c r="M1217">
        <v>1</v>
      </c>
      <c r="N1217">
        <v>4</v>
      </c>
      <c r="O1217" s="1" t="s">
        <v>19</v>
      </c>
      <c r="P1217" s="1" t="s">
        <v>137</v>
      </c>
      <c r="Q1217">
        <v>146</v>
      </c>
      <c r="R1217" s="1" t="s">
        <v>63</v>
      </c>
      <c r="S1217">
        <v>2</v>
      </c>
      <c r="T1217">
        <v>1</v>
      </c>
      <c r="U1217">
        <v>1</v>
      </c>
      <c r="V1217">
        <v>79</v>
      </c>
      <c r="W1217">
        <v>2</v>
      </c>
      <c r="X1217">
        <v>1</v>
      </c>
      <c r="Y1217" s="1" t="s">
        <v>5</v>
      </c>
      <c r="Z1217">
        <v>4</v>
      </c>
      <c r="AA1217">
        <v>4930</v>
      </c>
      <c r="AB1217">
        <v>13970</v>
      </c>
      <c r="AC1217" s="1" t="s">
        <v>18</v>
      </c>
      <c r="AD1217">
        <v>14</v>
      </c>
      <c r="AE1217">
        <v>3</v>
      </c>
      <c r="AF1217">
        <v>3</v>
      </c>
      <c r="AG1217">
        <v>80</v>
      </c>
      <c r="AH1217">
        <v>0</v>
      </c>
      <c r="AI1217">
        <v>4</v>
      </c>
      <c r="AJ1217">
        <v>0</v>
      </c>
      <c r="AK1217" s="1" t="s">
        <v>136</v>
      </c>
    </row>
    <row r="1218" spans="1:37" x14ac:dyDescent="0.25">
      <c r="A1218">
        <v>1706</v>
      </c>
      <c r="B1218">
        <v>43</v>
      </c>
      <c r="C1218" s="1" t="s">
        <v>25</v>
      </c>
      <c r="D1218" s="1" t="s">
        <v>70</v>
      </c>
      <c r="E1218">
        <v>3</v>
      </c>
      <c r="F1218" s="1" t="s">
        <v>139</v>
      </c>
      <c r="G1218">
        <v>1</v>
      </c>
      <c r="H1218" s="1" t="s">
        <v>18</v>
      </c>
      <c r="I1218">
        <v>10</v>
      </c>
      <c r="J1218">
        <v>3</v>
      </c>
      <c r="K1218">
        <v>10</v>
      </c>
      <c r="L1218">
        <v>9</v>
      </c>
      <c r="M1218">
        <v>8</v>
      </c>
      <c r="N1218">
        <v>8</v>
      </c>
      <c r="O1218" s="1" t="s">
        <v>19</v>
      </c>
      <c r="P1218" s="1" t="s">
        <v>135</v>
      </c>
      <c r="Q1218">
        <v>1179</v>
      </c>
      <c r="R1218" s="1" t="s">
        <v>64</v>
      </c>
      <c r="S1218">
        <v>2</v>
      </c>
      <c r="T1218">
        <v>1</v>
      </c>
      <c r="U1218">
        <v>4</v>
      </c>
      <c r="V1218">
        <v>73</v>
      </c>
      <c r="W1218">
        <v>3</v>
      </c>
      <c r="X1218">
        <v>2</v>
      </c>
      <c r="Y1218" s="1" t="s">
        <v>4</v>
      </c>
      <c r="Z1218">
        <v>4</v>
      </c>
      <c r="AA1218">
        <v>7847</v>
      </c>
      <c r="AB1218">
        <v>6069</v>
      </c>
      <c r="AC1218" s="1" t="s">
        <v>18</v>
      </c>
      <c r="AD1218">
        <v>17</v>
      </c>
      <c r="AE1218">
        <v>3</v>
      </c>
      <c r="AF1218">
        <v>1</v>
      </c>
      <c r="AG1218">
        <v>80</v>
      </c>
      <c r="AH1218">
        <v>1</v>
      </c>
      <c r="AI1218">
        <v>3</v>
      </c>
      <c r="AJ1218">
        <v>0</v>
      </c>
      <c r="AK1218" s="1" t="s">
        <v>136</v>
      </c>
    </row>
    <row r="1219" spans="1:37" x14ac:dyDescent="0.25">
      <c r="A1219">
        <v>1707</v>
      </c>
      <c r="B1219">
        <v>24</v>
      </c>
      <c r="C1219" s="1" t="s">
        <v>25</v>
      </c>
      <c r="D1219" s="1" t="s">
        <v>70</v>
      </c>
      <c r="E1219">
        <v>3</v>
      </c>
      <c r="F1219" s="1" t="s">
        <v>139</v>
      </c>
      <c r="G1219">
        <v>1</v>
      </c>
      <c r="H1219" s="1" t="s">
        <v>18</v>
      </c>
      <c r="I1219">
        <v>5</v>
      </c>
      <c r="J1219">
        <v>1</v>
      </c>
      <c r="K1219">
        <v>5</v>
      </c>
      <c r="L1219">
        <v>3</v>
      </c>
      <c r="M1219">
        <v>0</v>
      </c>
      <c r="N1219">
        <v>4</v>
      </c>
      <c r="O1219" s="1" t="s">
        <v>19</v>
      </c>
      <c r="P1219" s="1" t="s">
        <v>135</v>
      </c>
      <c r="Q1219">
        <v>581</v>
      </c>
      <c r="R1219" s="1" t="s">
        <v>63</v>
      </c>
      <c r="S1219">
        <v>9</v>
      </c>
      <c r="T1219">
        <v>1</v>
      </c>
      <c r="U1219">
        <v>3</v>
      </c>
      <c r="V1219">
        <v>62</v>
      </c>
      <c r="W1219">
        <v>4</v>
      </c>
      <c r="X1219">
        <v>1</v>
      </c>
      <c r="Y1219" s="1" t="s">
        <v>5</v>
      </c>
      <c r="Z1219">
        <v>3</v>
      </c>
      <c r="AA1219">
        <v>4401</v>
      </c>
      <c r="AB1219">
        <v>17616</v>
      </c>
      <c r="AC1219" s="1" t="s">
        <v>19</v>
      </c>
      <c r="AD1219">
        <v>16</v>
      </c>
      <c r="AE1219">
        <v>3</v>
      </c>
      <c r="AF1219">
        <v>4</v>
      </c>
      <c r="AG1219">
        <v>80</v>
      </c>
      <c r="AH1219">
        <v>1</v>
      </c>
      <c r="AI1219">
        <v>3</v>
      </c>
      <c r="AJ1219">
        <v>0</v>
      </c>
      <c r="AK1219" s="1" t="s">
        <v>136</v>
      </c>
    </row>
    <row r="1220" spans="1:37" x14ac:dyDescent="0.25">
      <c r="A1220">
        <v>1708</v>
      </c>
      <c r="B1220">
        <v>41</v>
      </c>
      <c r="C1220" s="1" t="s">
        <v>25</v>
      </c>
      <c r="D1220" s="1" t="s">
        <v>71</v>
      </c>
      <c r="E1220">
        <v>3</v>
      </c>
      <c r="F1220" s="1" t="s">
        <v>142</v>
      </c>
      <c r="G1220">
        <v>1</v>
      </c>
      <c r="H1220" s="1" t="s">
        <v>18</v>
      </c>
      <c r="I1220">
        <v>10</v>
      </c>
      <c r="J1220">
        <v>3</v>
      </c>
      <c r="K1220">
        <v>10</v>
      </c>
      <c r="L1220">
        <v>8</v>
      </c>
      <c r="M1220">
        <v>8</v>
      </c>
      <c r="N1220">
        <v>7</v>
      </c>
      <c r="O1220" s="1" t="s">
        <v>19</v>
      </c>
      <c r="P1220" s="1" t="s">
        <v>135</v>
      </c>
      <c r="Q1220">
        <v>918</v>
      </c>
      <c r="R1220" s="1" t="s">
        <v>64</v>
      </c>
      <c r="S1220">
        <v>6</v>
      </c>
      <c r="T1220">
        <v>1</v>
      </c>
      <c r="U1220">
        <v>4</v>
      </c>
      <c r="V1220">
        <v>35</v>
      </c>
      <c r="W1220">
        <v>3</v>
      </c>
      <c r="X1220">
        <v>3</v>
      </c>
      <c r="Y1220" s="1" t="s">
        <v>4</v>
      </c>
      <c r="Z1220">
        <v>3</v>
      </c>
      <c r="AA1220">
        <v>9241</v>
      </c>
      <c r="AB1220">
        <v>15869</v>
      </c>
      <c r="AC1220" s="1" t="s">
        <v>19</v>
      </c>
      <c r="AD1220">
        <v>12</v>
      </c>
      <c r="AE1220">
        <v>3</v>
      </c>
      <c r="AF1220">
        <v>2</v>
      </c>
      <c r="AG1220">
        <v>80</v>
      </c>
      <c r="AH1220">
        <v>0</v>
      </c>
      <c r="AI1220">
        <v>3</v>
      </c>
      <c r="AJ1220">
        <v>0</v>
      </c>
      <c r="AK1220" s="1" t="s">
        <v>136</v>
      </c>
    </row>
    <row r="1221" spans="1:37" x14ac:dyDescent="0.25">
      <c r="A1221">
        <v>1709</v>
      </c>
      <c r="B1221">
        <v>29</v>
      </c>
      <c r="C1221" s="1" t="s">
        <v>24</v>
      </c>
      <c r="D1221" s="1" t="s">
        <v>70</v>
      </c>
      <c r="E1221">
        <v>4</v>
      </c>
      <c r="F1221" s="1" t="s">
        <v>139</v>
      </c>
      <c r="G1221">
        <v>9</v>
      </c>
      <c r="H1221" s="1" t="s">
        <v>18</v>
      </c>
      <c r="I1221">
        <v>9</v>
      </c>
      <c r="J1221">
        <v>2</v>
      </c>
      <c r="K1221">
        <v>5</v>
      </c>
      <c r="L1221">
        <v>3</v>
      </c>
      <c r="M1221">
        <v>1</v>
      </c>
      <c r="N1221">
        <v>2</v>
      </c>
      <c r="O1221" s="1" t="s">
        <v>19</v>
      </c>
      <c r="P1221" s="1" t="s">
        <v>135</v>
      </c>
      <c r="Q1221">
        <v>1082</v>
      </c>
      <c r="R1221" s="1" t="s">
        <v>63</v>
      </c>
      <c r="S1221">
        <v>9</v>
      </c>
      <c r="T1221">
        <v>1</v>
      </c>
      <c r="U1221">
        <v>4</v>
      </c>
      <c r="V1221">
        <v>43</v>
      </c>
      <c r="W1221">
        <v>3</v>
      </c>
      <c r="X1221">
        <v>1</v>
      </c>
      <c r="Y1221" s="1" t="s">
        <v>6</v>
      </c>
      <c r="Z1221">
        <v>3</v>
      </c>
      <c r="AA1221">
        <v>2974</v>
      </c>
      <c r="AB1221">
        <v>25412</v>
      </c>
      <c r="AC1221" s="1" t="s">
        <v>19</v>
      </c>
      <c r="AD1221">
        <v>17</v>
      </c>
      <c r="AE1221">
        <v>3</v>
      </c>
      <c r="AF1221">
        <v>3</v>
      </c>
      <c r="AG1221">
        <v>80</v>
      </c>
      <c r="AH1221">
        <v>1</v>
      </c>
      <c r="AI1221">
        <v>3</v>
      </c>
      <c r="AJ1221">
        <v>0</v>
      </c>
      <c r="AK1221" s="1" t="s">
        <v>136</v>
      </c>
    </row>
    <row r="1222" spans="1:37" x14ac:dyDescent="0.25">
      <c r="A1222">
        <v>1710</v>
      </c>
      <c r="B1222">
        <v>36</v>
      </c>
      <c r="C1222" s="1" t="s">
        <v>24</v>
      </c>
      <c r="D1222" s="1" t="s">
        <v>71</v>
      </c>
      <c r="E1222">
        <v>4</v>
      </c>
      <c r="F1222" s="1" t="s">
        <v>134</v>
      </c>
      <c r="G1222">
        <v>3</v>
      </c>
      <c r="H1222" s="1" t="s">
        <v>18</v>
      </c>
      <c r="I1222">
        <v>17</v>
      </c>
      <c r="J1222">
        <v>2</v>
      </c>
      <c r="K1222">
        <v>13</v>
      </c>
      <c r="L1222">
        <v>7</v>
      </c>
      <c r="M1222">
        <v>6</v>
      </c>
      <c r="N1222">
        <v>7</v>
      </c>
      <c r="O1222" s="1" t="s">
        <v>19</v>
      </c>
      <c r="P1222" s="1" t="s">
        <v>135</v>
      </c>
      <c r="Q1222">
        <v>530</v>
      </c>
      <c r="R1222" s="1" t="s">
        <v>64</v>
      </c>
      <c r="S1222">
        <v>2</v>
      </c>
      <c r="T1222">
        <v>1</v>
      </c>
      <c r="U1222">
        <v>3</v>
      </c>
      <c r="V1222">
        <v>51</v>
      </c>
      <c r="W1222">
        <v>3</v>
      </c>
      <c r="X1222">
        <v>2</v>
      </c>
      <c r="Y1222" s="1" t="s">
        <v>10</v>
      </c>
      <c r="Z1222">
        <v>4</v>
      </c>
      <c r="AA1222">
        <v>4502</v>
      </c>
      <c r="AB1222">
        <v>7439</v>
      </c>
      <c r="AC1222" s="1" t="s">
        <v>19</v>
      </c>
      <c r="AD1222">
        <v>15</v>
      </c>
      <c r="AE1222">
        <v>3</v>
      </c>
      <c r="AF1222">
        <v>3</v>
      </c>
      <c r="AG1222">
        <v>80</v>
      </c>
      <c r="AH1222">
        <v>0</v>
      </c>
      <c r="AI1222">
        <v>2</v>
      </c>
      <c r="AJ1222">
        <v>0</v>
      </c>
      <c r="AK1222" s="1" t="s">
        <v>136</v>
      </c>
    </row>
    <row r="1223" spans="1:37" x14ac:dyDescent="0.25">
      <c r="A1223">
        <v>1712</v>
      </c>
      <c r="B1223">
        <v>45</v>
      </c>
      <c r="C1223" s="1" t="s">
        <v>25</v>
      </c>
      <c r="D1223" s="1" t="s">
        <v>70</v>
      </c>
      <c r="E1223">
        <v>1</v>
      </c>
      <c r="F1223" s="1" t="s">
        <v>134</v>
      </c>
      <c r="G1223">
        <v>3</v>
      </c>
      <c r="H1223" s="1" t="s">
        <v>18</v>
      </c>
      <c r="I1223">
        <v>25</v>
      </c>
      <c r="J1223">
        <v>3</v>
      </c>
      <c r="K1223">
        <v>23</v>
      </c>
      <c r="L1223">
        <v>15</v>
      </c>
      <c r="M1223">
        <v>14</v>
      </c>
      <c r="N1223">
        <v>4</v>
      </c>
      <c r="O1223" s="1" t="s">
        <v>19</v>
      </c>
      <c r="P1223" s="1" t="s">
        <v>141</v>
      </c>
      <c r="Q1223">
        <v>1238</v>
      </c>
      <c r="R1223" s="1" t="s">
        <v>63</v>
      </c>
      <c r="S1223">
        <v>1</v>
      </c>
      <c r="T1223">
        <v>1</v>
      </c>
      <c r="U1223">
        <v>3</v>
      </c>
      <c r="V1223">
        <v>74</v>
      </c>
      <c r="W1223">
        <v>2</v>
      </c>
      <c r="X1223">
        <v>3</v>
      </c>
      <c r="Y1223" s="1" t="s">
        <v>8</v>
      </c>
      <c r="Z1223">
        <v>3</v>
      </c>
      <c r="AA1223">
        <v>10748</v>
      </c>
      <c r="AB1223">
        <v>3395</v>
      </c>
      <c r="AC1223" s="1" t="s">
        <v>19</v>
      </c>
      <c r="AD1223">
        <v>23</v>
      </c>
      <c r="AE1223">
        <v>4</v>
      </c>
      <c r="AF1223">
        <v>4</v>
      </c>
      <c r="AG1223">
        <v>80</v>
      </c>
      <c r="AH1223">
        <v>1</v>
      </c>
      <c r="AI1223">
        <v>2</v>
      </c>
      <c r="AJ1223">
        <v>0</v>
      </c>
      <c r="AK1223" s="1" t="s">
        <v>136</v>
      </c>
    </row>
    <row r="1224" spans="1:37" x14ac:dyDescent="0.25">
      <c r="A1224">
        <v>1714</v>
      </c>
      <c r="B1224">
        <v>24</v>
      </c>
      <c r="C1224" s="1" t="s">
        <v>25</v>
      </c>
      <c r="D1224" s="1" t="s">
        <v>70</v>
      </c>
      <c r="E1224">
        <v>1</v>
      </c>
      <c r="F1224" s="1" t="s">
        <v>12</v>
      </c>
      <c r="G1224">
        <v>1</v>
      </c>
      <c r="H1224" s="1" t="s">
        <v>18</v>
      </c>
      <c r="I1224">
        <v>1</v>
      </c>
      <c r="J1224">
        <v>2</v>
      </c>
      <c r="K1224">
        <v>1</v>
      </c>
      <c r="L1224">
        <v>0</v>
      </c>
      <c r="M1224">
        <v>0</v>
      </c>
      <c r="N1224">
        <v>0</v>
      </c>
      <c r="O1224" s="1" t="s">
        <v>18</v>
      </c>
      <c r="P1224" s="1" t="s">
        <v>135</v>
      </c>
      <c r="Q1224">
        <v>240</v>
      </c>
      <c r="R1224" s="1" t="s">
        <v>12</v>
      </c>
      <c r="S1224">
        <v>22</v>
      </c>
      <c r="T1224">
        <v>1</v>
      </c>
      <c r="U1224">
        <v>4</v>
      </c>
      <c r="V1224">
        <v>58</v>
      </c>
      <c r="W1224">
        <v>1</v>
      </c>
      <c r="X1224">
        <v>1</v>
      </c>
      <c r="Y1224" s="1" t="s">
        <v>12</v>
      </c>
      <c r="Z1224">
        <v>3</v>
      </c>
      <c r="AA1224">
        <v>1555</v>
      </c>
      <c r="AB1224">
        <v>11585</v>
      </c>
      <c r="AC1224" s="1" t="s">
        <v>19</v>
      </c>
      <c r="AD1224">
        <v>11</v>
      </c>
      <c r="AE1224">
        <v>3</v>
      </c>
      <c r="AF1224">
        <v>3</v>
      </c>
      <c r="AG1224">
        <v>80</v>
      </c>
      <c r="AH1224">
        <v>1</v>
      </c>
      <c r="AI1224">
        <v>3</v>
      </c>
      <c r="AJ1224">
        <v>1</v>
      </c>
      <c r="AK1224" s="1" t="s">
        <v>136</v>
      </c>
    </row>
    <row r="1225" spans="1:37" x14ac:dyDescent="0.25">
      <c r="A1225">
        <v>1716</v>
      </c>
      <c r="B1225">
        <v>47</v>
      </c>
      <c r="C1225" s="1" t="s">
        <v>25</v>
      </c>
      <c r="D1225" s="1" t="s">
        <v>70</v>
      </c>
      <c r="E1225">
        <v>3</v>
      </c>
      <c r="F1225" s="1" t="s">
        <v>134</v>
      </c>
      <c r="G1225">
        <v>7</v>
      </c>
      <c r="H1225" s="1" t="s">
        <v>18</v>
      </c>
      <c r="I1225">
        <v>25</v>
      </c>
      <c r="J1225">
        <v>3</v>
      </c>
      <c r="K1225">
        <v>23</v>
      </c>
      <c r="L1225">
        <v>5</v>
      </c>
      <c r="M1225">
        <v>14</v>
      </c>
      <c r="N1225">
        <v>10</v>
      </c>
      <c r="O1225" s="1" t="s">
        <v>18</v>
      </c>
      <c r="P1225" s="1" t="s">
        <v>137</v>
      </c>
      <c r="Q1225">
        <v>1093</v>
      </c>
      <c r="R1225" s="1" t="s">
        <v>64</v>
      </c>
      <c r="S1225">
        <v>9</v>
      </c>
      <c r="T1225">
        <v>1</v>
      </c>
      <c r="U1225">
        <v>3</v>
      </c>
      <c r="V1225">
        <v>82</v>
      </c>
      <c r="W1225">
        <v>1</v>
      </c>
      <c r="X1225">
        <v>4</v>
      </c>
      <c r="Y1225" s="1" t="s">
        <v>4</v>
      </c>
      <c r="Z1225">
        <v>3</v>
      </c>
      <c r="AA1225">
        <v>12936</v>
      </c>
      <c r="AB1225">
        <v>24164</v>
      </c>
      <c r="AC1225" s="1" t="s">
        <v>19</v>
      </c>
      <c r="AD1225">
        <v>11</v>
      </c>
      <c r="AE1225">
        <v>3</v>
      </c>
      <c r="AF1225">
        <v>3</v>
      </c>
      <c r="AG1225">
        <v>80</v>
      </c>
      <c r="AH1225">
        <v>0</v>
      </c>
      <c r="AI1225">
        <v>1</v>
      </c>
      <c r="AJ1225">
        <v>1</v>
      </c>
      <c r="AK1225" s="1" t="s">
        <v>136</v>
      </c>
    </row>
    <row r="1226" spans="1:37" x14ac:dyDescent="0.25">
      <c r="A1226">
        <v>1718</v>
      </c>
      <c r="B1226">
        <v>26</v>
      </c>
      <c r="C1226" s="1" t="s">
        <v>25</v>
      </c>
      <c r="D1226" s="1" t="s">
        <v>70</v>
      </c>
      <c r="E1226">
        <v>4</v>
      </c>
      <c r="F1226" s="1" t="s">
        <v>139</v>
      </c>
      <c r="G1226">
        <v>1</v>
      </c>
      <c r="H1226" s="1" t="s">
        <v>18</v>
      </c>
      <c r="I1226">
        <v>3</v>
      </c>
      <c r="J1226">
        <v>3</v>
      </c>
      <c r="K1226">
        <v>3</v>
      </c>
      <c r="L1226">
        <v>2</v>
      </c>
      <c r="M1226">
        <v>0</v>
      </c>
      <c r="N1226">
        <v>2</v>
      </c>
      <c r="O1226" s="1" t="s">
        <v>19</v>
      </c>
      <c r="P1226" s="1" t="s">
        <v>135</v>
      </c>
      <c r="Q1226">
        <v>390</v>
      </c>
      <c r="R1226" s="1" t="s">
        <v>63</v>
      </c>
      <c r="S1226">
        <v>17</v>
      </c>
      <c r="T1226">
        <v>1</v>
      </c>
      <c r="U1226">
        <v>4</v>
      </c>
      <c r="V1226">
        <v>62</v>
      </c>
      <c r="W1226">
        <v>1</v>
      </c>
      <c r="X1226">
        <v>1</v>
      </c>
      <c r="Y1226" s="1" t="s">
        <v>6</v>
      </c>
      <c r="Z1226">
        <v>3</v>
      </c>
      <c r="AA1226">
        <v>2305</v>
      </c>
      <c r="AB1226">
        <v>6217</v>
      </c>
      <c r="AC1226" s="1" t="s">
        <v>19</v>
      </c>
      <c r="AD1226">
        <v>15</v>
      </c>
      <c r="AE1226">
        <v>3</v>
      </c>
      <c r="AF1226">
        <v>3</v>
      </c>
      <c r="AG1226">
        <v>80</v>
      </c>
      <c r="AH1226">
        <v>3</v>
      </c>
      <c r="AI1226">
        <v>4</v>
      </c>
      <c r="AJ1226">
        <v>0</v>
      </c>
      <c r="AK1226" s="1" t="s">
        <v>136</v>
      </c>
    </row>
    <row r="1227" spans="1:37" x14ac:dyDescent="0.25">
      <c r="A1227">
        <v>1719</v>
      </c>
      <c r="B1227">
        <v>45</v>
      </c>
      <c r="C1227" s="1" t="s">
        <v>24</v>
      </c>
      <c r="D1227" s="1" t="s">
        <v>71</v>
      </c>
      <c r="E1227">
        <v>2</v>
      </c>
      <c r="F1227" s="1" t="s">
        <v>143</v>
      </c>
      <c r="G1227">
        <v>1</v>
      </c>
      <c r="H1227" s="1" t="s">
        <v>18</v>
      </c>
      <c r="I1227">
        <v>21</v>
      </c>
      <c r="J1227">
        <v>2</v>
      </c>
      <c r="K1227">
        <v>21</v>
      </c>
      <c r="L1227">
        <v>6</v>
      </c>
      <c r="M1227">
        <v>8</v>
      </c>
      <c r="N1227">
        <v>6</v>
      </c>
      <c r="O1227" s="1" t="s">
        <v>19</v>
      </c>
      <c r="P1227" s="1" t="s">
        <v>135</v>
      </c>
      <c r="Q1227">
        <v>1005</v>
      </c>
      <c r="R1227" s="1" t="s">
        <v>63</v>
      </c>
      <c r="S1227">
        <v>28</v>
      </c>
      <c r="T1227">
        <v>1</v>
      </c>
      <c r="U1227">
        <v>4</v>
      </c>
      <c r="V1227">
        <v>48</v>
      </c>
      <c r="W1227">
        <v>2</v>
      </c>
      <c r="X1227">
        <v>4</v>
      </c>
      <c r="Y1227" s="1" t="s">
        <v>11</v>
      </c>
      <c r="Z1227">
        <v>2</v>
      </c>
      <c r="AA1227">
        <v>16704</v>
      </c>
      <c r="AB1227">
        <v>17119</v>
      </c>
      <c r="AC1227" s="1" t="s">
        <v>19</v>
      </c>
      <c r="AD1227">
        <v>11</v>
      </c>
      <c r="AE1227">
        <v>3</v>
      </c>
      <c r="AF1227">
        <v>3</v>
      </c>
      <c r="AG1227">
        <v>80</v>
      </c>
      <c r="AH1227">
        <v>0</v>
      </c>
      <c r="AI1227">
        <v>3</v>
      </c>
      <c r="AJ1227">
        <v>0</v>
      </c>
      <c r="AK1227" s="1" t="s">
        <v>136</v>
      </c>
    </row>
    <row r="1228" spans="1:37" x14ac:dyDescent="0.25">
      <c r="A1228">
        <v>1720</v>
      </c>
      <c r="B1228">
        <v>32</v>
      </c>
      <c r="C1228" s="1" t="s">
        <v>25</v>
      </c>
      <c r="D1228" s="1" t="s">
        <v>70</v>
      </c>
      <c r="E1228">
        <v>3</v>
      </c>
      <c r="F1228" s="1" t="s">
        <v>134</v>
      </c>
      <c r="G1228">
        <v>6</v>
      </c>
      <c r="H1228" s="1" t="s">
        <v>18</v>
      </c>
      <c r="I1228">
        <v>10</v>
      </c>
      <c r="J1228">
        <v>3</v>
      </c>
      <c r="K1228">
        <v>5</v>
      </c>
      <c r="L1228">
        <v>2</v>
      </c>
      <c r="M1228">
        <v>1</v>
      </c>
      <c r="N1228">
        <v>3</v>
      </c>
      <c r="O1228" s="1" t="s">
        <v>19</v>
      </c>
      <c r="P1228" s="1" t="s">
        <v>137</v>
      </c>
      <c r="Q1228">
        <v>585</v>
      </c>
      <c r="R1228" s="1" t="s">
        <v>63</v>
      </c>
      <c r="S1228">
        <v>10</v>
      </c>
      <c r="T1228">
        <v>1</v>
      </c>
      <c r="U1228">
        <v>1</v>
      </c>
      <c r="V1228">
        <v>56</v>
      </c>
      <c r="W1228">
        <v>3</v>
      </c>
      <c r="X1228">
        <v>1</v>
      </c>
      <c r="Y1228" s="1" t="s">
        <v>5</v>
      </c>
      <c r="Z1228">
        <v>3</v>
      </c>
      <c r="AA1228">
        <v>3433</v>
      </c>
      <c r="AB1228">
        <v>17360</v>
      </c>
      <c r="AC1228" s="1" t="s">
        <v>19</v>
      </c>
      <c r="AD1228">
        <v>13</v>
      </c>
      <c r="AE1228">
        <v>3</v>
      </c>
      <c r="AF1228">
        <v>1</v>
      </c>
      <c r="AG1228">
        <v>80</v>
      </c>
      <c r="AH1228">
        <v>1</v>
      </c>
      <c r="AI1228">
        <v>2</v>
      </c>
      <c r="AJ1228">
        <v>0</v>
      </c>
      <c r="AK1228" s="1" t="s">
        <v>136</v>
      </c>
    </row>
    <row r="1229" spans="1:37" x14ac:dyDescent="0.25">
      <c r="A1229">
        <v>1721</v>
      </c>
      <c r="B1229">
        <v>31</v>
      </c>
      <c r="C1229" s="1" t="s">
        <v>25</v>
      </c>
      <c r="D1229" s="1" t="s">
        <v>70</v>
      </c>
      <c r="E1229">
        <v>4</v>
      </c>
      <c r="F1229" s="1" t="s">
        <v>134</v>
      </c>
      <c r="G1229">
        <v>1</v>
      </c>
      <c r="H1229" s="1" t="s">
        <v>18</v>
      </c>
      <c r="I1229">
        <v>6</v>
      </c>
      <c r="J1229">
        <v>2</v>
      </c>
      <c r="K1229">
        <v>5</v>
      </c>
      <c r="L1229">
        <v>2</v>
      </c>
      <c r="M1229">
        <v>0</v>
      </c>
      <c r="N1229">
        <v>3</v>
      </c>
      <c r="O1229" s="1" t="s">
        <v>19</v>
      </c>
      <c r="P1229" s="1" t="s">
        <v>135</v>
      </c>
      <c r="Q1229">
        <v>741</v>
      </c>
      <c r="R1229" s="1" t="s">
        <v>63</v>
      </c>
      <c r="S1229">
        <v>2</v>
      </c>
      <c r="T1229">
        <v>1</v>
      </c>
      <c r="U1229">
        <v>2</v>
      </c>
      <c r="V1229">
        <v>69</v>
      </c>
      <c r="W1229">
        <v>3</v>
      </c>
      <c r="X1229">
        <v>1</v>
      </c>
      <c r="Y1229" s="1" t="s">
        <v>6</v>
      </c>
      <c r="Z1229">
        <v>3</v>
      </c>
      <c r="AA1229">
        <v>3477</v>
      </c>
      <c r="AB1229">
        <v>18103</v>
      </c>
      <c r="AC1229" s="1" t="s">
        <v>19</v>
      </c>
      <c r="AD1229">
        <v>14</v>
      </c>
      <c r="AE1229">
        <v>3</v>
      </c>
      <c r="AF1229">
        <v>4</v>
      </c>
      <c r="AG1229">
        <v>80</v>
      </c>
      <c r="AH1229">
        <v>1</v>
      </c>
      <c r="AI1229">
        <v>4</v>
      </c>
      <c r="AJ1229">
        <v>0</v>
      </c>
      <c r="AK1229" s="1" t="s">
        <v>136</v>
      </c>
    </row>
    <row r="1230" spans="1:37" x14ac:dyDescent="0.25">
      <c r="A1230">
        <v>1722</v>
      </c>
      <c r="B1230">
        <v>41</v>
      </c>
      <c r="C1230" s="1" t="s">
        <v>25</v>
      </c>
      <c r="D1230" s="1" t="s">
        <v>70</v>
      </c>
      <c r="E1230">
        <v>3</v>
      </c>
      <c r="F1230" s="1" t="s">
        <v>12</v>
      </c>
      <c r="G1230">
        <v>6</v>
      </c>
      <c r="H1230" s="1" t="s">
        <v>18</v>
      </c>
      <c r="I1230">
        <v>10</v>
      </c>
      <c r="J1230">
        <v>4</v>
      </c>
      <c r="K1230">
        <v>3</v>
      </c>
      <c r="L1230">
        <v>2</v>
      </c>
      <c r="M1230">
        <v>1</v>
      </c>
      <c r="N1230">
        <v>2</v>
      </c>
      <c r="O1230" s="1" t="s">
        <v>19</v>
      </c>
      <c r="P1230" s="1" t="s">
        <v>141</v>
      </c>
      <c r="Q1230">
        <v>552</v>
      </c>
      <c r="R1230" s="1" t="s">
        <v>12</v>
      </c>
      <c r="S1230">
        <v>4</v>
      </c>
      <c r="T1230">
        <v>1</v>
      </c>
      <c r="U1230">
        <v>3</v>
      </c>
      <c r="V1230">
        <v>60</v>
      </c>
      <c r="W1230">
        <v>1</v>
      </c>
      <c r="X1230">
        <v>2</v>
      </c>
      <c r="Y1230" s="1" t="s">
        <v>12</v>
      </c>
      <c r="Z1230">
        <v>2</v>
      </c>
      <c r="AA1230">
        <v>6430</v>
      </c>
      <c r="AB1230">
        <v>20794</v>
      </c>
      <c r="AC1230" s="1" t="s">
        <v>19</v>
      </c>
      <c r="AD1230">
        <v>19</v>
      </c>
      <c r="AE1230">
        <v>3</v>
      </c>
      <c r="AF1230">
        <v>2</v>
      </c>
      <c r="AG1230">
        <v>80</v>
      </c>
      <c r="AH1230">
        <v>1</v>
      </c>
      <c r="AI1230">
        <v>3</v>
      </c>
      <c r="AJ1230">
        <v>0</v>
      </c>
      <c r="AK1230" s="1" t="s">
        <v>136</v>
      </c>
    </row>
    <row r="1231" spans="1:37" x14ac:dyDescent="0.25">
      <c r="A1231">
        <v>1724</v>
      </c>
      <c r="B1231">
        <v>40</v>
      </c>
      <c r="C1231" s="1" t="s">
        <v>24</v>
      </c>
      <c r="D1231" s="1" t="s">
        <v>70</v>
      </c>
      <c r="E1231">
        <v>2</v>
      </c>
      <c r="F1231" s="1" t="s">
        <v>134</v>
      </c>
      <c r="G1231">
        <v>2</v>
      </c>
      <c r="H1231" s="1" t="s">
        <v>18</v>
      </c>
      <c r="I1231">
        <v>18</v>
      </c>
      <c r="J1231">
        <v>3</v>
      </c>
      <c r="K1231">
        <v>1</v>
      </c>
      <c r="L1231">
        <v>0</v>
      </c>
      <c r="M1231">
        <v>0</v>
      </c>
      <c r="N1231">
        <v>0</v>
      </c>
      <c r="O1231" s="1" t="s">
        <v>19</v>
      </c>
      <c r="P1231" s="1" t="s">
        <v>135</v>
      </c>
      <c r="Q1231">
        <v>369</v>
      </c>
      <c r="R1231" s="1" t="s">
        <v>63</v>
      </c>
      <c r="S1231">
        <v>8</v>
      </c>
      <c r="T1231">
        <v>1</v>
      </c>
      <c r="U1231">
        <v>2</v>
      </c>
      <c r="V1231">
        <v>92</v>
      </c>
      <c r="W1231">
        <v>3</v>
      </c>
      <c r="X1231">
        <v>2</v>
      </c>
      <c r="Y1231" s="1" t="s">
        <v>7</v>
      </c>
      <c r="Z1231">
        <v>1</v>
      </c>
      <c r="AA1231">
        <v>6516</v>
      </c>
      <c r="AB1231">
        <v>5041</v>
      </c>
      <c r="AC1231" s="1" t="s">
        <v>18</v>
      </c>
      <c r="AD1231">
        <v>16</v>
      </c>
      <c r="AE1231">
        <v>3</v>
      </c>
      <c r="AF1231">
        <v>2</v>
      </c>
      <c r="AG1231">
        <v>80</v>
      </c>
      <c r="AH1231">
        <v>1</v>
      </c>
      <c r="AI1231">
        <v>3</v>
      </c>
      <c r="AJ1231">
        <v>0</v>
      </c>
      <c r="AK1231" s="1" t="s">
        <v>136</v>
      </c>
    </row>
    <row r="1232" spans="1:37" x14ac:dyDescent="0.25">
      <c r="A1232">
        <v>1725</v>
      </c>
      <c r="B1232">
        <v>24</v>
      </c>
      <c r="C1232" s="1" t="s">
        <v>25</v>
      </c>
      <c r="D1232" s="1" t="s">
        <v>69</v>
      </c>
      <c r="E1232">
        <v>1</v>
      </c>
      <c r="F1232" s="1" t="s">
        <v>139</v>
      </c>
      <c r="G1232">
        <v>1</v>
      </c>
      <c r="H1232" s="1" t="s">
        <v>18</v>
      </c>
      <c r="I1232">
        <v>6</v>
      </c>
      <c r="J1232">
        <v>2</v>
      </c>
      <c r="K1232">
        <v>6</v>
      </c>
      <c r="L1232">
        <v>2</v>
      </c>
      <c r="M1232">
        <v>1</v>
      </c>
      <c r="N1232">
        <v>2</v>
      </c>
      <c r="O1232" s="1" t="s">
        <v>19</v>
      </c>
      <c r="P1232" s="1" t="s">
        <v>135</v>
      </c>
      <c r="Q1232">
        <v>506</v>
      </c>
      <c r="R1232" s="1" t="s">
        <v>63</v>
      </c>
      <c r="S1232">
        <v>29</v>
      </c>
      <c r="T1232">
        <v>1</v>
      </c>
      <c r="U1232">
        <v>2</v>
      </c>
      <c r="V1232">
        <v>91</v>
      </c>
      <c r="W1232">
        <v>3</v>
      </c>
      <c r="X1232">
        <v>1</v>
      </c>
      <c r="Y1232" s="1" t="s">
        <v>6</v>
      </c>
      <c r="Z1232">
        <v>1</v>
      </c>
      <c r="AA1232">
        <v>3907</v>
      </c>
      <c r="AB1232">
        <v>3622</v>
      </c>
      <c r="AC1232" s="1" t="s">
        <v>19</v>
      </c>
      <c r="AD1232">
        <v>13</v>
      </c>
      <c r="AE1232">
        <v>3</v>
      </c>
      <c r="AF1232">
        <v>2</v>
      </c>
      <c r="AG1232">
        <v>80</v>
      </c>
      <c r="AH1232">
        <v>3</v>
      </c>
      <c r="AI1232">
        <v>4</v>
      </c>
      <c r="AJ1232">
        <v>0</v>
      </c>
      <c r="AK1232" s="1" t="s">
        <v>136</v>
      </c>
    </row>
    <row r="1233" spans="1:37" x14ac:dyDescent="0.25">
      <c r="A1233">
        <v>1727</v>
      </c>
      <c r="B1233">
        <v>46</v>
      </c>
      <c r="C1233" s="1" t="s">
        <v>25</v>
      </c>
      <c r="D1233" s="1" t="s">
        <v>71</v>
      </c>
      <c r="E1233">
        <v>4</v>
      </c>
      <c r="F1233" s="1" t="s">
        <v>134</v>
      </c>
      <c r="G1233">
        <v>6</v>
      </c>
      <c r="H1233" s="1" t="s">
        <v>18</v>
      </c>
      <c r="I1233">
        <v>19</v>
      </c>
      <c r="J1233">
        <v>3</v>
      </c>
      <c r="K1233">
        <v>10</v>
      </c>
      <c r="L1233">
        <v>7</v>
      </c>
      <c r="M1233">
        <v>0</v>
      </c>
      <c r="N1233">
        <v>9</v>
      </c>
      <c r="O1233" s="1" t="s">
        <v>19</v>
      </c>
      <c r="P1233" s="1" t="s">
        <v>135</v>
      </c>
      <c r="Q1233">
        <v>717</v>
      </c>
      <c r="R1233" s="1" t="s">
        <v>63</v>
      </c>
      <c r="S1233">
        <v>13</v>
      </c>
      <c r="T1233">
        <v>1</v>
      </c>
      <c r="U1233">
        <v>3</v>
      </c>
      <c r="V1233">
        <v>34</v>
      </c>
      <c r="W1233">
        <v>3</v>
      </c>
      <c r="X1233">
        <v>2</v>
      </c>
      <c r="Y1233" s="1" t="s">
        <v>8</v>
      </c>
      <c r="Z1233">
        <v>2</v>
      </c>
      <c r="AA1233">
        <v>5562</v>
      </c>
      <c r="AB1233">
        <v>9697</v>
      </c>
      <c r="AC1233" s="1" t="s">
        <v>19</v>
      </c>
      <c r="AD1233">
        <v>14</v>
      </c>
      <c r="AE1233">
        <v>3</v>
      </c>
      <c r="AF1233">
        <v>4</v>
      </c>
      <c r="AG1233">
        <v>80</v>
      </c>
      <c r="AH1233">
        <v>0</v>
      </c>
      <c r="AI1233">
        <v>3</v>
      </c>
      <c r="AJ1233">
        <v>0</v>
      </c>
      <c r="AK1233" s="1" t="s">
        <v>136</v>
      </c>
    </row>
    <row r="1234" spans="1:37" x14ac:dyDescent="0.25">
      <c r="A1234">
        <v>1728</v>
      </c>
      <c r="B1234">
        <v>35</v>
      </c>
      <c r="C1234" s="1" t="s">
        <v>25</v>
      </c>
      <c r="D1234" s="1" t="s">
        <v>70</v>
      </c>
      <c r="E1234">
        <v>4</v>
      </c>
      <c r="F1234" s="1" t="s">
        <v>134</v>
      </c>
      <c r="G1234">
        <v>2</v>
      </c>
      <c r="H1234" s="1" t="s">
        <v>18</v>
      </c>
      <c r="I1234">
        <v>17</v>
      </c>
      <c r="J1234">
        <v>3</v>
      </c>
      <c r="K1234">
        <v>7</v>
      </c>
      <c r="L1234">
        <v>7</v>
      </c>
      <c r="M1234">
        <v>0</v>
      </c>
      <c r="N1234">
        <v>7</v>
      </c>
      <c r="O1234" s="1" t="s">
        <v>19</v>
      </c>
      <c r="P1234" s="1" t="s">
        <v>135</v>
      </c>
      <c r="Q1234">
        <v>1370</v>
      </c>
      <c r="R1234" s="1" t="s">
        <v>63</v>
      </c>
      <c r="S1234">
        <v>27</v>
      </c>
      <c r="T1234">
        <v>1</v>
      </c>
      <c r="U1234">
        <v>4</v>
      </c>
      <c r="V1234">
        <v>49</v>
      </c>
      <c r="W1234">
        <v>3</v>
      </c>
      <c r="X1234">
        <v>2</v>
      </c>
      <c r="Y1234" s="1" t="s">
        <v>7</v>
      </c>
      <c r="Z1234">
        <v>3</v>
      </c>
      <c r="AA1234">
        <v>6883</v>
      </c>
      <c r="AB1234">
        <v>5151</v>
      </c>
      <c r="AC1234" s="1" t="s">
        <v>19</v>
      </c>
      <c r="AD1234">
        <v>16</v>
      </c>
      <c r="AE1234">
        <v>3</v>
      </c>
      <c r="AF1234">
        <v>2</v>
      </c>
      <c r="AG1234">
        <v>80</v>
      </c>
      <c r="AH1234">
        <v>1</v>
      </c>
      <c r="AI1234">
        <v>3</v>
      </c>
      <c r="AJ1234">
        <v>0</v>
      </c>
      <c r="AK1234" s="1" t="s">
        <v>136</v>
      </c>
    </row>
    <row r="1235" spans="1:37" x14ac:dyDescent="0.25">
      <c r="A1235">
        <v>1729</v>
      </c>
      <c r="B1235">
        <v>30</v>
      </c>
      <c r="C1235" s="1" t="s">
        <v>25</v>
      </c>
      <c r="D1235" s="1" t="s">
        <v>70</v>
      </c>
      <c r="E1235">
        <v>1</v>
      </c>
      <c r="F1235" s="1" t="s">
        <v>134</v>
      </c>
      <c r="G1235">
        <v>1</v>
      </c>
      <c r="H1235" s="1" t="s">
        <v>18</v>
      </c>
      <c r="I1235">
        <v>10</v>
      </c>
      <c r="J1235">
        <v>2</v>
      </c>
      <c r="K1235">
        <v>10</v>
      </c>
      <c r="L1235">
        <v>0</v>
      </c>
      <c r="M1235">
        <v>0</v>
      </c>
      <c r="N1235">
        <v>8</v>
      </c>
      <c r="O1235" s="1" t="s">
        <v>19</v>
      </c>
      <c r="P1235" s="1" t="s">
        <v>135</v>
      </c>
      <c r="Q1235">
        <v>793</v>
      </c>
      <c r="R1235" s="1" t="s">
        <v>63</v>
      </c>
      <c r="S1235">
        <v>16</v>
      </c>
      <c r="T1235">
        <v>1</v>
      </c>
      <c r="U1235">
        <v>2</v>
      </c>
      <c r="V1235">
        <v>33</v>
      </c>
      <c r="W1235">
        <v>3</v>
      </c>
      <c r="X1235">
        <v>1</v>
      </c>
      <c r="Y1235" s="1" t="s">
        <v>5</v>
      </c>
      <c r="Z1235">
        <v>4</v>
      </c>
      <c r="AA1235">
        <v>2862</v>
      </c>
      <c r="AB1235">
        <v>3811</v>
      </c>
      <c r="AC1235" s="1" t="s">
        <v>19</v>
      </c>
      <c r="AD1235">
        <v>12</v>
      </c>
      <c r="AE1235">
        <v>3</v>
      </c>
      <c r="AF1235">
        <v>2</v>
      </c>
      <c r="AG1235">
        <v>80</v>
      </c>
      <c r="AH1235">
        <v>1</v>
      </c>
      <c r="AI1235">
        <v>2</v>
      </c>
      <c r="AJ1235">
        <v>0</v>
      </c>
      <c r="AK1235" s="1" t="s">
        <v>136</v>
      </c>
    </row>
    <row r="1236" spans="1:37" x14ac:dyDescent="0.25">
      <c r="A1236">
        <v>1731</v>
      </c>
      <c r="B1236">
        <v>47</v>
      </c>
      <c r="C1236" s="1" t="s">
        <v>25</v>
      </c>
      <c r="D1236" s="1" t="s">
        <v>70</v>
      </c>
      <c r="E1236">
        <v>4</v>
      </c>
      <c r="F1236" s="1" t="s">
        <v>142</v>
      </c>
      <c r="G1236">
        <v>7</v>
      </c>
      <c r="H1236" s="1" t="s">
        <v>18</v>
      </c>
      <c r="I1236">
        <v>4</v>
      </c>
      <c r="J1236">
        <v>3</v>
      </c>
      <c r="K1236">
        <v>1</v>
      </c>
      <c r="L1236">
        <v>0</v>
      </c>
      <c r="M1236">
        <v>0</v>
      </c>
      <c r="N1236">
        <v>0</v>
      </c>
      <c r="O1236" s="1" t="s">
        <v>19</v>
      </c>
      <c r="P1236" s="1" t="s">
        <v>141</v>
      </c>
      <c r="Q1236">
        <v>543</v>
      </c>
      <c r="R1236" s="1" t="s">
        <v>64</v>
      </c>
      <c r="S1236">
        <v>2</v>
      </c>
      <c r="T1236">
        <v>1</v>
      </c>
      <c r="U1236">
        <v>3</v>
      </c>
      <c r="V1236">
        <v>87</v>
      </c>
      <c r="W1236">
        <v>3</v>
      </c>
      <c r="X1236">
        <v>2</v>
      </c>
      <c r="Y1236" s="1" t="s">
        <v>4</v>
      </c>
      <c r="Z1236">
        <v>2</v>
      </c>
      <c r="AA1236">
        <v>4978</v>
      </c>
      <c r="AB1236">
        <v>3536</v>
      </c>
      <c r="AC1236" s="1" t="s">
        <v>19</v>
      </c>
      <c r="AD1236">
        <v>11</v>
      </c>
      <c r="AE1236">
        <v>3</v>
      </c>
      <c r="AF1236">
        <v>4</v>
      </c>
      <c r="AG1236">
        <v>80</v>
      </c>
      <c r="AH1236">
        <v>1</v>
      </c>
      <c r="AI1236">
        <v>1</v>
      </c>
      <c r="AJ1236">
        <v>0</v>
      </c>
      <c r="AK1236" s="1" t="s">
        <v>136</v>
      </c>
    </row>
    <row r="1237" spans="1:37" x14ac:dyDescent="0.25">
      <c r="A1237">
        <v>1732</v>
      </c>
      <c r="B1237">
        <v>46</v>
      </c>
      <c r="C1237" s="1" t="s">
        <v>25</v>
      </c>
      <c r="D1237" s="1" t="s">
        <v>69</v>
      </c>
      <c r="E1237">
        <v>3</v>
      </c>
      <c r="F1237" s="1" t="s">
        <v>134</v>
      </c>
      <c r="G1237">
        <v>4</v>
      </c>
      <c r="H1237" s="1" t="s">
        <v>18</v>
      </c>
      <c r="I1237">
        <v>13</v>
      </c>
      <c r="J1237">
        <v>5</v>
      </c>
      <c r="K1237">
        <v>10</v>
      </c>
      <c r="L1237">
        <v>6</v>
      </c>
      <c r="M1237">
        <v>0</v>
      </c>
      <c r="N1237">
        <v>3</v>
      </c>
      <c r="O1237" s="1" t="s">
        <v>19</v>
      </c>
      <c r="P1237" s="1" t="s">
        <v>135</v>
      </c>
      <c r="Q1237">
        <v>1277</v>
      </c>
      <c r="R1237" s="1" t="s">
        <v>64</v>
      </c>
      <c r="S1237">
        <v>2</v>
      </c>
      <c r="T1237">
        <v>1</v>
      </c>
      <c r="U1237">
        <v>3</v>
      </c>
      <c r="V1237">
        <v>74</v>
      </c>
      <c r="W1237">
        <v>3</v>
      </c>
      <c r="X1237">
        <v>3</v>
      </c>
      <c r="Y1237" s="1" t="s">
        <v>4</v>
      </c>
      <c r="Z1237">
        <v>4</v>
      </c>
      <c r="AA1237">
        <v>10368</v>
      </c>
      <c r="AB1237">
        <v>5596</v>
      </c>
      <c r="AC1237" s="1" t="s">
        <v>18</v>
      </c>
      <c r="AD1237">
        <v>12</v>
      </c>
      <c r="AE1237">
        <v>3</v>
      </c>
      <c r="AF1237">
        <v>2</v>
      </c>
      <c r="AG1237">
        <v>80</v>
      </c>
      <c r="AH1237">
        <v>1</v>
      </c>
      <c r="AI1237">
        <v>2</v>
      </c>
      <c r="AJ1237">
        <v>0</v>
      </c>
      <c r="AK1237" s="1" t="s">
        <v>136</v>
      </c>
    </row>
    <row r="1238" spans="1:37" x14ac:dyDescent="0.25">
      <c r="A1238">
        <v>1733</v>
      </c>
      <c r="B1238">
        <v>36</v>
      </c>
      <c r="C1238" s="1" t="s">
        <v>25</v>
      </c>
      <c r="D1238" s="1" t="s">
        <v>69</v>
      </c>
      <c r="E1238">
        <v>5</v>
      </c>
      <c r="F1238" s="1" t="s">
        <v>142</v>
      </c>
      <c r="G1238">
        <v>5</v>
      </c>
      <c r="H1238" s="1" t="s">
        <v>18</v>
      </c>
      <c r="I1238">
        <v>16</v>
      </c>
      <c r="J1238">
        <v>3</v>
      </c>
      <c r="K1238">
        <v>2</v>
      </c>
      <c r="L1238">
        <v>2</v>
      </c>
      <c r="M1238">
        <v>2</v>
      </c>
      <c r="N1238">
        <v>2</v>
      </c>
      <c r="O1238" s="1" t="s">
        <v>18</v>
      </c>
      <c r="P1238" s="1" t="s">
        <v>135</v>
      </c>
      <c r="Q1238">
        <v>1456</v>
      </c>
      <c r="R1238" s="1" t="s">
        <v>64</v>
      </c>
      <c r="S1238">
        <v>13</v>
      </c>
      <c r="T1238">
        <v>1</v>
      </c>
      <c r="U1238">
        <v>2</v>
      </c>
      <c r="V1238">
        <v>96</v>
      </c>
      <c r="W1238">
        <v>2</v>
      </c>
      <c r="X1238">
        <v>2</v>
      </c>
      <c r="Y1238" s="1" t="s">
        <v>4</v>
      </c>
      <c r="Z1238">
        <v>1</v>
      </c>
      <c r="AA1238">
        <v>6134</v>
      </c>
      <c r="AB1238">
        <v>8658</v>
      </c>
      <c r="AC1238" s="1" t="s">
        <v>18</v>
      </c>
      <c r="AD1238">
        <v>13</v>
      </c>
      <c r="AE1238">
        <v>3</v>
      </c>
      <c r="AF1238">
        <v>2</v>
      </c>
      <c r="AG1238">
        <v>80</v>
      </c>
      <c r="AH1238">
        <v>3</v>
      </c>
      <c r="AI1238">
        <v>3</v>
      </c>
      <c r="AJ1238">
        <v>1</v>
      </c>
      <c r="AK1238" s="1" t="s">
        <v>136</v>
      </c>
    </row>
    <row r="1239" spans="1:37" x14ac:dyDescent="0.25">
      <c r="A1239">
        <v>1734</v>
      </c>
      <c r="B1239">
        <v>32</v>
      </c>
      <c r="C1239" s="1" t="s">
        <v>25</v>
      </c>
      <c r="D1239" s="1" t="s">
        <v>71</v>
      </c>
      <c r="E1239">
        <v>2</v>
      </c>
      <c r="F1239" s="1" t="s">
        <v>134</v>
      </c>
      <c r="G1239">
        <v>6</v>
      </c>
      <c r="H1239" s="1" t="s">
        <v>18</v>
      </c>
      <c r="I1239">
        <v>10</v>
      </c>
      <c r="J1239">
        <v>2</v>
      </c>
      <c r="K1239">
        <v>0</v>
      </c>
      <c r="L1239">
        <v>0</v>
      </c>
      <c r="M1239">
        <v>0</v>
      </c>
      <c r="N1239">
        <v>0</v>
      </c>
      <c r="O1239" s="1" t="s">
        <v>18</v>
      </c>
      <c r="P1239" s="1" t="s">
        <v>135</v>
      </c>
      <c r="Q1239">
        <v>964</v>
      </c>
      <c r="R1239" s="1" t="s">
        <v>64</v>
      </c>
      <c r="S1239">
        <v>1</v>
      </c>
      <c r="T1239">
        <v>1</v>
      </c>
      <c r="U1239">
        <v>1</v>
      </c>
      <c r="V1239">
        <v>34</v>
      </c>
      <c r="W1239">
        <v>1</v>
      </c>
      <c r="X1239">
        <v>2</v>
      </c>
      <c r="Y1239" s="1" t="s">
        <v>4</v>
      </c>
      <c r="Z1239">
        <v>2</v>
      </c>
      <c r="AA1239">
        <v>6735</v>
      </c>
      <c r="AB1239">
        <v>12147</v>
      </c>
      <c r="AC1239" s="1" t="s">
        <v>19</v>
      </c>
      <c r="AD1239">
        <v>15</v>
      </c>
      <c r="AE1239">
        <v>3</v>
      </c>
      <c r="AF1239">
        <v>2</v>
      </c>
      <c r="AG1239">
        <v>80</v>
      </c>
      <c r="AH1239">
        <v>0</v>
      </c>
      <c r="AI1239">
        <v>3</v>
      </c>
      <c r="AJ1239">
        <v>1</v>
      </c>
      <c r="AK1239" s="1" t="s">
        <v>136</v>
      </c>
    </row>
    <row r="1240" spans="1:37" x14ac:dyDescent="0.25">
      <c r="A1240">
        <v>1735</v>
      </c>
      <c r="B1240">
        <v>23</v>
      </c>
      <c r="C1240" s="1" t="s">
        <v>24</v>
      </c>
      <c r="D1240" s="1" t="s">
        <v>71</v>
      </c>
      <c r="E1240">
        <v>1</v>
      </c>
      <c r="F1240" s="1" t="s">
        <v>139</v>
      </c>
      <c r="G1240">
        <v>1</v>
      </c>
      <c r="H1240" s="1" t="s">
        <v>18</v>
      </c>
      <c r="I1240">
        <v>3</v>
      </c>
      <c r="J1240">
        <v>3</v>
      </c>
      <c r="K1240">
        <v>3</v>
      </c>
      <c r="L1240">
        <v>2</v>
      </c>
      <c r="M1240">
        <v>1</v>
      </c>
      <c r="N1240">
        <v>2</v>
      </c>
      <c r="O1240" s="1" t="s">
        <v>19</v>
      </c>
      <c r="P1240" s="1" t="s">
        <v>135</v>
      </c>
      <c r="Q1240">
        <v>160</v>
      </c>
      <c r="R1240" s="1" t="s">
        <v>63</v>
      </c>
      <c r="S1240">
        <v>4</v>
      </c>
      <c r="T1240">
        <v>1</v>
      </c>
      <c r="U1240">
        <v>3</v>
      </c>
      <c r="V1240">
        <v>51</v>
      </c>
      <c r="W1240">
        <v>3</v>
      </c>
      <c r="X1240">
        <v>1</v>
      </c>
      <c r="Y1240" s="1" t="s">
        <v>6</v>
      </c>
      <c r="Z1240">
        <v>2</v>
      </c>
      <c r="AA1240">
        <v>3295</v>
      </c>
      <c r="AB1240">
        <v>12862</v>
      </c>
      <c r="AC1240" s="1" t="s">
        <v>19</v>
      </c>
      <c r="AD1240">
        <v>13</v>
      </c>
      <c r="AE1240">
        <v>3</v>
      </c>
      <c r="AF1240">
        <v>3</v>
      </c>
      <c r="AG1240">
        <v>80</v>
      </c>
      <c r="AH1240">
        <v>0</v>
      </c>
      <c r="AI1240">
        <v>1</v>
      </c>
      <c r="AJ1240">
        <v>0</v>
      </c>
      <c r="AK1240" s="1" t="s">
        <v>136</v>
      </c>
    </row>
    <row r="1241" spans="1:37" x14ac:dyDescent="0.25">
      <c r="A1241">
        <v>1736</v>
      </c>
      <c r="B1241">
        <v>31</v>
      </c>
      <c r="C1241" s="1" t="s">
        <v>24</v>
      </c>
      <c r="D1241" s="1" t="s">
        <v>71</v>
      </c>
      <c r="E1241">
        <v>1</v>
      </c>
      <c r="F1241" s="1" t="s">
        <v>143</v>
      </c>
      <c r="G1241">
        <v>2</v>
      </c>
      <c r="H1241" s="1" t="s">
        <v>18</v>
      </c>
      <c r="I1241">
        <v>9</v>
      </c>
      <c r="J1241">
        <v>3</v>
      </c>
      <c r="K1241">
        <v>5</v>
      </c>
      <c r="L1241">
        <v>4</v>
      </c>
      <c r="M1241">
        <v>1</v>
      </c>
      <c r="N1241">
        <v>4</v>
      </c>
      <c r="O1241" s="1" t="s">
        <v>19</v>
      </c>
      <c r="P1241" s="1" t="s">
        <v>137</v>
      </c>
      <c r="Q1241">
        <v>163</v>
      </c>
      <c r="R1241" s="1" t="s">
        <v>63</v>
      </c>
      <c r="S1241">
        <v>24</v>
      </c>
      <c r="T1241">
        <v>1</v>
      </c>
      <c r="U1241">
        <v>4</v>
      </c>
      <c r="V1241">
        <v>30</v>
      </c>
      <c r="W1241">
        <v>3</v>
      </c>
      <c r="X1241">
        <v>2</v>
      </c>
      <c r="Y1241" s="1" t="s">
        <v>7</v>
      </c>
      <c r="Z1241">
        <v>4</v>
      </c>
      <c r="AA1241">
        <v>5238</v>
      </c>
      <c r="AB1241">
        <v>6670</v>
      </c>
      <c r="AC1241" s="1" t="s">
        <v>19</v>
      </c>
      <c r="AD1241">
        <v>20</v>
      </c>
      <c r="AE1241">
        <v>4</v>
      </c>
      <c r="AF1241">
        <v>4</v>
      </c>
      <c r="AG1241">
        <v>80</v>
      </c>
      <c r="AH1241">
        <v>0</v>
      </c>
      <c r="AI1241">
        <v>2</v>
      </c>
      <c r="AJ1241">
        <v>0</v>
      </c>
      <c r="AK1241" s="1" t="s">
        <v>136</v>
      </c>
    </row>
    <row r="1242" spans="1:37" x14ac:dyDescent="0.25">
      <c r="A1242">
        <v>1737</v>
      </c>
      <c r="B1242">
        <v>39</v>
      </c>
      <c r="C1242" s="1" t="s">
        <v>25</v>
      </c>
      <c r="D1242" s="1" t="s">
        <v>70</v>
      </c>
      <c r="E1242">
        <v>3</v>
      </c>
      <c r="F1242" s="1" t="s">
        <v>134</v>
      </c>
      <c r="G1242">
        <v>1</v>
      </c>
      <c r="H1242" s="1" t="s">
        <v>18</v>
      </c>
      <c r="I1242">
        <v>9</v>
      </c>
      <c r="J1242">
        <v>2</v>
      </c>
      <c r="K1242">
        <v>9</v>
      </c>
      <c r="L1242">
        <v>8</v>
      </c>
      <c r="M1242">
        <v>5</v>
      </c>
      <c r="N1242">
        <v>8</v>
      </c>
      <c r="O1242" s="1" t="s">
        <v>19</v>
      </c>
      <c r="P1242" s="1" t="s">
        <v>141</v>
      </c>
      <c r="Q1242">
        <v>792</v>
      </c>
      <c r="R1242" s="1" t="s">
        <v>63</v>
      </c>
      <c r="S1242">
        <v>1</v>
      </c>
      <c r="T1242">
        <v>1</v>
      </c>
      <c r="U1242">
        <v>4</v>
      </c>
      <c r="V1242">
        <v>77</v>
      </c>
      <c r="W1242">
        <v>3</v>
      </c>
      <c r="X1242">
        <v>2</v>
      </c>
      <c r="Y1242" s="1" t="s">
        <v>6</v>
      </c>
      <c r="Z1242">
        <v>4</v>
      </c>
      <c r="AA1242">
        <v>6472</v>
      </c>
      <c r="AB1242">
        <v>8989</v>
      </c>
      <c r="AC1242" s="1" t="s">
        <v>18</v>
      </c>
      <c r="AD1242">
        <v>15</v>
      </c>
      <c r="AE1242">
        <v>3</v>
      </c>
      <c r="AF1242">
        <v>4</v>
      </c>
      <c r="AG1242">
        <v>80</v>
      </c>
      <c r="AH1242">
        <v>1</v>
      </c>
      <c r="AI1242">
        <v>3</v>
      </c>
      <c r="AJ1242">
        <v>0</v>
      </c>
      <c r="AK1242" s="1" t="s">
        <v>136</v>
      </c>
    </row>
    <row r="1243" spans="1:37" x14ac:dyDescent="0.25">
      <c r="A1243">
        <v>1739</v>
      </c>
      <c r="B1243">
        <v>32</v>
      </c>
      <c r="C1243" s="1" t="s">
        <v>25</v>
      </c>
      <c r="D1243" s="1" t="s">
        <v>70</v>
      </c>
      <c r="E1243">
        <v>3</v>
      </c>
      <c r="F1243" s="1" t="s">
        <v>134</v>
      </c>
      <c r="G1243">
        <v>3</v>
      </c>
      <c r="H1243" s="1" t="s">
        <v>18</v>
      </c>
      <c r="I1243">
        <v>10</v>
      </c>
      <c r="J1243">
        <v>2</v>
      </c>
      <c r="K1243">
        <v>4</v>
      </c>
      <c r="L1243">
        <v>3</v>
      </c>
      <c r="M1243">
        <v>0</v>
      </c>
      <c r="N1243">
        <v>2</v>
      </c>
      <c r="O1243" s="1" t="s">
        <v>19</v>
      </c>
      <c r="P1243" s="1" t="s">
        <v>135</v>
      </c>
      <c r="Q1243">
        <v>371</v>
      </c>
      <c r="R1243" s="1" t="s">
        <v>64</v>
      </c>
      <c r="S1243">
        <v>19</v>
      </c>
      <c r="T1243">
        <v>1</v>
      </c>
      <c r="U1243">
        <v>4</v>
      </c>
      <c r="V1243">
        <v>80</v>
      </c>
      <c r="W1243">
        <v>1</v>
      </c>
      <c r="X1243">
        <v>3</v>
      </c>
      <c r="Y1243" s="1" t="s">
        <v>4</v>
      </c>
      <c r="Z1243">
        <v>3</v>
      </c>
      <c r="AA1243">
        <v>9610</v>
      </c>
      <c r="AB1243">
        <v>3840</v>
      </c>
      <c r="AC1243" s="1" t="s">
        <v>19</v>
      </c>
      <c r="AD1243">
        <v>13</v>
      </c>
      <c r="AE1243">
        <v>3</v>
      </c>
      <c r="AF1243">
        <v>3</v>
      </c>
      <c r="AG1243">
        <v>80</v>
      </c>
      <c r="AH1243">
        <v>1</v>
      </c>
      <c r="AI1243">
        <v>1</v>
      </c>
      <c r="AJ1243">
        <v>0</v>
      </c>
      <c r="AK1243" s="1" t="s">
        <v>136</v>
      </c>
    </row>
    <row r="1244" spans="1:37" x14ac:dyDescent="0.25">
      <c r="A1244">
        <v>1740</v>
      </c>
      <c r="B1244">
        <v>40</v>
      </c>
      <c r="C1244" s="1" t="s">
        <v>25</v>
      </c>
      <c r="D1244" s="1" t="s">
        <v>71</v>
      </c>
      <c r="E1244">
        <v>4</v>
      </c>
      <c r="F1244" s="1" t="s">
        <v>139</v>
      </c>
      <c r="G1244">
        <v>1</v>
      </c>
      <c r="H1244" s="1" t="s">
        <v>18</v>
      </c>
      <c r="I1244">
        <v>21</v>
      </c>
      <c r="J1244">
        <v>3</v>
      </c>
      <c r="K1244">
        <v>21</v>
      </c>
      <c r="L1244">
        <v>8</v>
      </c>
      <c r="M1244">
        <v>12</v>
      </c>
      <c r="N1244">
        <v>8</v>
      </c>
      <c r="O1244" s="1" t="s">
        <v>19</v>
      </c>
      <c r="P1244" s="1" t="s">
        <v>135</v>
      </c>
      <c r="Q1244">
        <v>611</v>
      </c>
      <c r="R1244" s="1" t="s">
        <v>64</v>
      </c>
      <c r="S1244">
        <v>7</v>
      </c>
      <c r="T1244">
        <v>1</v>
      </c>
      <c r="U1244">
        <v>2</v>
      </c>
      <c r="V1244">
        <v>88</v>
      </c>
      <c r="W1244">
        <v>3</v>
      </c>
      <c r="X1244">
        <v>5</v>
      </c>
      <c r="Y1244" s="1" t="s">
        <v>9</v>
      </c>
      <c r="Z1244">
        <v>2</v>
      </c>
      <c r="AA1244">
        <v>19833</v>
      </c>
      <c r="AB1244">
        <v>4349</v>
      </c>
      <c r="AC1244" s="1" t="s">
        <v>19</v>
      </c>
      <c r="AD1244">
        <v>14</v>
      </c>
      <c r="AE1244">
        <v>3</v>
      </c>
      <c r="AF1244">
        <v>2</v>
      </c>
      <c r="AG1244">
        <v>80</v>
      </c>
      <c r="AH1244">
        <v>0</v>
      </c>
      <c r="AI1244">
        <v>2</v>
      </c>
      <c r="AJ1244">
        <v>0</v>
      </c>
      <c r="AK1244" s="1" t="s">
        <v>136</v>
      </c>
    </row>
    <row r="1245" spans="1:37" x14ac:dyDescent="0.25">
      <c r="A1245">
        <v>1744</v>
      </c>
      <c r="B1245">
        <v>45</v>
      </c>
      <c r="C1245" s="1" t="s">
        <v>24</v>
      </c>
      <c r="D1245" s="1" t="s">
        <v>70</v>
      </c>
      <c r="E1245">
        <v>3</v>
      </c>
      <c r="F1245" s="1" t="s">
        <v>134</v>
      </c>
      <c r="G1245">
        <v>4</v>
      </c>
      <c r="H1245" s="1" t="s">
        <v>18</v>
      </c>
      <c r="I1245">
        <v>9</v>
      </c>
      <c r="J1245">
        <v>2</v>
      </c>
      <c r="K1245">
        <v>5</v>
      </c>
      <c r="L1245">
        <v>0</v>
      </c>
      <c r="M1245">
        <v>0</v>
      </c>
      <c r="N1245">
        <v>3</v>
      </c>
      <c r="O1245" s="1" t="s">
        <v>19</v>
      </c>
      <c r="P1245" s="1" t="s">
        <v>135</v>
      </c>
      <c r="Q1245">
        <v>176</v>
      </c>
      <c r="R1245" s="1" t="s">
        <v>12</v>
      </c>
      <c r="S1245">
        <v>4</v>
      </c>
      <c r="T1245">
        <v>1</v>
      </c>
      <c r="U1245">
        <v>3</v>
      </c>
      <c r="V1245">
        <v>56</v>
      </c>
      <c r="W1245">
        <v>1</v>
      </c>
      <c r="X1245">
        <v>3</v>
      </c>
      <c r="Y1245" s="1" t="s">
        <v>12</v>
      </c>
      <c r="Z1245">
        <v>3</v>
      </c>
      <c r="AA1245">
        <v>9756</v>
      </c>
      <c r="AB1245">
        <v>6595</v>
      </c>
      <c r="AC1245" s="1" t="s">
        <v>19</v>
      </c>
      <c r="AD1245">
        <v>21</v>
      </c>
      <c r="AE1245">
        <v>4</v>
      </c>
      <c r="AF1245">
        <v>3</v>
      </c>
      <c r="AG1245">
        <v>80</v>
      </c>
      <c r="AH1245">
        <v>2</v>
      </c>
      <c r="AI1245">
        <v>4</v>
      </c>
      <c r="AJ1245">
        <v>0</v>
      </c>
      <c r="AK1245" s="1" t="s">
        <v>136</v>
      </c>
    </row>
    <row r="1246" spans="1:37" x14ac:dyDescent="0.25">
      <c r="A1246">
        <v>1745</v>
      </c>
      <c r="B1246">
        <v>30</v>
      </c>
      <c r="C1246" s="1" t="s">
        <v>24</v>
      </c>
      <c r="D1246" s="1" t="s">
        <v>71</v>
      </c>
      <c r="E1246">
        <v>4</v>
      </c>
      <c r="F1246" s="1" t="s">
        <v>143</v>
      </c>
      <c r="G1246">
        <v>0</v>
      </c>
      <c r="H1246" s="1" t="s">
        <v>18</v>
      </c>
      <c r="I1246">
        <v>10</v>
      </c>
      <c r="J1246">
        <v>2</v>
      </c>
      <c r="K1246">
        <v>9</v>
      </c>
      <c r="L1246">
        <v>7</v>
      </c>
      <c r="M1246">
        <v>0</v>
      </c>
      <c r="N1246">
        <v>7</v>
      </c>
      <c r="O1246" s="1" t="s">
        <v>19</v>
      </c>
      <c r="P1246" s="1" t="s">
        <v>137</v>
      </c>
      <c r="Q1246">
        <v>1312</v>
      </c>
      <c r="R1246" s="1" t="s">
        <v>63</v>
      </c>
      <c r="S1246">
        <v>2</v>
      </c>
      <c r="T1246">
        <v>1</v>
      </c>
      <c r="U1246">
        <v>4</v>
      </c>
      <c r="V1246">
        <v>78</v>
      </c>
      <c r="W1246">
        <v>2</v>
      </c>
      <c r="X1246">
        <v>1</v>
      </c>
      <c r="Y1246" s="1" t="s">
        <v>5</v>
      </c>
      <c r="Z1246">
        <v>1</v>
      </c>
      <c r="AA1246">
        <v>4968</v>
      </c>
      <c r="AB1246">
        <v>26427</v>
      </c>
      <c r="AC1246" s="1" t="s">
        <v>19</v>
      </c>
      <c r="AD1246">
        <v>16</v>
      </c>
      <c r="AE1246">
        <v>3</v>
      </c>
      <c r="AF1246">
        <v>4</v>
      </c>
      <c r="AG1246">
        <v>80</v>
      </c>
      <c r="AH1246">
        <v>0</v>
      </c>
      <c r="AI1246">
        <v>3</v>
      </c>
      <c r="AJ1246">
        <v>0</v>
      </c>
      <c r="AK1246" s="1" t="s">
        <v>136</v>
      </c>
    </row>
    <row r="1247" spans="1:37" x14ac:dyDescent="0.25">
      <c r="A1247">
        <v>1746</v>
      </c>
      <c r="B1247">
        <v>24</v>
      </c>
      <c r="C1247" s="1" t="s">
        <v>25</v>
      </c>
      <c r="D1247" s="1" t="s">
        <v>70</v>
      </c>
      <c r="E1247">
        <v>3</v>
      </c>
      <c r="F1247" s="1" t="s">
        <v>139</v>
      </c>
      <c r="G1247">
        <v>0</v>
      </c>
      <c r="H1247" s="1" t="s">
        <v>18</v>
      </c>
      <c r="I1247">
        <v>3</v>
      </c>
      <c r="J1247">
        <v>2</v>
      </c>
      <c r="K1247">
        <v>2</v>
      </c>
      <c r="L1247">
        <v>2</v>
      </c>
      <c r="M1247">
        <v>2</v>
      </c>
      <c r="N1247">
        <v>1</v>
      </c>
      <c r="O1247" s="1" t="s">
        <v>19</v>
      </c>
      <c r="P1247" s="1" t="s">
        <v>137</v>
      </c>
      <c r="Q1247">
        <v>897</v>
      </c>
      <c r="R1247" s="1" t="s">
        <v>12</v>
      </c>
      <c r="S1247">
        <v>10</v>
      </c>
      <c r="T1247">
        <v>1</v>
      </c>
      <c r="U1247">
        <v>1</v>
      </c>
      <c r="V1247">
        <v>59</v>
      </c>
      <c r="W1247">
        <v>3</v>
      </c>
      <c r="X1247">
        <v>1</v>
      </c>
      <c r="Y1247" s="1" t="s">
        <v>12</v>
      </c>
      <c r="Z1247">
        <v>4</v>
      </c>
      <c r="AA1247">
        <v>2145</v>
      </c>
      <c r="AB1247">
        <v>2097</v>
      </c>
      <c r="AC1247" s="1" t="s">
        <v>19</v>
      </c>
      <c r="AD1247">
        <v>14</v>
      </c>
      <c r="AE1247">
        <v>3</v>
      </c>
      <c r="AF1247">
        <v>4</v>
      </c>
      <c r="AG1247">
        <v>80</v>
      </c>
      <c r="AH1247">
        <v>1</v>
      </c>
      <c r="AI1247">
        <v>3</v>
      </c>
      <c r="AJ1247">
        <v>0</v>
      </c>
      <c r="AK1247" s="1" t="s">
        <v>136</v>
      </c>
    </row>
    <row r="1248" spans="1:37" x14ac:dyDescent="0.25">
      <c r="A1248">
        <v>1747</v>
      </c>
      <c r="B1248">
        <v>30</v>
      </c>
      <c r="C1248" s="1" t="s">
        <v>24</v>
      </c>
      <c r="D1248" s="1" t="s">
        <v>69</v>
      </c>
      <c r="E1248">
        <v>3</v>
      </c>
      <c r="F1248" s="1" t="s">
        <v>12</v>
      </c>
      <c r="G1248">
        <v>6</v>
      </c>
      <c r="H1248" s="1" t="s">
        <v>18</v>
      </c>
      <c r="I1248">
        <v>6</v>
      </c>
      <c r="J1248">
        <v>0</v>
      </c>
      <c r="K1248">
        <v>4</v>
      </c>
      <c r="L1248">
        <v>2</v>
      </c>
      <c r="M1248">
        <v>1</v>
      </c>
      <c r="N1248">
        <v>2</v>
      </c>
      <c r="O1248" s="1" t="s">
        <v>18</v>
      </c>
      <c r="P1248" s="1" t="s">
        <v>137</v>
      </c>
      <c r="Q1248">
        <v>600</v>
      </c>
      <c r="R1248" s="1" t="s">
        <v>12</v>
      </c>
      <c r="S1248">
        <v>8</v>
      </c>
      <c r="T1248">
        <v>1</v>
      </c>
      <c r="U1248">
        <v>3</v>
      </c>
      <c r="V1248">
        <v>66</v>
      </c>
      <c r="W1248">
        <v>2</v>
      </c>
      <c r="X1248">
        <v>1</v>
      </c>
      <c r="Y1248" s="1" t="s">
        <v>12</v>
      </c>
      <c r="Z1248">
        <v>4</v>
      </c>
      <c r="AA1248">
        <v>2180</v>
      </c>
      <c r="AB1248">
        <v>9732</v>
      </c>
      <c r="AC1248" s="1" t="s">
        <v>19</v>
      </c>
      <c r="AD1248">
        <v>11</v>
      </c>
      <c r="AE1248">
        <v>3</v>
      </c>
      <c r="AF1248">
        <v>3</v>
      </c>
      <c r="AG1248">
        <v>80</v>
      </c>
      <c r="AH1248">
        <v>1</v>
      </c>
      <c r="AI1248">
        <v>2</v>
      </c>
      <c r="AJ1248">
        <v>1</v>
      </c>
      <c r="AK1248" s="1" t="s">
        <v>136</v>
      </c>
    </row>
    <row r="1249" spans="1:37" x14ac:dyDescent="0.25">
      <c r="A1249">
        <v>1749</v>
      </c>
      <c r="B1249">
        <v>31</v>
      </c>
      <c r="C1249" s="1" t="s">
        <v>25</v>
      </c>
      <c r="D1249" s="1" t="s">
        <v>70</v>
      </c>
      <c r="E1249">
        <v>3</v>
      </c>
      <c r="F1249" s="1" t="s">
        <v>143</v>
      </c>
      <c r="G1249">
        <v>1</v>
      </c>
      <c r="H1249" s="1" t="s">
        <v>18</v>
      </c>
      <c r="I1249">
        <v>6</v>
      </c>
      <c r="J1249">
        <v>3</v>
      </c>
      <c r="K1249">
        <v>5</v>
      </c>
      <c r="L1249">
        <v>2</v>
      </c>
      <c r="M1249">
        <v>0</v>
      </c>
      <c r="N1249">
        <v>2</v>
      </c>
      <c r="O1249" s="1" t="s">
        <v>19</v>
      </c>
      <c r="P1249" s="1" t="s">
        <v>135</v>
      </c>
      <c r="Q1249">
        <v>1003</v>
      </c>
      <c r="R1249" s="1" t="s">
        <v>64</v>
      </c>
      <c r="S1249">
        <v>5</v>
      </c>
      <c r="T1249">
        <v>1</v>
      </c>
      <c r="U1249">
        <v>1</v>
      </c>
      <c r="V1249">
        <v>51</v>
      </c>
      <c r="W1249">
        <v>3</v>
      </c>
      <c r="X1249">
        <v>2</v>
      </c>
      <c r="Y1249" s="1" t="s">
        <v>4</v>
      </c>
      <c r="Z1249">
        <v>3</v>
      </c>
      <c r="AA1249">
        <v>8346</v>
      </c>
      <c r="AB1249">
        <v>20943</v>
      </c>
      <c r="AC1249" s="1" t="s">
        <v>19</v>
      </c>
      <c r="AD1249">
        <v>19</v>
      </c>
      <c r="AE1249">
        <v>3</v>
      </c>
      <c r="AF1249">
        <v>3</v>
      </c>
      <c r="AG1249">
        <v>80</v>
      </c>
      <c r="AH1249">
        <v>1</v>
      </c>
      <c r="AI1249">
        <v>3</v>
      </c>
      <c r="AJ1249">
        <v>0</v>
      </c>
      <c r="AK1249" s="1" t="s">
        <v>136</v>
      </c>
    </row>
    <row r="1250" spans="1:37" x14ac:dyDescent="0.25">
      <c r="A1250">
        <v>1751</v>
      </c>
      <c r="B1250">
        <v>27</v>
      </c>
      <c r="C1250" s="1" t="s">
        <v>24</v>
      </c>
      <c r="D1250" s="1" t="s">
        <v>71</v>
      </c>
      <c r="E1250">
        <v>3</v>
      </c>
      <c r="F1250" s="1" t="s">
        <v>139</v>
      </c>
      <c r="G1250">
        <v>1</v>
      </c>
      <c r="H1250" s="1" t="s">
        <v>18</v>
      </c>
      <c r="I1250">
        <v>6</v>
      </c>
      <c r="J1250">
        <v>5</v>
      </c>
      <c r="K1250">
        <v>6</v>
      </c>
      <c r="L1250">
        <v>2</v>
      </c>
      <c r="M1250">
        <v>1</v>
      </c>
      <c r="N1250">
        <v>4</v>
      </c>
      <c r="O1250" s="1" t="s">
        <v>19</v>
      </c>
      <c r="P1250" s="1" t="s">
        <v>135</v>
      </c>
      <c r="Q1250">
        <v>1054</v>
      </c>
      <c r="R1250" s="1" t="s">
        <v>63</v>
      </c>
      <c r="S1250">
        <v>8</v>
      </c>
      <c r="T1250">
        <v>1</v>
      </c>
      <c r="U1250">
        <v>3</v>
      </c>
      <c r="V1250">
        <v>67</v>
      </c>
      <c r="W1250">
        <v>3</v>
      </c>
      <c r="X1250">
        <v>1</v>
      </c>
      <c r="Y1250" s="1" t="s">
        <v>5</v>
      </c>
      <c r="Z1250">
        <v>4</v>
      </c>
      <c r="AA1250">
        <v>3445</v>
      </c>
      <c r="AB1250">
        <v>6152</v>
      </c>
      <c r="AC1250" s="1" t="s">
        <v>19</v>
      </c>
      <c r="AD1250">
        <v>11</v>
      </c>
      <c r="AE1250">
        <v>3</v>
      </c>
      <c r="AF1250">
        <v>3</v>
      </c>
      <c r="AG1250">
        <v>80</v>
      </c>
      <c r="AH1250">
        <v>0</v>
      </c>
      <c r="AI1250">
        <v>2</v>
      </c>
      <c r="AJ1250">
        <v>0</v>
      </c>
      <c r="AK1250" s="1" t="s">
        <v>136</v>
      </c>
    </row>
    <row r="1251" spans="1:37" x14ac:dyDescent="0.25">
      <c r="A1251">
        <v>1752</v>
      </c>
      <c r="B1251">
        <v>29</v>
      </c>
      <c r="C1251" s="1" t="s">
        <v>24</v>
      </c>
      <c r="D1251" s="1" t="s">
        <v>71</v>
      </c>
      <c r="E1251">
        <v>3</v>
      </c>
      <c r="F1251" s="1" t="s">
        <v>142</v>
      </c>
      <c r="G1251">
        <v>1</v>
      </c>
      <c r="H1251" s="1" t="s">
        <v>18</v>
      </c>
      <c r="I1251">
        <v>2</v>
      </c>
      <c r="J1251">
        <v>3</v>
      </c>
      <c r="K1251">
        <v>2</v>
      </c>
      <c r="L1251">
        <v>2</v>
      </c>
      <c r="M1251">
        <v>2</v>
      </c>
      <c r="N1251">
        <v>2</v>
      </c>
      <c r="O1251" s="1" t="s">
        <v>18</v>
      </c>
      <c r="P1251" s="1" t="s">
        <v>135</v>
      </c>
      <c r="Q1251">
        <v>428</v>
      </c>
      <c r="R1251" s="1" t="s">
        <v>64</v>
      </c>
      <c r="S1251">
        <v>9</v>
      </c>
      <c r="T1251">
        <v>1</v>
      </c>
      <c r="U1251">
        <v>2</v>
      </c>
      <c r="V1251">
        <v>52</v>
      </c>
      <c r="W1251">
        <v>1</v>
      </c>
      <c r="X1251">
        <v>1</v>
      </c>
      <c r="Y1251" s="1" t="s">
        <v>10</v>
      </c>
      <c r="Z1251">
        <v>2</v>
      </c>
      <c r="AA1251">
        <v>2760</v>
      </c>
      <c r="AB1251">
        <v>14630</v>
      </c>
      <c r="AC1251" s="1" t="s">
        <v>19</v>
      </c>
      <c r="AD1251">
        <v>13</v>
      </c>
      <c r="AE1251">
        <v>3</v>
      </c>
      <c r="AF1251">
        <v>3</v>
      </c>
      <c r="AG1251">
        <v>80</v>
      </c>
      <c r="AH1251">
        <v>0</v>
      </c>
      <c r="AI1251">
        <v>3</v>
      </c>
      <c r="AJ1251">
        <v>1</v>
      </c>
      <c r="AK1251" s="1" t="s">
        <v>136</v>
      </c>
    </row>
    <row r="1252" spans="1:37" x14ac:dyDescent="0.25">
      <c r="A1252">
        <v>1753</v>
      </c>
      <c r="B1252">
        <v>29</v>
      </c>
      <c r="C1252" s="1" t="s">
        <v>25</v>
      </c>
      <c r="D1252" s="1" t="s">
        <v>71</v>
      </c>
      <c r="E1252">
        <v>3</v>
      </c>
      <c r="F1252" s="1" t="s">
        <v>134</v>
      </c>
      <c r="G1252">
        <v>8</v>
      </c>
      <c r="H1252" s="1" t="s">
        <v>18</v>
      </c>
      <c r="I1252">
        <v>10</v>
      </c>
      <c r="J1252">
        <v>5</v>
      </c>
      <c r="K1252">
        <v>3</v>
      </c>
      <c r="L1252">
        <v>2</v>
      </c>
      <c r="M1252">
        <v>0</v>
      </c>
      <c r="N1252">
        <v>2</v>
      </c>
      <c r="O1252" s="1" t="s">
        <v>19</v>
      </c>
      <c r="P1252" s="1" t="s">
        <v>137</v>
      </c>
      <c r="Q1252">
        <v>461</v>
      </c>
      <c r="R1252" s="1" t="s">
        <v>63</v>
      </c>
      <c r="S1252">
        <v>1</v>
      </c>
      <c r="T1252">
        <v>1</v>
      </c>
      <c r="U1252">
        <v>4</v>
      </c>
      <c r="V1252">
        <v>70</v>
      </c>
      <c r="W1252">
        <v>4</v>
      </c>
      <c r="X1252">
        <v>2</v>
      </c>
      <c r="Y1252" s="1" t="s">
        <v>8</v>
      </c>
      <c r="Z1252">
        <v>3</v>
      </c>
      <c r="AA1252">
        <v>6294</v>
      </c>
      <c r="AB1252">
        <v>23060</v>
      </c>
      <c r="AC1252" s="1" t="s">
        <v>18</v>
      </c>
      <c r="AD1252">
        <v>12</v>
      </c>
      <c r="AE1252">
        <v>3</v>
      </c>
      <c r="AF1252">
        <v>4</v>
      </c>
      <c r="AG1252">
        <v>80</v>
      </c>
      <c r="AH1252">
        <v>0</v>
      </c>
      <c r="AI1252">
        <v>4</v>
      </c>
      <c r="AJ1252">
        <v>0</v>
      </c>
      <c r="AK1252" s="1" t="s">
        <v>136</v>
      </c>
    </row>
    <row r="1253" spans="1:37" x14ac:dyDescent="0.25">
      <c r="A1253">
        <v>1754</v>
      </c>
      <c r="B1253">
        <v>30</v>
      </c>
      <c r="C1253" s="1" t="s">
        <v>25</v>
      </c>
      <c r="D1253" s="1" t="s">
        <v>69</v>
      </c>
      <c r="E1253">
        <v>2</v>
      </c>
      <c r="F1253" s="1" t="s">
        <v>142</v>
      </c>
      <c r="G1253">
        <v>2</v>
      </c>
      <c r="H1253" s="1" t="s">
        <v>18</v>
      </c>
      <c r="I1253">
        <v>12</v>
      </c>
      <c r="J1253">
        <v>2</v>
      </c>
      <c r="K1253">
        <v>7</v>
      </c>
      <c r="L1253">
        <v>7</v>
      </c>
      <c r="M1253">
        <v>1</v>
      </c>
      <c r="N1253">
        <v>7</v>
      </c>
      <c r="O1253" s="1" t="s">
        <v>19</v>
      </c>
      <c r="P1253" s="1" t="s">
        <v>135</v>
      </c>
      <c r="Q1253">
        <v>979</v>
      </c>
      <c r="R1253" s="1" t="s">
        <v>64</v>
      </c>
      <c r="S1253">
        <v>15</v>
      </c>
      <c r="T1253">
        <v>1</v>
      </c>
      <c r="U1253">
        <v>3</v>
      </c>
      <c r="V1253">
        <v>94</v>
      </c>
      <c r="W1253">
        <v>2</v>
      </c>
      <c r="X1253">
        <v>3</v>
      </c>
      <c r="Y1253" s="1" t="s">
        <v>4</v>
      </c>
      <c r="Z1253">
        <v>1</v>
      </c>
      <c r="AA1253">
        <v>7140</v>
      </c>
      <c r="AB1253">
        <v>3088</v>
      </c>
      <c r="AC1253" s="1" t="s">
        <v>19</v>
      </c>
      <c r="AD1253">
        <v>11</v>
      </c>
      <c r="AE1253">
        <v>3</v>
      </c>
      <c r="AF1253">
        <v>1</v>
      </c>
      <c r="AG1253">
        <v>80</v>
      </c>
      <c r="AH1253">
        <v>1</v>
      </c>
      <c r="AI1253">
        <v>3</v>
      </c>
      <c r="AJ1253">
        <v>0</v>
      </c>
      <c r="AK1253" s="1" t="s">
        <v>136</v>
      </c>
    </row>
    <row r="1254" spans="1:37" x14ac:dyDescent="0.25">
      <c r="A1254">
        <v>1755</v>
      </c>
      <c r="B1254">
        <v>34</v>
      </c>
      <c r="C1254" s="1" t="s">
        <v>25</v>
      </c>
      <c r="D1254" s="1" t="s">
        <v>70</v>
      </c>
      <c r="E1254">
        <v>4</v>
      </c>
      <c r="F1254" s="1" t="s">
        <v>139</v>
      </c>
      <c r="G1254">
        <v>0</v>
      </c>
      <c r="H1254" s="1" t="s">
        <v>18</v>
      </c>
      <c r="I1254">
        <v>6</v>
      </c>
      <c r="J1254">
        <v>3</v>
      </c>
      <c r="K1254">
        <v>5</v>
      </c>
      <c r="L1254">
        <v>0</v>
      </c>
      <c r="M1254">
        <v>1</v>
      </c>
      <c r="N1254">
        <v>2</v>
      </c>
      <c r="O1254" s="1" t="s">
        <v>19</v>
      </c>
      <c r="P1254" s="1" t="s">
        <v>135</v>
      </c>
      <c r="Q1254">
        <v>181</v>
      </c>
      <c r="R1254" s="1" t="s">
        <v>63</v>
      </c>
      <c r="S1254">
        <v>2</v>
      </c>
      <c r="T1254">
        <v>1</v>
      </c>
      <c r="U1254">
        <v>4</v>
      </c>
      <c r="V1254">
        <v>97</v>
      </c>
      <c r="W1254">
        <v>4</v>
      </c>
      <c r="X1254">
        <v>1</v>
      </c>
      <c r="Y1254" s="1" t="s">
        <v>5</v>
      </c>
      <c r="Z1254">
        <v>4</v>
      </c>
      <c r="AA1254">
        <v>2932</v>
      </c>
      <c r="AB1254">
        <v>5586</v>
      </c>
      <c r="AC1254" s="1" t="s">
        <v>18</v>
      </c>
      <c r="AD1254">
        <v>14</v>
      </c>
      <c r="AE1254">
        <v>3</v>
      </c>
      <c r="AF1254">
        <v>1</v>
      </c>
      <c r="AG1254">
        <v>80</v>
      </c>
      <c r="AH1254">
        <v>3</v>
      </c>
      <c r="AI1254">
        <v>3</v>
      </c>
      <c r="AJ1254">
        <v>0</v>
      </c>
      <c r="AK1254" s="1" t="s">
        <v>136</v>
      </c>
    </row>
    <row r="1255" spans="1:37" x14ac:dyDescent="0.25">
      <c r="A1255">
        <v>1756</v>
      </c>
      <c r="B1255">
        <v>33</v>
      </c>
      <c r="C1255" s="1" t="s">
        <v>24</v>
      </c>
      <c r="D1255" s="1" t="s">
        <v>71</v>
      </c>
      <c r="E1255">
        <v>3</v>
      </c>
      <c r="F1255" s="1" t="s">
        <v>142</v>
      </c>
      <c r="G1255">
        <v>8</v>
      </c>
      <c r="H1255" s="1" t="s">
        <v>18</v>
      </c>
      <c r="I1255">
        <v>13</v>
      </c>
      <c r="J1255">
        <v>2</v>
      </c>
      <c r="K1255">
        <v>11</v>
      </c>
      <c r="L1255">
        <v>7</v>
      </c>
      <c r="M1255">
        <v>1</v>
      </c>
      <c r="N1255">
        <v>7</v>
      </c>
      <c r="O1255" s="1" t="s">
        <v>19</v>
      </c>
      <c r="P1255" s="1" t="s">
        <v>141</v>
      </c>
      <c r="Q1255">
        <v>1283</v>
      </c>
      <c r="R1255" s="1" t="s">
        <v>64</v>
      </c>
      <c r="S1255">
        <v>2</v>
      </c>
      <c r="T1255">
        <v>1</v>
      </c>
      <c r="U1255">
        <v>4</v>
      </c>
      <c r="V1255">
        <v>62</v>
      </c>
      <c r="W1255">
        <v>3</v>
      </c>
      <c r="X1255">
        <v>2</v>
      </c>
      <c r="Y1255" s="1" t="s">
        <v>4</v>
      </c>
      <c r="Z1255">
        <v>2</v>
      </c>
      <c r="AA1255">
        <v>5147</v>
      </c>
      <c r="AB1255">
        <v>10697</v>
      </c>
      <c r="AC1255" s="1" t="s">
        <v>19</v>
      </c>
      <c r="AD1255">
        <v>15</v>
      </c>
      <c r="AE1255">
        <v>3</v>
      </c>
      <c r="AF1255">
        <v>4</v>
      </c>
      <c r="AG1255">
        <v>80</v>
      </c>
      <c r="AH1255">
        <v>0</v>
      </c>
      <c r="AI1255">
        <v>2</v>
      </c>
      <c r="AJ1255">
        <v>0</v>
      </c>
      <c r="AK1255" s="1" t="s">
        <v>136</v>
      </c>
    </row>
    <row r="1256" spans="1:37" x14ac:dyDescent="0.25">
      <c r="A1256">
        <v>1757</v>
      </c>
      <c r="B1256">
        <v>49</v>
      </c>
      <c r="C1256" s="1" t="s">
        <v>24</v>
      </c>
      <c r="D1256" s="1" t="s">
        <v>71</v>
      </c>
      <c r="E1256">
        <v>4</v>
      </c>
      <c r="F1256" s="1" t="s">
        <v>142</v>
      </c>
      <c r="G1256">
        <v>3</v>
      </c>
      <c r="H1256" s="1" t="s">
        <v>18</v>
      </c>
      <c r="I1256">
        <v>8</v>
      </c>
      <c r="J1256">
        <v>1</v>
      </c>
      <c r="K1256">
        <v>5</v>
      </c>
      <c r="L1256">
        <v>1</v>
      </c>
      <c r="M1256">
        <v>0</v>
      </c>
      <c r="N1256">
        <v>4</v>
      </c>
      <c r="O1256" s="1" t="s">
        <v>19</v>
      </c>
      <c r="P1256" s="1" t="s">
        <v>135</v>
      </c>
      <c r="Q1256">
        <v>1313</v>
      </c>
      <c r="R1256" s="1" t="s">
        <v>64</v>
      </c>
      <c r="S1256">
        <v>11</v>
      </c>
      <c r="T1256">
        <v>1</v>
      </c>
      <c r="U1256">
        <v>4</v>
      </c>
      <c r="V1256">
        <v>80</v>
      </c>
      <c r="W1256">
        <v>3</v>
      </c>
      <c r="X1256">
        <v>2</v>
      </c>
      <c r="Y1256" s="1" t="s">
        <v>4</v>
      </c>
      <c r="Z1256">
        <v>4</v>
      </c>
      <c r="AA1256">
        <v>4507</v>
      </c>
      <c r="AB1256">
        <v>8191</v>
      </c>
      <c r="AC1256" s="1" t="s">
        <v>19</v>
      </c>
      <c r="AD1256">
        <v>12</v>
      </c>
      <c r="AE1256">
        <v>3</v>
      </c>
      <c r="AF1256">
        <v>3</v>
      </c>
      <c r="AG1256">
        <v>80</v>
      </c>
      <c r="AH1256">
        <v>0</v>
      </c>
      <c r="AI1256">
        <v>4</v>
      </c>
      <c r="AJ1256">
        <v>0</v>
      </c>
      <c r="AK1256" s="1" t="s">
        <v>136</v>
      </c>
    </row>
    <row r="1257" spans="1:37" x14ac:dyDescent="0.25">
      <c r="A1257">
        <v>1758</v>
      </c>
      <c r="B1257">
        <v>33</v>
      </c>
      <c r="C1257" s="1" t="s">
        <v>24</v>
      </c>
      <c r="D1257" s="1" t="s">
        <v>71</v>
      </c>
      <c r="E1257">
        <v>3</v>
      </c>
      <c r="F1257" s="1" t="s">
        <v>134</v>
      </c>
      <c r="G1257">
        <v>2</v>
      </c>
      <c r="H1257" s="1" t="s">
        <v>18</v>
      </c>
      <c r="I1257">
        <v>11</v>
      </c>
      <c r="J1257">
        <v>2</v>
      </c>
      <c r="K1257">
        <v>0</v>
      </c>
      <c r="L1257">
        <v>0</v>
      </c>
      <c r="M1257">
        <v>0</v>
      </c>
      <c r="N1257">
        <v>0</v>
      </c>
      <c r="O1257" s="1" t="s">
        <v>18</v>
      </c>
      <c r="P1257" s="1" t="s">
        <v>135</v>
      </c>
      <c r="Q1257">
        <v>211</v>
      </c>
      <c r="R1257" s="1" t="s">
        <v>64</v>
      </c>
      <c r="S1257">
        <v>16</v>
      </c>
      <c r="T1257">
        <v>1</v>
      </c>
      <c r="U1257">
        <v>1</v>
      </c>
      <c r="V1257">
        <v>74</v>
      </c>
      <c r="W1257">
        <v>3</v>
      </c>
      <c r="X1257">
        <v>3</v>
      </c>
      <c r="Y1257" s="1" t="s">
        <v>4</v>
      </c>
      <c r="Z1257">
        <v>1</v>
      </c>
      <c r="AA1257">
        <v>8564</v>
      </c>
      <c r="AB1257">
        <v>10092</v>
      </c>
      <c r="AC1257" s="1" t="s">
        <v>18</v>
      </c>
      <c r="AD1257">
        <v>20</v>
      </c>
      <c r="AE1257">
        <v>4</v>
      </c>
      <c r="AF1257">
        <v>3</v>
      </c>
      <c r="AG1257">
        <v>80</v>
      </c>
      <c r="AH1257">
        <v>0</v>
      </c>
      <c r="AI1257">
        <v>2</v>
      </c>
      <c r="AJ1257">
        <v>1</v>
      </c>
      <c r="AK1257" s="1" t="s">
        <v>136</v>
      </c>
    </row>
    <row r="1258" spans="1:37" x14ac:dyDescent="0.25">
      <c r="A1258">
        <v>1760</v>
      </c>
      <c r="B1258">
        <v>38</v>
      </c>
      <c r="C1258" s="1" t="s">
        <v>24</v>
      </c>
      <c r="D1258" s="1" t="s">
        <v>70</v>
      </c>
      <c r="E1258">
        <v>2</v>
      </c>
      <c r="F1258" s="1" t="s">
        <v>139</v>
      </c>
      <c r="G1258">
        <v>4</v>
      </c>
      <c r="H1258" s="1" t="s">
        <v>18</v>
      </c>
      <c r="I1258">
        <v>9</v>
      </c>
      <c r="J1258">
        <v>4</v>
      </c>
      <c r="K1258">
        <v>6</v>
      </c>
      <c r="L1258">
        <v>1</v>
      </c>
      <c r="M1258">
        <v>0</v>
      </c>
      <c r="N1258">
        <v>5</v>
      </c>
      <c r="O1258" s="1" t="s">
        <v>19</v>
      </c>
      <c r="P1258" s="1" t="s">
        <v>137</v>
      </c>
      <c r="Q1258">
        <v>594</v>
      </c>
      <c r="R1258" s="1" t="s">
        <v>63</v>
      </c>
      <c r="S1258">
        <v>2</v>
      </c>
      <c r="T1258">
        <v>1</v>
      </c>
      <c r="U1258">
        <v>3</v>
      </c>
      <c r="V1258">
        <v>75</v>
      </c>
      <c r="W1258">
        <v>2</v>
      </c>
      <c r="X1258">
        <v>1</v>
      </c>
      <c r="Y1258" s="1" t="s">
        <v>6</v>
      </c>
      <c r="Z1258">
        <v>2</v>
      </c>
      <c r="AA1258">
        <v>2468</v>
      </c>
      <c r="AB1258">
        <v>15963</v>
      </c>
      <c r="AC1258" s="1" t="s">
        <v>19</v>
      </c>
      <c r="AD1258">
        <v>14</v>
      </c>
      <c r="AE1258">
        <v>3</v>
      </c>
      <c r="AF1258">
        <v>2</v>
      </c>
      <c r="AG1258">
        <v>80</v>
      </c>
      <c r="AH1258">
        <v>1</v>
      </c>
      <c r="AI1258">
        <v>2</v>
      </c>
      <c r="AJ1258">
        <v>0</v>
      </c>
      <c r="AK1258" s="1" t="s">
        <v>136</v>
      </c>
    </row>
    <row r="1259" spans="1:37" x14ac:dyDescent="0.25">
      <c r="A1259">
        <v>1761</v>
      </c>
      <c r="B1259">
        <v>31</v>
      </c>
      <c r="C1259" s="1" t="s">
        <v>25</v>
      </c>
      <c r="D1259" s="1" t="s">
        <v>70</v>
      </c>
      <c r="E1259">
        <v>4</v>
      </c>
      <c r="F1259" s="1" t="s">
        <v>142</v>
      </c>
      <c r="G1259">
        <v>2</v>
      </c>
      <c r="H1259" s="1" t="s">
        <v>18</v>
      </c>
      <c r="I1259">
        <v>10</v>
      </c>
      <c r="J1259">
        <v>2</v>
      </c>
      <c r="K1259">
        <v>1</v>
      </c>
      <c r="L1259">
        <v>0</v>
      </c>
      <c r="M1259">
        <v>0</v>
      </c>
      <c r="N1259">
        <v>0</v>
      </c>
      <c r="O1259" s="1" t="s">
        <v>18</v>
      </c>
      <c r="P1259" s="1" t="s">
        <v>135</v>
      </c>
      <c r="Q1259">
        <v>1079</v>
      </c>
      <c r="R1259" s="1" t="s">
        <v>64</v>
      </c>
      <c r="S1259">
        <v>16</v>
      </c>
      <c r="T1259">
        <v>1</v>
      </c>
      <c r="U1259">
        <v>1</v>
      </c>
      <c r="V1259">
        <v>70</v>
      </c>
      <c r="W1259">
        <v>3</v>
      </c>
      <c r="X1259">
        <v>3</v>
      </c>
      <c r="Y1259" s="1" t="s">
        <v>4</v>
      </c>
      <c r="Z1259">
        <v>3</v>
      </c>
      <c r="AA1259">
        <v>8161</v>
      </c>
      <c r="AB1259">
        <v>19002</v>
      </c>
      <c r="AC1259" s="1" t="s">
        <v>19</v>
      </c>
      <c r="AD1259">
        <v>13</v>
      </c>
      <c r="AE1259">
        <v>3</v>
      </c>
      <c r="AF1259">
        <v>1</v>
      </c>
      <c r="AG1259">
        <v>80</v>
      </c>
      <c r="AH1259">
        <v>3</v>
      </c>
      <c r="AI1259">
        <v>3</v>
      </c>
      <c r="AJ1259">
        <v>1</v>
      </c>
      <c r="AK1259" s="1" t="s">
        <v>136</v>
      </c>
    </row>
    <row r="1260" spans="1:37" x14ac:dyDescent="0.25">
      <c r="A1260">
        <v>1762</v>
      </c>
      <c r="B1260">
        <v>29</v>
      </c>
      <c r="C1260" s="1" t="s">
        <v>24</v>
      </c>
      <c r="D1260" s="1" t="s">
        <v>69</v>
      </c>
      <c r="E1260">
        <v>3</v>
      </c>
      <c r="F1260" s="1" t="s">
        <v>143</v>
      </c>
      <c r="G1260">
        <v>1</v>
      </c>
      <c r="H1260" s="1" t="s">
        <v>18</v>
      </c>
      <c r="I1260">
        <v>1</v>
      </c>
      <c r="J1260">
        <v>2</v>
      </c>
      <c r="K1260">
        <v>1</v>
      </c>
      <c r="L1260">
        <v>0</v>
      </c>
      <c r="M1260">
        <v>0</v>
      </c>
      <c r="N1260">
        <v>0</v>
      </c>
      <c r="O1260" s="1" t="s">
        <v>19</v>
      </c>
      <c r="P1260" s="1" t="s">
        <v>135</v>
      </c>
      <c r="Q1260">
        <v>590</v>
      </c>
      <c r="R1260" s="1" t="s">
        <v>63</v>
      </c>
      <c r="S1260">
        <v>4</v>
      </c>
      <c r="T1260">
        <v>1</v>
      </c>
      <c r="U1260">
        <v>4</v>
      </c>
      <c r="V1260">
        <v>91</v>
      </c>
      <c r="W1260">
        <v>2</v>
      </c>
      <c r="X1260">
        <v>1</v>
      </c>
      <c r="Y1260" s="1" t="s">
        <v>5</v>
      </c>
      <c r="Z1260">
        <v>1</v>
      </c>
      <c r="AA1260">
        <v>2109</v>
      </c>
      <c r="AB1260">
        <v>10007</v>
      </c>
      <c r="AC1260" s="1" t="s">
        <v>19</v>
      </c>
      <c r="AD1260">
        <v>13</v>
      </c>
      <c r="AE1260">
        <v>3</v>
      </c>
      <c r="AF1260">
        <v>3</v>
      </c>
      <c r="AG1260">
        <v>80</v>
      </c>
      <c r="AH1260">
        <v>1</v>
      </c>
      <c r="AI1260">
        <v>3</v>
      </c>
      <c r="AJ1260">
        <v>0</v>
      </c>
      <c r="AK1260" s="1" t="s">
        <v>136</v>
      </c>
    </row>
    <row r="1261" spans="1:37" x14ac:dyDescent="0.25">
      <c r="A1261">
        <v>1763</v>
      </c>
      <c r="B1261">
        <v>30</v>
      </c>
      <c r="C1261" s="1" t="s">
        <v>25</v>
      </c>
      <c r="D1261" s="1" t="s">
        <v>70</v>
      </c>
      <c r="E1261">
        <v>3</v>
      </c>
      <c r="F1261" s="1" t="s">
        <v>134</v>
      </c>
      <c r="G1261">
        <v>3</v>
      </c>
      <c r="H1261" s="1" t="s">
        <v>18</v>
      </c>
      <c r="I1261">
        <v>10</v>
      </c>
      <c r="J1261">
        <v>3</v>
      </c>
      <c r="K1261">
        <v>7</v>
      </c>
      <c r="L1261">
        <v>0</v>
      </c>
      <c r="M1261">
        <v>1</v>
      </c>
      <c r="N1261">
        <v>7</v>
      </c>
      <c r="O1261" s="1" t="s">
        <v>19</v>
      </c>
      <c r="P1261" s="1" t="s">
        <v>135</v>
      </c>
      <c r="Q1261">
        <v>305</v>
      </c>
      <c r="R1261" s="1" t="s">
        <v>63</v>
      </c>
      <c r="S1261">
        <v>16</v>
      </c>
      <c r="T1261">
        <v>1</v>
      </c>
      <c r="U1261">
        <v>3</v>
      </c>
      <c r="V1261">
        <v>58</v>
      </c>
      <c r="W1261">
        <v>4</v>
      </c>
      <c r="X1261">
        <v>2</v>
      </c>
      <c r="Y1261" s="1" t="s">
        <v>8</v>
      </c>
      <c r="Z1261">
        <v>3</v>
      </c>
      <c r="AA1261">
        <v>5294</v>
      </c>
      <c r="AB1261">
        <v>9128</v>
      </c>
      <c r="AC1261" s="1" t="s">
        <v>19</v>
      </c>
      <c r="AD1261">
        <v>16</v>
      </c>
      <c r="AE1261">
        <v>3</v>
      </c>
      <c r="AF1261">
        <v>3</v>
      </c>
      <c r="AG1261">
        <v>80</v>
      </c>
      <c r="AH1261">
        <v>1</v>
      </c>
      <c r="AI1261">
        <v>3</v>
      </c>
      <c r="AJ1261">
        <v>0</v>
      </c>
      <c r="AK1261" s="1" t="s">
        <v>136</v>
      </c>
    </row>
    <row r="1262" spans="1:37" x14ac:dyDescent="0.25">
      <c r="A1262">
        <v>1764</v>
      </c>
      <c r="B1262">
        <v>32</v>
      </c>
      <c r="C1262" s="1" t="s">
        <v>25</v>
      </c>
      <c r="D1262" s="1" t="s">
        <v>71</v>
      </c>
      <c r="E1262">
        <v>4</v>
      </c>
      <c r="F1262" s="1" t="s">
        <v>143</v>
      </c>
      <c r="G1262">
        <v>2</v>
      </c>
      <c r="H1262" s="1" t="s">
        <v>18</v>
      </c>
      <c r="I1262">
        <v>12</v>
      </c>
      <c r="J1262">
        <v>3</v>
      </c>
      <c r="K1262">
        <v>7</v>
      </c>
      <c r="L1262">
        <v>7</v>
      </c>
      <c r="M1262">
        <v>0</v>
      </c>
      <c r="N1262">
        <v>7</v>
      </c>
      <c r="O1262" s="1" t="s">
        <v>19</v>
      </c>
      <c r="P1262" s="1" t="s">
        <v>141</v>
      </c>
      <c r="Q1262">
        <v>953</v>
      </c>
      <c r="R1262" s="1" t="s">
        <v>63</v>
      </c>
      <c r="S1262">
        <v>5</v>
      </c>
      <c r="T1262">
        <v>1</v>
      </c>
      <c r="U1262">
        <v>2</v>
      </c>
      <c r="V1262">
        <v>65</v>
      </c>
      <c r="W1262">
        <v>3</v>
      </c>
      <c r="X1262">
        <v>1</v>
      </c>
      <c r="Y1262" s="1" t="s">
        <v>5</v>
      </c>
      <c r="Z1262">
        <v>2</v>
      </c>
      <c r="AA1262">
        <v>2718</v>
      </c>
      <c r="AB1262">
        <v>17674</v>
      </c>
      <c r="AC1262" s="1" t="s">
        <v>19</v>
      </c>
      <c r="AD1262">
        <v>14</v>
      </c>
      <c r="AE1262">
        <v>3</v>
      </c>
      <c r="AF1262">
        <v>2</v>
      </c>
      <c r="AG1262">
        <v>80</v>
      </c>
      <c r="AH1262">
        <v>0</v>
      </c>
      <c r="AI1262">
        <v>3</v>
      </c>
      <c r="AJ1262">
        <v>0</v>
      </c>
      <c r="AK1262" s="1" t="s">
        <v>136</v>
      </c>
    </row>
    <row r="1263" spans="1:37" x14ac:dyDescent="0.25">
      <c r="A1263">
        <v>1766</v>
      </c>
      <c r="B1263">
        <v>38</v>
      </c>
      <c r="C1263" s="1" t="s">
        <v>25</v>
      </c>
      <c r="D1263" s="1" t="s">
        <v>70</v>
      </c>
      <c r="E1263">
        <v>3</v>
      </c>
      <c r="F1263" s="1" t="s">
        <v>139</v>
      </c>
      <c r="G1263">
        <v>3</v>
      </c>
      <c r="H1263" s="1" t="s">
        <v>18</v>
      </c>
      <c r="I1263">
        <v>15</v>
      </c>
      <c r="J1263">
        <v>2</v>
      </c>
      <c r="K1263">
        <v>1</v>
      </c>
      <c r="L1263">
        <v>0</v>
      </c>
      <c r="M1263">
        <v>1</v>
      </c>
      <c r="N1263">
        <v>0</v>
      </c>
      <c r="O1263" s="1" t="s">
        <v>19</v>
      </c>
      <c r="P1263" s="1" t="s">
        <v>135</v>
      </c>
      <c r="Q1263">
        <v>833</v>
      </c>
      <c r="R1263" s="1" t="s">
        <v>63</v>
      </c>
      <c r="S1263">
        <v>18</v>
      </c>
      <c r="T1263">
        <v>1</v>
      </c>
      <c r="U1263">
        <v>2</v>
      </c>
      <c r="V1263">
        <v>60</v>
      </c>
      <c r="W1263">
        <v>1</v>
      </c>
      <c r="X1263">
        <v>2</v>
      </c>
      <c r="Y1263" s="1" t="s">
        <v>8</v>
      </c>
      <c r="Z1263">
        <v>4</v>
      </c>
      <c r="AA1263">
        <v>5811</v>
      </c>
      <c r="AB1263">
        <v>24539</v>
      </c>
      <c r="AC1263" s="1" t="s">
        <v>18</v>
      </c>
      <c r="AD1263">
        <v>16</v>
      </c>
      <c r="AE1263">
        <v>3</v>
      </c>
      <c r="AF1263">
        <v>3</v>
      </c>
      <c r="AG1263">
        <v>80</v>
      </c>
      <c r="AH1263">
        <v>1</v>
      </c>
      <c r="AI1263">
        <v>3</v>
      </c>
      <c r="AJ1263">
        <v>0</v>
      </c>
      <c r="AK1263" s="1" t="s">
        <v>136</v>
      </c>
    </row>
    <row r="1264" spans="1:37" x14ac:dyDescent="0.25">
      <c r="A1264">
        <v>1767</v>
      </c>
      <c r="B1264">
        <v>43</v>
      </c>
      <c r="C1264" s="1" t="s">
        <v>25</v>
      </c>
      <c r="D1264" s="1" t="s">
        <v>70</v>
      </c>
      <c r="E1264">
        <v>3</v>
      </c>
      <c r="F1264" s="1" t="s">
        <v>143</v>
      </c>
      <c r="G1264">
        <v>9</v>
      </c>
      <c r="H1264" s="1" t="s">
        <v>18</v>
      </c>
      <c r="I1264">
        <v>6</v>
      </c>
      <c r="J1264">
        <v>4</v>
      </c>
      <c r="K1264">
        <v>1</v>
      </c>
      <c r="L1264">
        <v>0</v>
      </c>
      <c r="M1264">
        <v>0</v>
      </c>
      <c r="N1264">
        <v>0</v>
      </c>
      <c r="O1264" s="1" t="s">
        <v>18</v>
      </c>
      <c r="P1264" s="1" t="s">
        <v>137</v>
      </c>
      <c r="Q1264">
        <v>807</v>
      </c>
      <c r="R1264" s="1" t="s">
        <v>63</v>
      </c>
      <c r="S1264">
        <v>17</v>
      </c>
      <c r="T1264">
        <v>1</v>
      </c>
      <c r="U1264">
        <v>3</v>
      </c>
      <c r="V1264">
        <v>38</v>
      </c>
      <c r="W1264">
        <v>2</v>
      </c>
      <c r="X1264">
        <v>1</v>
      </c>
      <c r="Y1264" s="1" t="s">
        <v>5</v>
      </c>
      <c r="Z1264">
        <v>3</v>
      </c>
      <c r="AA1264">
        <v>2437</v>
      </c>
      <c r="AB1264">
        <v>15587</v>
      </c>
      <c r="AC1264" s="1" t="s">
        <v>18</v>
      </c>
      <c r="AD1264">
        <v>16</v>
      </c>
      <c r="AE1264">
        <v>3</v>
      </c>
      <c r="AF1264">
        <v>4</v>
      </c>
      <c r="AG1264">
        <v>80</v>
      </c>
      <c r="AH1264">
        <v>1</v>
      </c>
      <c r="AI1264">
        <v>3</v>
      </c>
      <c r="AJ1264">
        <v>1</v>
      </c>
      <c r="AK1264" s="1" t="s">
        <v>136</v>
      </c>
    </row>
    <row r="1265" spans="1:37" x14ac:dyDescent="0.25">
      <c r="A1265">
        <v>1768</v>
      </c>
      <c r="B1265">
        <v>42</v>
      </c>
      <c r="C1265" s="1" t="s">
        <v>25</v>
      </c>
      <c r="D1265" s="1" t="s">
        <v>69</v>
      </c>
      <c r="E1265">
        <v>3</v>
      </c>
      <c r="F1265" s="1" t="s">
        <v>139</v>
      </c>
      <c r="G1265">
        <v>8</v>
      </c>
      <c r="H1265" s="1" t="s">
        <v>18</v>
      </c>
      <c r="I1265">
        <v>7</v>
      </c>
      <c r="J1265">
        <v>6</v>
      </c>
      <c r="K1265">
        <v>5</v>
      </c>
      <c r="L1265">
        <v>3</v>
      </c>
      <c r="M1265">
        <v>0</v>
      </c>
      <c r="N1265">
        <v>4</v>
      </c>
      <c r="O1265" s="1" t="s">
        <v>19</v>
      </c>
      <c r="P1265" s="1" t="s">
        <v>135</v>
      </c>
      <c r="Q1265">
        <v>855</v>
      </c>
      <c r="R1265" s="1" t="s">
        <v>63</v>
      </c>
      <c r="S1265">
        <v>12</v>
      </c>
      <c r="T1265">
        <v>1</v>
      </c>
      <c r="U1265">
        <v>2</v>
      </c>
      <c r="V1265">
        <v>57</v>
      </c>
      <c r="W1265">
        <v>3</v>
      </c>
      <c r="X1265">
        <v>1</v>
      </c>
      <c r="Y1265" s="1" t="s">
        <v>6</v>
      </c>
      <c r="Z1265">
        <v>2</v>
      </c>
      <c r="AA1265">
        <v>2766</v>
      </c>
      <c r="AB1265">
        <v>8952</v>
      </c>
      <c r="AC1265" s="1" t="s">
        <v>19</v>
      </c>
      <c r="AD1265">
        <v>22</v>
      </c>
      <c r="AE1265">
        <v>4</v>
      </c>
      <c r="AF1265">
        <v>2</v>
      </c>
      <c r="AG1265">
        <v>80</v>
      </c>
      <c r="AH1265">
        <v>3</v>
      </c>
      <c r="AI1265">
        <v>2</v>
      </c>
      <c r="AJ1265">
        <v>0</v>
      </c>
      <c r="AK1265" s="1" t="s">
        <v>136</v>
      </c>
    </row>
    <row r="1266" spans="1:37" x14ac:dyDescent="0.25">
      <c r="A1266">
        <v>1770</v>
      </c>
      <c r="B1266">
        <v>55</v>
      </c>
      <c r="C1266" s="1" t="s">
        <v>25</v>
      </c>
      <c r="D1266" s="1" t="s">
        <v>70</v>
      </c>
      <c r="E1266">
        <v>3</v>
      </c>
      <c r="F1266" s="1" t="s">
        <v>139</v>
      </c>
      <c r="G1266">
        <v>8</v>
      </c>
      <c r="H1266" s="1" t="s">
        <v>18</v>
      </c>
      <c r="I1266">
        <v>34</v>
      </c>
      <c r="J1266">
        <v>2</v>
      </c>
      <c r="K1266">
        <v>1</v>
      </c>
      <c r="L1266">
        <v>0</v>
      </c>
      <c r="M1266">
        <v>0</v>
      </c>
      <c r="N1266">
        <v>0</v>
      </c>
      <c r="O1266" s="1" t="s">
        <v>19</v>
      </c>
      <c r="P1266" s="1" t="s">
        <v>135</v>
      </c>
      <c r="Q1266">
        <v>478</v>
      </c>
      <c r="R1266" s="1" t="s">
        <v>63</v>
      </c>
      <c r="S1266">
        <v>2</v>
      </c>
      <c r="T1266">
        <v>1</v>
      </c>
      <c r="U1266">
        <v>3</v>
      </c>
      <c r="V1266">
        <v>60</v>
      </c>
      <c r="W1266">
        <v>2</v>
      </c>
      <c r="X1266">
        <v>5</v>
      </c>
      <c r="Y1266" s="1" t="s">
        <v>11</v>
      </c>
      <c r="Z1266">
        <v>1</v>
      </c>
      <c r="AA1266">
        <v>19038</v>
      </c>
      <c r="AB1266">
        <v>19805</v>
      </c>
      <c r="AC1266" s="1" t="s">
        <v>19</v>
      </c>
      <c r="AD1266">
        <v>12</v>
      </c>
      <c r="AE1266">
        <v>3</v>
      </c>
      <c r="AF1266">
        <v>2</v>
      </c>
      <c r="AG1266">
        <v>80</v>
      </c>
      <c r="AH1266">
        <v>3</v>
      </c>
      <c r="AI1266">
        <v>3</v>
      </c>
      <c r="AJ1266">
        <v>0</v>
      </c>
      <c r="AK1266" s="1" t="s">
        <v>140</v>
      </c>
    </row>
    <row r="1267" spans="1:37" x14ac:dyDescent="0.25">
      <c r="A1267">
        <v>1771</v>
      </c>
      <c r="B1267">
        <v>33</v>
      </c>
      <c r="C1267" s="1" t="s">
        <v>25</v>
      </c>
      <c r="D1267" s="1" t="s">
        <v>69</v>
      </c>
      <c r="E1267">
        <v>3</v>
      </c>
      <c r="F1267" s="1" t="s">
        <v>143</v>
      </c>
      <c r="G1267">
        <v>5</v>
      </c>
      <c r="H1267" s="1" t="s">
        <v>18</v>
      </c>
      <c r="I1267">
        <v>11</v>
      </c>
      <c r="J1267">
        <v>2</v>
      </c>
      <c r="K1267">
        <v>9</v>
      </c>
      <c r="L1267">
        <v>8</v>
      </c>
      <c r="M1267">
        <v>1</v>
      </c>
      <c r="N1267">
        <v>7</v>
      </c>
      <c r="O1267" s="1" t="s">
        <v>19</v>
      </c>
      <c r="P1267" s="1" t="s">
        <v>141</v>
      </c>
      <c r="Q1267">
        <v>775</v>
      </c>
      <c r="R1267" s="1" t="s">
        <v>63</v>
      </c>
      <c r="S1267">
        <v>4</v>
      </c>
      <c r="T1267">
        <v>1</v>
      </c>
      <c r="U1267">
        <v>4</v>
      </c>
      <c r="V1267">
        <v>90</v>
      </c>
      <c r="W1267">
        <v>3</v>
      </c>
      <c r="X1267">
        <v>2</v>
      </c>
      <c r="Y1267" s="1" t="s">
        <v>5</v>
      </c>
      <c r="Z1267">
        <v>2</v>
      </c>
      <c r="AA1267">
        <v>3055</v>
      </c>
      <c r="AB1267">
        <v>6194</v>
      </c>
      <c r="AC1267" s="1" t="s">
        <v>19</v>
      </c>
      <c r="AD1267">
        <v>15</v>
      </c>
      <c r="AE1267">
        <v>3</v>
      </c>
      <c r="AF1267">
        <v>4</v>
      </c>
      <c r="AG1267">
        <v>80</v>
      </c>
      <c r="AH1267">
        <v>2</v>
      </c>
      <c r="AI1267">
        <v>2</v>
      </c>
      <c r="AJ1267">
        <v>0</v>
      </c>
      <c r="AK1267" s="1" t="s">
        <v>136</v>
      </c>
    </row>
    <row r="1268" spans="1:37" x14ac:dyDescent="0.25">
      <c r="A1268">
        <v>1772</v>
      </c>
      <c r="B1268">
        <v>41</v>
      </c>
      <c r="C1268" s="1" t="s">
        <v>25</v>
      </c>
      <c r="D1268" s="1" t="s">
        <v>69</v>
      </c>
      <c r="E1268">
        <v>4</v>
      </c>
      <c r="F1268" s="1" t="s">
        <v>134</v>
      </c>
      <c r="G1268">
        <v>1</v>
      </c>
      <c r="H1268" s="1" t="s">
        <v>18</v>
      </c>
      <c r="I1268">
        <v>5</v>
      </c>
      <c r="J1268">
        <v>2</v>
      </c>
      <c r="K1268">
        <v>5</v>
      </c>
      <c r="L1268">
        <v>3</v>
      </c>
      <c r="M1268">
        <v>0</v>
      </c>
      <c r="N1268">
        <v>4</v>
      </c>
      <c r="O1268" s="1" t="s">
        <v>19</v>
      </c>
      <c r="P1268" s="1" t="s">
        <v>135</v>
      </c>
      <c r="Q1268">
        <v>548</v>
      </c>
      <c r="R1268" s="1" t="s">
        <v>63</v>
      </c>
      <c r="S1268">
        <v>9</v>
      </c>
      <c r="T1268">
        <v>1</v>
      </c>
      <c r="U1268">
        <v>3</v>
      </c>
      <c r="V1268">
        <v>94</v>
      </c>
      <c r="W1268">
        <v>3</v>
      </c>
      <c r="X1268">
        <v>1</v>
      </c>
      <c r="Y1268" s="1" t="s">
        <v>6</v>
      </c>
      <c r="Z1268">
        <v>1</v>
      </c>
      <c r="AA1268">
        <v>2289</v>
      </c>
      <c r="AB1268">
        <v>20520</v>
      </c>
      <c r="AC1268" s="1" t="s">
        <v>19</v>
      </c>
      <c r="AD1268">
        <v>20</v>
      </c>
      <c r="AE1268">
        <v>4</v>
      </c>
      <c r="AF1268">
        <v>2</v>
      </c>
      <c r="AG1268">
        <v>80</v>
      </c>
      <c r="AH1268">
        <v>2</v>
      </c>
      <c r="AI1268">
        <v>3</v>
      </c>
      <c r="AJ1268">
        <v>0</v>
      </c>
      <c r="AK1268" s="1" t="s">
        <v>136</v>
      </c>
    </row>
    <row r="1269" spans="1:37" x14ac:dyDescent="0.25">
      <c r="A1269">
        <v>1774</v>
      </c>
      <c r="B1269">
        <v>34</v>
      </c>
      <c r="C1269" s="1" t="s">
        <v>25</v>
      </c>
      <c r="D1269" s="1" t="s">
        <v>69</v>
      </c>
      <c r="E1269">
        <v>3</v>
      </c>
      <c r="F1269" s="1" t="s">
        <v>134</v>
      </c>
      <c r="G1269">
        <v>1</v>
      </c>
      <c r="H1269" s="1" t="s">
        <v>18</v>
      </c>
      <c r="I1269">
        <v>15</v>
      </c>
      <c r="J1269">
        <v>3</v>
      </c>
      <c r="K1269">
        <v>15</v>
      </c>
      <c r="L1269">
        <v>14</v>
      </c>
      <c r="M1269">
        <v>0</v>
      </c>
      <c r="N1269">
        <v>7</v>
      </c>
      <c r="O1269" s="1" t="s">
        <v>19</v>
      </c>
      <c r="P1269" s="1" t="s">
        <v>141</v>
      </c>
      <c r="Q1269">
        <v>1375</v>
      </c>
      <c r="R1269" s="1" t="s">
        <v>64</v>
      </c>
      <c r="S1269">
        <v>10</v>
      </c>
      <c r="T1269">
        <v>1</v>
      </c>
      <c r="U1269">
        <v>4</v>
      </c>
      <c r="V1269">
        <v>87</v>
      </c>
      <c r="W1269">
        <v>3</v>
      </c>
      <c r="X1269">
        <v>2</v>
      </c>
      <c r="Y1269" s="1" t="s">
        <v>4</v>
      </c>
      <c r="Z1269">
        <v>3</v>
      </c>
      <c r="AA1269">
        <v>4001</v>
      </c>
      <c r="AB1269">
        <v>12313</v>
      </c>
      <c r="AC1269" s="1" t="s">
        <v>18</v>
      </c>
      <c r="AD1269">
        <v>14</v>
      </c>
      <c r="AE1269">
        <v>3</v>
      </c>
      <c r="AF1269">
        <v>3</v>
      </c>
      <c r="AG1269">
        <v>80</v>
      </c>
      <c r="AH1269">
        <v>1</v>
      </c>
      <c r="AI1269">
        <v>3</v>
      </c>
      <c r="AJ1269">
        <v>0</v>
      </c>
      <c r="AK1269" s="1" t="s">
        <v>136</v>
      </c>
    </row>
    <row r="1270" spans="1:37" x14ac:dyDescent="0.25">
      <c r="A1270">
        <v>1775</v>
      </c>
      <c r="B1270">
        <v>53</v>
      </c>
      <c r="C1270" s="1" t="s">
        <v>24</v>
      </c>
      <c r="D1270" s="1" t="s">
        <v>70</v>
      </c>
      <c r="E1270">
        <v>4</v>
      </c>
      <c r="F1270" s="1" t="s">
        <v>139</v>
      </c>
      <c r="G1270">
        <v>4</v>
      </c>
      <c r="H1270" s="1" t="s">
        <v>18</v>
      </c>
      <c r="I1270">
        <v>27</v>
      </c>
      <c r="J1270">
        <v>2</v>
      </c>
      <c r="K1270">
        <v>3</v>
      </c>
      <c r="L1270">
        <v>2</v>
      </c>
      <c r="M1270">
        <v>0</v>
      </c>
      <c r="N1270">
        <v>2</v>
      </c>
      <c r="O1270" s="1" t="s">
        <v>19</v>
      </c>
      <c r="P1270" s="1" t="s">
        <v>141</v>
      </c>
      <c r="Q1270">
        <v>661</v>
      </c>
      <c r="R1270" s="1" t="s">
        <v>63</v>
      </c>
      <c r="S1270">
        <v>1</v>
      </c>
      <c r="T1270">
        <v>1</v>
      </c>
      <c r="U1270">
        <v>1</v>
      </c>
      <c r="V1270">
        <v>60</v>
      </c>
      <c r="W1270">
        <v>2</v>
      </c>
      <c r="X1270">
        <v>4</v>
      </c>
      <c r="Y1270" s="1" t="s">
        <v>7</v>
      </c>
      <c r="Z1270">
        <v>3</v>
      </c>
      <c r="AA1270">
        <v>12965</v>
      </c>
      <c r="AB1270">
        <v>22308</v>
      </c>
      <c r="AC1270" s="1" t="s">
        <v>18</v>
      </c>
      <c r="AD1270">
        <v>20</v>
      </c>
      <c r="AE1270">
        <v>4</v>
      </c>
      <c r="AF1270">
        <v>4</v>
      </c>
      <c r="AG1270">
        <v>80</v>
      </c>
      <c r="AH1270">
        <v>3</v>
      </c>
      <c r="AI1270">
        <v>2</v>
      </c>
      <c r="AJ1270">
        <v>0</v>
      </c>
      <c r="AK1270" s="1" t="s">
        <v>140</v>
      </c>
    </row>
    <row r="1271" spans="1:37" x14ac:dyDescent="0.25">
      <c r="A1271">
        <v>1778</v>
      </c>
      <c r="B1271">
        <v>43</v>
      </c>
      <c r="C1271" s="1" t="s">
        <v>25</v>
      </c>
      <c r="D1271" s="1" t="s">
        <v>71</v>
      </c>
      <c r="E1271">
        <v>3</v>
      </c>
      <c r="F1271" s="1" t="s">
        <v>134</v>
      </c>
      <c r="G1271">
        <v>0</v>
      </c>
      <c r="H1271" s="1" t="s">
        <v>18</v>
      </c>
      <c r="I1271">
        <v>10</v>
      </c>
      <c r="J1271">
        <v>5</v>
      </c>
      <c r="K1271">
        <v>9</v>
      </c>
      <c r="L1271">
        <v>7</v>
      </c>
      <c r="M1271">
        <v>1</v>
      </c>
      <c r="N1271">
        <v>8</v>
      </c>
      <c r="O1271" s="1" t="s">
        <v>19</v>
      </c>
      <c r="P1271" s="1" t="s">
        <v>135</v>
      </c>
      <c r="Q1271">
        <v>244</v>
      </c>
      <c r="R1271" s="1" t="s">
        <v>12</v>
      </c>
      <c r="S1271">
        <v>2</v>
      </c>
      <c r="T1271">
        <v>1</v>
      </c>
      <c r="U1271">
        <v>2</v>
      </c>
      <c r="V1271">
        <v>97</v>
      </c>
      <c r="W1271">
        <v>3</v>
      </c>
      <c r="X1271">
        <v>1</v>
      </c>
      <c r="Y1271" s="1" t="s">
        <v>12</v>
      </c>
      <c r="Z1271">
        <v>4</v>
      </c>
      <c r="AA1271">
        <v>3539</v>
      </c>
      <c r="AB1271">
        <v>5033</v>
      </c>
      <c r="AC1271" s="1" t="s">
        <v>19</v>
      </c>
      <c r="AD1271">
        <v>13</v>
      </c>
      <c r="AE1271">
        <v>3</v>
      </c>
      <c r="AF1271">
        <v>2</v>
      </c>
      <c r="AG1271">
        <v>80</v>
      </c>
      <c r="AH1271">
        <v>0</v>
      </c>
      <c r="AI1271">
        <v>3</v>
      </c>
      <c r="AJ1271">
        <v>0</v>
      </c>
      <c r="AK1271" s="1" t="s">
        <v>136</v>
      </c>
    </row>
    <row r="1272" spans="1:37" x14ac:dyDescent="0.25">
      <c r="A1272">
        <v>1779</v>
      </c>
      <c r="B1272">
        <v>34</v>
      </c>
      <c r="C1272" s="1" t="s">
        <v>24</v>
      </c>
      <c r="D1272" s="1" t="s">
        <v>71</v>
      </c>
      <c r="E1272">
        <v>2</v>
      </c>
      <c r="F1272" s="1" t="s">
        <v>134</v>
      </c>
      <c r="G1272">
        <v>5</v>
      </c>
      <c r="H1272" s="1" t="s">
        <v>18</v>
      </c>
      <c r="I1272">
        <v>6</v>
      </c>
      <c r="J1272">
        <v>3</v>
      </c>
      <c r="K1272">
        <v>2</v>
      </c>
      <c r="L1272">
        <v>2</v>
      </c>
      <c r="M1272">
        <v>2</v>
      </c>
      <c r="N1272">
        <v>2</v>
      </c>
      <c r="O1272" s="1" t="s">
        <v>19</v>
      </c>
      <c r="P1272" s="1" t="s">
        <v>135</v>
      </c>
      <c r="Q1272">
        <v>511</v>
      </c>
      <c r="R1272" s="1" t="s">
        <v>64</v>
      </c>
      <c r="S1272">
        <v>3</v>
      </c>
      <c r="T1272">
        <v>1</v>
      </c>
      <c r="U1272">
        <v>4</v>
      </c>
      <c r="V1272">
        <v>32</v>
      </c>
      <c r="W1272">
        <v>1</v>
      </c>
      <c r="X1272">
        <v>2</v>
      </c>
      <c r="Y1272" s="1" t="s">
        <v>4</v>
      </c>
      <c r="Z1272">
        <v>4</v>
      </c>
      <c r="AA1272">
        <v>6029</v>
      </c>
      <c r="AB1272">
        <v>25353</v>
      </c>
      <c r="AC1272" s="1" t="s">
        <v>19</v>
      </c>
      <c r="AD1272">
        <v>12</v>
      </c>
      <c r="AE1272">
        <v>3</v>
      </c>
      <c r="AF1272">
        <v>1</v>
      </c>
      <c r="AG1272">
        <v>80</v>
      </c>
      <c r="AH1272">
        <v>0</v>
      </c>
      <c r="AI1272">
        <v>3</v>
      </c>
      <c r="AJ1272">
        <v>0</v>
      </c>
      <c r="AK1272" s="1" t="s">
        <v>136</v>
      </c>
    </row>
    <row r="1273" spans="1:37" x14ac:dyDescent="0.25">
      <c r="A1273">
        <v>1780</v>
      </c>
      <c r="B1273">
        <v>21</v>
      </c>
      <c r="C1273" s="1" t="s">
        <v>25</v>
      </c>
      <c r="D1273" s="1" t="s">
        <v>71</v>
      </c>
      <c r="E1273">
        <v>1</v>
      </c>
      <c r="F1273" s="1" t="s">
        <v>142</v>
      </c>
      <c r="G1273">
        <v>1</v>
      </c>
      <c r="H1273" s="1" t="s">
        <v>18</v>
      </c>
      <c r="I1273">
        <v>1</v>
      </c>
      <c r="J1273">
        <v>3</v>
      </c>
      <c r="K1273">
        <v>1</v>
      </c>
      <c r="L1273">
        <v>0</v>
      </c>
      <c r="M1273">
        <v>1</v>
      </c>
      <c r="N1273">
        <v>0</v>
      </c>
      <c r="O1273" s="1" t="s">
        <v>18</v>
      </c>
      <c r="P1273" s="1" t="s">
        <v>135</v>
      </c>
      <c r="Q1273">
        <v>337</v>
      </c>
      <c r="R1273" s="1" t="s">
        <v>64</v>
      </c>
      <c r="S1273">
        <v>7</v>
      </c>
      <c r="T1273">
        <v>1</v>
      </c>
      <c r="U1273">
        <v>2</v>
      </c>
      <c r="V1273">
        <v>31</v>
      </c>
      <c r="W1273">
        <v>3</v>
      </c>
      <c r="X1273">
        <v>1</v>
      </c>
      <c r="Y1273" s="1" t="s">
        <v>10</v>
      </c>
      <c r="Z1273">
        <v>2</v>
      </c>
      <c r="AA1273">
        <v>2679</v>
      </c>
      <c r="AB1273">
        <v>4567</v>
      </c>
      <c r="AC1273" s="1" t="s">
        <v>19</v>
      </c>
      <c r="AD1273">
        <v>13</v>
      </c>
      <c r="AE1273">
        <v>3</v>
      </c>
      <c r="AF1273">
        <v>2</v>
      </c>
      <c r="AG1273">
        <v>80</v>
      </c>
      <c r="AH1273">
        <v>0</v>
      </c>
      <c r="AI1273">
        <v>3</v>
      </c>
      <c r="AJ1273">
        <v>1</v>
      </c>
      <c r="AK1273" s="1" t="s">
        <v>136</v>
      </c>
    </row>
    <row r="1274" spans="1:37" x14ac:dyDescent="0.25">
      <c r="A1274">
        <v>1782</v>
      </c>
      <c r="B1274">
        <v>38</v>
      </c>
      <c r="C1274" s="1" t="s">
        <v>24</v>
      </c>
      <c r="D1274" s="1" t="s">
        <v>70</v>
      </c>
      <c r="E1274">
        <v>2</v>
      </c>
      <c r="F1274" s="1" t="s">
        <v>138</v>
      </c>
      <c r="G1274">
        <v>1</v>
      </c>
      <c r="H1274" s="1" t="s">
        <v>18</v>
      </c>
      <c r="I1274">
        <v>5</v>
      </c>
      <c r="J1274">
        <v>3</v>
      </c>
      <c r="K1274">
        <v>5</v>
      </c>
      <c r="L1274">
        <v>4</v>
      </c>
      <c r="M1274">
        <v>0</v>
      </c>
      <c r="N1274">
        <v>4</v>
      </c>
      <c r="O1274" s="1" t="s">
        <v>19</v>
      </c>
      <c r="P1274" s="1" t="s">
        <v>135</v>
      </c>
      <c r="Q1274">
        <v>1153</v>
      </c>
      <c r="R1274" s="1" t="s">
        <v>63</v>
      </c>
      <c r="S1274">
        <v>6</v>
      </c>
      <c r="T1274">
        <v>1</v>
      </c>
      <c r="U1274">
        <v>4</v>
      </c>
      <c r="V1274">
        <v>40</v>
      </c>
      <c r="W1274">
        <v>2</v>
      </c>
      <c r="X1274">
        <v>1</v>
      </c>
      <c r="Y1274" s="1" t="s">
        <v>6</v>
      </c>
      <c r="Z1274">
        <v>3</v>
      </c>
      <c r="AA1274">
        <v>3702</v>
      </c>
      <c r="AB1274">
        <v>16376</v>
      </c>
      <c r="AC1274" s="1" t="s">
        <v>19</v>
      </c>
      <c r="AD1274">
        <v>11</v>
      </c>
      <c r="AE1274">
        <v>3</v>
      </c>
      <c r="AF1274">
        <v>2</v>
      </c>
      <c r="AG1274">
        <v>80</v>
      </c>
      <c r="AH1274">
        <v>1</v>
      </c>
      <c r="AI1274">
        <v>3</v>
      </c>
      <c r="AJ1274">
        <v>0</v>
      </c>
      <c r="AK1274" s="1" t="s">
        <v>136</v>
      </c>
    </row>
    <row r="1275" spans="1:37" x14ac:dyDescent="0.25">
      <c r="A1275">
        <v>1783</v>
      </c>
      <c r="B1275">
        <v>22</v>
      </c>
      <c r="C1275" s="1" t="s">
        <v>24</v>
      </c>
      <c r="D1275" s="1" t="s">
        <v>70</v>
      </c>
      <c r="E1275">
        <v>1</v>
      </c>
      <c r="F1275" s="1" t="s">
        <v>139</v>
      </c>
      <c r="G1275">
        <v>1</v>
      </c>
      <c r="H1275" s="1" t="s">
        <v>18</v>
      </c>
      <c r="I1275">
        <v>1</v>
      </c>
      <c r="J1275">
        <v>6</v>
      </c>
      <c r="K1275">
        <v>1</v>
      </c>
      <c r="L1275">
        <v>0</v>
      </c>
      <c r="M1275">
        <v>0</v>
      </c>
      <c r="N1275">
        <v>0</v>
      </c>
      <c r="O1275" s="1" t="s">
        <v>18</v>
      </c>
      <c r="P1275" s="1" t="s">
        <v>135</v>
      </c>
      <c r="Q1275">
        <v>1294</v>
      </c>
      <c r="R1275" s="1" t="s">
        <v>63</v>
      </c>
      <c r="S1275">
        <v>8</v>
      </c>
      <c r="T1275">
        <v>1</v>
      </c>
      <c r="U1275">
        <v>3</v>
      </c>
      <c r="V1275">
        <v>79</v>
      </c>
      <c r="W1275">
        <v>3</v>
      </c>
      <c r="X1275">
        <v>1</v>
      </c>
      <c r="Y1275" s="1" t="s">
        <v>6</v>
      </c>
      <c r="Z1275">
        <v>1</v>
      </c>
      <c r="AA1275">
        <v>2398</v>
      </c>
      <c r="AB1275">
        <v>15999</v>
      </c>
      <c r="AC1275" s="1" t="s">
        <v>18</v>
      </c>
      <c r="AD1275">
        <v>17</v>
      </c>
      <c r="AE1275">
        <v>3</v>
      </c>
      <c r="AF1275">
        <v>3</v>
      </c>
      <c r="AG1275">
        <v>80</v>
      </c>
      <c r="AH1275">
        <v>0</v>
      </c>
      <c r="AI1275">
        <v>3</v>
      </c>
      <c r="AJ1275">
        <v>1</v>
      </c>
      <c r="AK1275" s="1" t="s">
        <v>136</v>
      </c>
    </row>
    <row r="1276" spans="1:37" x14ac:dyDescent="0.25">
      <c r="A1276">
        <v>1784</v>
      </c>
      <c r="B1276">
        <v>31</v>
      </c>
      <c r="C1276" s="1" t="s">
        <v>24</v>
      </c>
      <c r="D1276" s="1" t="s">
        <v>70</v>
      </c>
      <c r="E1276">
        <v>4</v>
      </c>
      <c r="F1276" s="1" t="s">
        <v>142</v>
      </c>
      <c r="G1276">
        <v>1</v>
      </c>
      <c r="H1276" s="1" t="s">
        <v>18</v>
      </c>
      <c r="I1276">
        <v>13</v>
      </c>
      <c r="J1276">
        <v>3</v>
      </c>
      <c r="K1276">
        <v>12</v>
      </c>
      <c r="L1276">
        <v>7</v>
      </c>
      <c r="M1276">
        <v>5</v>
      </c>
      <c r="N1276">
        <v>7</v>
      </c>
      <c r="O1276" s="1" t="s">
        <v>19</v>
      </c>
      <c r="P1276" s="1" t="s">
        <v>135</v>
      </c>
      <c r="Q1276">
        <v>196</v>
      </c>
      <c r="R1276" s="1" t="s">
        <v>64</v>
      </c>
      <c r="S1276">
        <v>29</v>
      </c>
      <c r="T1276">
        <v>1</v>
      </c>
      <c r="U1276">
        <v>1</v>
      </c>
      <c r="V1276">
        <v>91</v>
      </c>
      <c r="W1276">
        <v>2</v>
      </c>
      <c r="X1276">
        <v>2</v>
      </c>
      <c r="Y1276" s="1" t="s">
        <v>4</v>
      </c>
      <c r="Z1276">
        <v>4</v>
      </c>
      <c r="AA1276">
        <v>5468</v>
      </c>
      <c r="AB1276">
        <v>13402</v>
      </c>
      <c r="AC1276" s="1" t="s">
        <v>19</v>
      </c>
      <c r="AD1276">
        <v>14</v>
      </c>
      <c r="AE1276">
        <v>3</v>
      </c>
      <c r="AF1276">
        <v>1</v>
      </c>
      <c r="AG1276">
        <v>80</v>
      </c>
      <c r="AH1276">
        <v>2</v>
      </c>
      <c r="AI1276">
        <v>3</v>
      </c>
      <c r="AJ1276">
        <v>0</v>
      </c>
      <c r="AK1276" s="1" t="s">
        <v>136</v>
      </c>
    </row>
    <row r="1277" spans="1:37" x14ac:dyDescent="0.25">
      <c r="A1277">
        <v>1786</v>
      </c>
      <c r="B1277">
        <v>51</v>
      </c>
      <c r="C1277" s="1" t="s">
        <v>24</v>
      </c>
      <c r="D1277" s="1" t="s">
        <v>70</v>
      </c>
      <c r="E1277">
        <v>3</v>
      </c>
      <c r="F1277" s="1" t="s">
        <v>143</v>
      </c>
      <c r="G1277">
        <v>2</v>
      </c>
      <c r="H1277" s="1" t="s">
        <v>18</v>
      </c>
      <c r="I1277">
        <v>15</v>
      </c>
      <c r="J1277">
        <v>2</v>
      </c>
      <c r="K1277">
        <v>2</v>
      </c>
      <c r="L1277">
        <v>2</v>
      </c>
      <c r="M1277">
        <v>2</v>
      </c>
      <c r="N1277">
        <v>2</v>
      </c>
      <c r="O1277" s="1" t="s">
        <v>19</v>
      </c>
      <c r="P1277" s="1" t="s">
        <v>135</v>
      </c>
      <c r="Q1277">
        <v>942</v>
      </c>
      <c r="R1277" s="1" t="s">
        <v>63</v>
      </c>
      <c r="S1277">
        <v>3</v>
      </c>
      <c r="T1277">
        <v>1</v>
      </c>
      <c r="U1277">
        <v>1</v>
      </c>
      <c r="V1277">
        <v>53</v>
      </c>
      <c r="W1277">
        <v>3</v>
      </c>
      <c r="X1277">
        <v>3</v>
      </c>
      <c r="Y1277" s="1" t="s">
        <v>9</v>
      </c>
      <c r="Z1277">
        <v>3</v>
      </c>
      <c r="AA1277">
        <v>13116</v>
      </c>
      <c r="AB1277">
        <v>22984</v>
      </c>
      <c r="AC1277" s="1" t="s">
        <v>19</v>
      </c>
      <c r="AD1277">
        <v>11</v>
      </c>
      <c r="AE1277">
        <v>3</v>
      </c>
      <c r="AF1277">
        <v>4</v>
      </c>
      <c r="AG1277">
        <v>80</v>
      </c>
      <c r="AH1277">
        <v>0</v>
      </c>
      <c r="AI1277">
        <v>3</v>
      </c>
      <c r="AJ1277">
        <v>0</v>
      </c>
      <c r="AK1277" s="1" t="s">
        <v>140</v>
      </c>
    </row>
    <row r="1278" spans="1:37" x14ac:dyDescent="0.25">
      <c r="A1278">
        <v>1787</v>
      </c>
      <c r="B1278">
        <v>37</v>
      </c>
      <c r="C1278" s="1" t="s">
        <v>25</v>
      </c>
      <c r="D1278" s="1" t="s">
        <v>70</v>
      </c>
      <c r="E1278">
        <v>2</v>
      </c>
      <c r="F1278" s="1" t="s">
        <v>142</v>
      </c>
      <c r="G1278">
        <v>1</v>
      </c>
      <c r="H1278" s="1" t="s">
        <v>18</v>
      </c>
      <c r="I1278">
        <v>5</v>
      </c>
      <c r="J1278">
        <v>2</v>
      </c>
      <c r="K1278">
        <v>5</v>
      </c>
      <c r="L1278">
        <v>2</v>
      </c>
      <c r="M1278">
        <v>0</v>
      </c>
      <c r="N1278">
        <v>3</v>
      </c>
      <c r="O1278" s="1" t="s">
        <v>19</v>
      </c>
      <c r="P1278" s="1" t="s">
        <v>135</v>
      </c>
      <c r="Q1278">
        <v>589</v>
      </c>
      <c r="R1278" s="1" t="s">
        <v>64</v>
      </c>
      <c r="S1278">
        <v>9</v>
      </c>
      <c r="T1278">
        <v>1</v>
      </c>
      <c r="U1278">
        <v>2</v>
      </c>
      <c r="V1278">
        <v>46</v>
      </c>
      <c r="W1278">
        <v>2</v>
      </c>
      <c r="X1278">
        <v>2</v>
      </c>
      <c r="Y1278" s="1" t="s">
        <v>4</v>
      </c>
      <c r="Z1278">
        <v>2</v>
      </c>
      <c r="AA1278">
        <v>4189</v>
      </c>
      <c r="AB1278">
        <v>8800</v>
      </c>
      <c r="AC1278" s="1" t="s">
        <v>19</v>
      </c>
      <c r="AD1278">
        <v>14</v>
      </c>
      <c r="AE1278">
        <v>3</v>
      </c>
      <c r="AF1278">
        <v>1</v>
      </c>
      <c r="AG1278">
        <v>80</v>
      </c>
      <c r="AH1278">
        <v>2</v>
      </c>
      <c r="AI1278">
        <v>3</v>
      </c>
      <c r="AJ1278">
        <v>0</v>
      </c>
      <c r="AK1278" s="1" t="s">
        <v>136</v>
      </c>
    </row>
    <row r="1279" spans="1:37" x14ac:dyDescent="0.25">
      <c r="A1279">
        <v>1789</v>
      </c>
      <c r="B1279">
        <v>46</v>
      </c>
      <c r="C1279" s="1" t="s">
        <v>25</v>
      </c>
      <c r="D1279" s="1" t="s">
        <v>69</v>
      </c>
      <c r="E1279">
        <v>4</v>
      </c>
      <c r="F1279" s="1" t="s">
        <v>139</v>
      </c>
      <c r="G1279">
        <v>7</v>
      </c>
      <c r="H1279" s="1" t="s">
        <v>18</v>
      </c>
      <c r="I1279">
        <v>24</v>
      </c>
      <c r="J1279">
        <v>3</v>
      </c>
      <c r="K1279">
        <v>2</v>
      </c>
      <c r="L1279">
        <v>1</v>
      </c>
      <c r="M1279">
        <v>2</v>
      </c>
      <c r="N1279">
        <v>2</v>
      </c>
      <c r="O1279" s="1" t="s">
        <v>19</v>
      </c>
      <c r="P1279" s="1" t="s">
        <v>135</v>
      </c>
      <c r="Q1279">
        <v>734</v>
      </c>
      <c r="R1279" s="1" t="s">
        <v>63</v>
      </c>
      <c r="S1279">
        <v>2</v>
      </c>
      <c r="T1279">
        <v>1</v>
      </c>
      <c r="U1279">
        <v>3</v>
      </c>
      <c r="V1279">
        <v>46</v>
      </c>
      <c r="W1279">
        <v>3</v>
      </c>
      <c r="X1279">
        <v>5</v>
      </c>
      <c r="Y1279" s="1" t="s">
        <v>11</v>
      </c>
      <c r="Z1279">
        <v>4</v>
      </c>
      <c r="AA1279">
        <v>19328</v>
      </c>
      <c r="AB1279">
        <v>14218</v>
      </c>
      <c r="AC1279" s="1" t="s">
        <v>18</v>
      </c>
      <c r="AD1279">
        <v>17</v>
      </c>
      <c r="AE1279">
        <v>3</v>
      </c>
      <c r="AF1279">
        <v>3</v>
      </c>
      <c r="AG1279">
        <v>80</v>
      </c>
      <c r="AH1279">
        <v>1</v>
      </c>
      <c r="AI1279">
        <v>3</v>
      </c>
      <c r="AJ1279">
        <v>0</v>
      </c>
      <c r="AK1279" s="1" t="s">
        <v>136</v>
      </c>
    </row>
    <row r="1280" spans="1:37" x14ac:dyDescent="0.25">
      <c r="A1280">
        <v>1790</v>
      </c>
      <c r="B1280">
        <v>36</v>
      </c>
      <c r="C1280" s="1" t="s">
        <v>25</v>
      </c>
      <c r="D1280" s="1" t="s">
        <v>70</v>
      </c>
      <c r="E1280">
        <v>3</v>
      </c>
      <c r="F1280" s="1" t="s">
        <v>134</v>
      </c>
      <c r="G1280">
        <v>7</v>
      </c>
      <c r="H1280" s="1" t="s">
        <v>18</v>
      </c>
      <c r="I1280">
        <v>15</v>
      </c>
      <c r="J1280">
        <v>1</v>
      </c>
      <c r="K1280">
        <v>12</v>
      </c>
      <c r="L1280">
        <v>8</v>
      </c>
      <c r="M1280">
        <v>5</v>
      </c>
      <c r="N1280">
        <v>7</v>
      </c>
      <c r="O1280" s="1" t="s">
        <v>19</v>
      </c>
      <c r="P1280" s="1" t="s">
        <v>135</v>
      </c>
      <c r="Q1280">
        <v>1383</v>
      </c>
      <c r="R1280" s="1" t="s">
        <v>63</v>
      </c>
      <c r="S1280">
        <v>10</v>
      </c>
      <c r="T1280">
        <v>1</v>
      </c>
      <c r="U1280">
        <v>4</v>
      </c>
      <c r="V1280">
        <v>90</v>
      </c>
      <c r="W1280">
        <v>3</v>
      </c>
      <c r="X1280">
        <v>3</v>
      </c>
      <c r="Y1280" s="1" t="s">
        <v>8</v>
      </c>
      <c r="Z1280">
        <v>1</v>
      </c>
      <c r="AA1280">
        <v>8321</v>
      </c>
      <c r="AB1280">
        <v>25949</v>
      </c>
      <c r="AC1280" s="1" t="s">
        <v>18</v>
      </c>
      <c r="AD1280">
        <v>13</v>
      </c>
      <c r="AE1280">
        <v>3</v>
      </c>
      <c r="AF1280">
        <v>4</v>
      </c>
      <c r="AG1280">
        <v>80</v>
      </c>
      <c r="AH1280">
        <v>1</v>
      </c>
      <c r="AI1280">
        <v>3</v>
      </c>
      <c r="AJ1280">
        <v>0</v>
      </c>
      <c r="AK1280" s="1" t="s">
        <v>136</v>
      </c>
    </row>
    <row r="1281" spans="1:37" x14ac:dyDescent="0.25">
      <c r="A1281">
        <v>1792</v>
      </c>
      <c r="B1281">
        <v>44</v>
      </c>
      <c r="C1281" s="1" t="s">
        <v>25</v>
      </c>
      <c r="D1281" s="1" t="s">
        <v>69</v>
      </c>
      <c r="E1281">
        <v>2</v>
      </c>
      <c r="F1281" s="1" t="s">
        <v>139</v>
      </c>
      <c r="G1281">
        <v>1</v>
      </c>
      <c r="H1281" s="1" t="s">
        <v>18</v>
      </c>
      <c r="I1281">
        <v>6</v>
      </c>
      <c r="J1281">
        <v>2</v>
      </c>
      <c r="K1281">
        <v>5</v>
      </c>
      <c r="L1281">
        <v>3</v>
      </c>
      <c r="M1281">
        <v>2</v>
      </c>
      <c r="N1281">
        <v>3</v>
      </c>
      <c r="O1281" s="1" t="s">
        <v>18</v>
      </c>
      <c r="P1281" s="1" t="s">
        <v>137</v>
      </c>
      <c r="Q1281">
        <v>429</v>
      </c>
      <c r="R1281" s="1" t="s">
        <v>63</v>
      </c>
      <c r="S1281">
        <v>1</v>
      </c>
      <c r="T1281">
        <v>1</v>
      </c>
      <c r="U1281">
        <v>3</v>
      </c>
      <c r="V1281">
        <v>99</v>
      </c>
      <c r="W1281">
        <v>3</v>
      </c>
      <c r="X1281">
        <v>1</v>
      </c>
      <c r="Y1281" s="1" t="s">
        <v>5</v>
      </c>
      <c r="Z1281">
        <v>2</v>
      </c>
      <c r="AA1281">
        <v>2342</v>
      </c>
      <c r="AB1281">
        <v>11092</v>
      </c>
      <c r="AC1281" s="1" t="s">
        <v>18</v>
      </c>
      <c r="AD1281">
        <v>12</v>
      </c>
      <c r="AE1281">
        <v>3</v>
      </c>
      <c r="AF1281">
        <v>3</v>
      </c>
      <c r="AG1281">
        <v>80</v>
      </c>
      <c r="AH1281">
        <v>3</v>
      </c>
      <c r="AI1281">
        <v>2</v>
      </c>
      <c r="AJ1281">
        <v>1</v>
      </c>
      <c r="AK1281" s="1" t="s">
        <v>136</v>
      </c>
    </row>
    <row r="1282" spans="1:37" x14ac:dyDescent="0.25">
      <c r="A1282">
        <v>1794</v>
      </c>
      <c r="B1282">
        <v>37</v>
      </c>
      <c r="C1282" s="1" t="s">
        <v>25</v>
      </c>
      <c r="D1282" s="1" t="s">
        <v>69</v>
      </c>
      <c r="E1282">
        <v>2</v>
      </c>
      <c r="F1282" s="1" t="s">
        <v>138</v>
      </c>
      <c r="G1282">
        <v>2</v>
      </c>
      <c r="H1282" s="1" t="s">
        <v>18</v>
      </c>
      <c r="I1282">
        <v>19</v>
      </c>
      <c r="J1282">
        <v>4</v>
      </c>
      <c r="K1282">
        <v>10</v>
      </c>
      <c r="L1282">
        <v>0</v>
      </c>
      <c r="M1282">
        <v>4</v>
      </c>
      <c r="N1282">
        <v>7</v>
      </c>
      <c r="O1282" s="1" t="s">
        <v>19</v>
      </c>
      <c r="P1282" s="1" t="s">
        <v>135</v>
      </c>
      <c r="Q1282">
        <v>1239</v>
      </c>
      <c r="R1282" s="1" t="s">
        <v>12</v>
      </c>
      <c r="S1282">
        <v>8</v>
      </c>
      <c r="T1282">
        <v>1</v>
      </c>
      <c r="U1282">
        <v>3</v>
      </c>
      <c r="V1282">
        <v>89</v>
      </c>
      <c r="W1282">
        <v>3</v>
      </c>
      <c r="X1282">
        <v>2</v>
      </c>
      <c r="Y1282" s="1" t="s">
        <v>12</v>
      </c>
      <c r="Z1282">
        <v>2</v>
      </c>
      <c r="AA1282">
        <v>4071</v>
      </c>
      <c r="AB1282">
        <v>12832</v>
      </c>
      <c r="AC1282" s="1" t="s">
        <v>19</v>
      </c>
      <c r="AD1282">
        <v>13</v>
      </c>
      <c r="AE1282">
        <v>3</v>
      </c>
      <c r="AF1282">
        <v>3</v>
      </c>
      <c r="AG1282">
        <v>80</v>
      </c>
      <c r="AH1282">
        <v>0</v>
      </c>
      <c r="AI1282">
        <v>2</v>
      </c>
      <c r="AJ1282">
        <v>0</v>
      </c>
      <c r="AK1282" s="1" t="s">
        <v>136</v>
      </c>
    </row>
    <row r="1283" spans="1:37" x14ac:dyDescent="0.25">
      <c r="A1283">
        <v>1797</v>
      </c>
      <c r="B1283">
        <v>35</v>
      </c>
      <c r="C1283" s="1" t="s">
        <v>25</v>
      </c>
      <c r="D1283" s="1" t="s">
        <v>71</v>
      </c>
      <c r="E1283">
        <v>3</v>
      </c>
      <c r="F1283" s="1" t="s">
        <v>134</v>
      </c>
      <c r="G1283">
        <v>1</v>
      </c>
      <c r="H1283" s="1" t="s">
        <v>18</v>
      </c>
      <c r="I1283">
        <v>10</v>
      </c>
      <c r="J1283">
        <v>2</v>
      </c>
      <c r="K1283">
        <v>10</v>
      </c>
      <c r="L1283">
        <v>7</v>
      </c>
      <c r="M1283">
        <v>7</v>
      </c>
      <c r="N1283">
        <v>7</v>
      </c>
      <c r="O1283" s="1" t="s">
        <v>18</v>
      </c>
      <c r="P1283" s="1" t="s">
        <v>135</v>
      </c>
      <c r="Q1283">
        <v>303</v>
      </c>
      <c r="R1283" s="1" t="s">
        <v>64</v>
      </c>
      <c r="S1283">
        <v>27</v>
      </c>
      <c r="T1283">
        <v>1</v>
      </c>
      <c r="U1283">
        <v>3</v>
      </c>
      <c r="V1283">
        <v>84</v>
      </c>
      <c r="W1283">
        <v>3</v>
      </c>
      <c r="X1283">
        <v>2</v>
      </c>
      <c r="Y1283" s="1" t="s">
        <v>4</v>
      </c>
      <c r="Z1283">
        <v>4</v>
      </c>
      <c r="AA1283">
        <v>5813</v>
      </c>
      <c r="AB1283">
        <v>13492</v>
      </c>
      <c r="AC1283" s="1" t="s">
        <v>18</v>
      </c>
      <c r="AD1283">
        <v>18</v>
      </c>
      <c r="AE1283">
        <v>3</v>
      </c>
      <c r="AF1283">
        <v>4</v>
      </c>
      <c r="AG1283">
        <v>80</v>
      </c>
      <c r="AH1283">
        <v>0</v>
      </c>
      <c r="AI1283">
        <v>3</v>
      </c>
      <c r="AJ1283">
        <v>1</v>
      </c>
      <c r="AK1283" s="1" t="s">
        <v>136</v>
      </c>
    </row>
    <row r="1284" spans="1:37" x14ac:dyDescent="0.25">
      <c r="A1284">
        <v>1798</v>
      </c>
      <c r="B1284">
        <v>33</v>
      </c>
      <c r="C1284" s="1" t="s">
        <v>25</v>
      </c>
      <c r="D1284" s="1" t="s">
        <v>70</v>
      </c>
      <c r="E1284">
        <v>4</v>
      </c>
      <c r="F1284" s="1" t="s">
        <v>134</v>
      </c>
      <c r="G1284">
        <v>6</v>
      </c>
      <c r="H1284" s="1" t="s">
        <v>18</v>
      </c>
      <c r="I1284">
        <v>14</v>
      </c>
      <c r="J1284">
        <v>1</v>
      </c>
      <c r="K1284">
        <v>10</v>
      </c>
      <c r="L1284">
        <v>8</v>
      </c>
      <c r="M1284">
        <v>7</v>
      </c>
      <c r="N1284">
        <v>6</v>
      </c>
      <c r="O1284" s="1" t="s">
        <v>19</v>
      </c>
      <c r="P1284" s="1" t="s">
        <v>135</v>
      </c>
      <c r="Q1284">
        <v>867</v>
      </c>
      <c r="R1284" s="1" t="s">
        <v>63</v>
      </c>
      <c r="S1284">
        <v>8</v>
      </c>
      <c r="T1284">
        <v>1</v>
      </c>
      <c r="U1284">
        <v>4</v>
      </c>
      <c r="V1284">
        <v>90</v>
      </c>
      <c r="W1284">
        <v>4</v>
      </c>
      <c r="X1284">
        <v>1</v>
      </c>
      <c r="Y1284" s="1" t="s">
        <v>5</v>
      </c>
      <c r="Z1284">
        <v>1</v>
      </c>
      <c r="AA1284">
        <v>3143</v>
      </c>
      <c r="AB1284">
        <v>6076</v>
      </c>
      <c r="AC1284" s="1" t="s">
        <v>19</v>
      </c>
      <c r="AD1284">
        <v>19</v>
      </c>
      <c r="AE1284">
        <v>3</v>
      </c>
      <c r="AF1284">
        <v>2</v>
      </c>
      <c r="AG1284">
        <v>80</v>
      </c>
      <c r="AH1284">
        <v>1</v>
      </c>
      <c r="AI1284">
        <v>3</v>
      </c>
      <c r="AJ1284">
        <v>0</v>
      </c>
      <c r="AK1284" s="1" t="s">
        <v>136</v>
      </c>
    </row>
    <row r="1285" spans="1:37" x14ac:dyDescent="0.25">
      <c r="A1285">
        <v>1799</v>
      </c>
      <c r="B1285">
        <v>28</v>
      </c>
      <c r="C1285" s="1" t="s">
        <v>25</v>
      </c>
      <c r="D1285" s="1" t="s">
        <v>70</v>
      </c>
      <c r="E1285">
        <v>3</v>
      </c>
      <c r="F1285" s="1" t="s">
        <v>134</v>
      </c>
      <c r="G1285">
        <v>1</v>
      </c>
      <c r="H1285" s="1" t="s">
        <v>18</v>
      </c>
      <c r="I1285">
        <v>5</v>
      </c>
      <c r="J1285">
        <v>6</v>
      </c>
      <c r="K1285">
        <v>5</v>
      </c>
      <c r="L1285">
        <v>3</v>
      </c>
      <c r="M1285">
        <v>0</v>
      </c>
      <c r="N1285">
        <v>3</v>
      </c>
      <c r="O1285" s="1" t="s">
        <v>19</v>
      </c>
      <c r="P1285" s="1" t="s">
        <v>135</v>
      </c>
      <c r="Q1285">
        <v>1181</v>
      </c>
      <c r="R1285" s="1" t="s">
        <v>63</v>
      </c>
      <c r="S1285">
        <v>1</v>
      </c>
      <c r="T1285">
        <v>1</v>
      </c>
      <c r="U1285">
        <v>3</v>
      </c>
      <c r="V1285">
        <v>82</v>
      </c>
      <c r="W1285">
        <v>3</v>
      </c>
      <c r="X1285">
        <v>1</v>
      </c>
      <c r="Y1285" s="1" t="s">
        <v>5</v>
      </c>
      <c r="Z1285">
        <v>4</v>
      </c>
      <c r="AA1285">
        <v>2044</v>
      </c>
      <c r="AB1285">
        <v>5531</v>
      </c>
      <c r="AC1285" s="1" t="s">
        <v>19</v>
      </c>
      <c r="AD1285">
        <v>11</v>
      </c>
      <c r="AE1285">
        <v>3</v>
      </c>
      <c r="AF1285">
        <v>3</v>
      </c>
      <c r="AG1285">
        <v>80</v>
      </c>
      <c r="AH1285">
        <v>1</v>
      </c>
      <c r="AI1285">
        <v>4</v>
      </c>
      <c r="AJ1285">
        <v>0</v>
      </c>
      <c r="AK1285" s="1" t="s">
        <v>136</v>
      </c>
    </row>
    <row r="1286" spans="1:37" x14ac:dyDescent="0.25">
      <c r="A1286">
        <v>1800</v>
      </c>
      <c r="B1286">
        <v>39</v>
      </c>
      <c r="C1286" s="1" t="s">
        <v>25</v>
      </c>
      <c r="D1286" s="1" t="s">
        <v>71</v>
      </c>
      <c r="E1286">
        <v>1</v>
      </c>
      <c r="F1286" s="1" t="s">
        <v>139</v>
      </c>
      <c r="G1286">
        <v>7</v>
      </c>
      <c r="H1286" s="1" t="s">
        <v>18</v>
      </c>
      <c r="I1286">
        <v>9</v>
      </c>
      <c r="J1286">
        <v>3</v>
      </c>
      <c r="K1286">
        <v>4</v>
      </c>
      <c r="L1286">
        <v>3</v>
      </c>
      <c r="M1286">
        <v>2</v>
      </c>
      <c r="N1286">
        <v>2</v>
      </c>
      <c r="O1286" s="1" t="s">
        <v>19</v>
      </c>
      <c r="P1286" s="1" t="s">
        <v>135</v>
      </c>
      <c r="Q1286">
        <v>1253</v>
      </c>
      <c r="R1286" s="1" t="s">
        <v>63</v>
      </c>
      <c r="S1286">
        <v>10</v>
      </c>
      <c r="T1286">
        <v>1</v>
      </c>
      <c r="U1286">
        <v>3</v>
      </c>
      <c r="V1286">
        <v>65</v>
      </c>
      <c r="W1286">
        <v>3</v>
      </c>
      <c r="X1286">
        <v>3</v>
      </c>
      <c r="Y1286" s="1" t="s">
        <v>11</v>
      </c>
      <c r="Z1286">
        <v>3</v>
      </c>
      <c r="AA1286">
        <v>13464</v>
      </c>
      <c r="AB1286">
        <v>7914</v>
      </c>
      <c r="AC1286" s="1" t="s">
        <v>19</v>
      </c>
      <c r="AD1286">
        <v>21</v>
      </c>
      <c r="AE1286">
        <v>4</v>
      </c>
      <c r="AF1286">
        <v>3</v>
      </c>
      <c r="AG1286">
        <v>80</v>
      </c>
      <c r="AH1286">
        <v>0</v>
      </c>
      <c r="AI1286">
        <v>3</v>
      </c>
      <c r="AJ1286">
        <v>0</v>
      </c>
      <c r="AK1286" s="1" t="s">
        <v>136</v>
      </c>
    </row>
    <row r="1287" spans="1:37" x14ac:dyDescent="0.25">
      <c r="A1287">
        <v>1801</v>
      </c>
      <c r="B1287">
        <v>46</v>
      </c>
      <c r="C1287" s="1" t="s">
        <v>25</v>
      </c>
      <c r="D1287" s="1" t="s">
        <v>71</v>
      </c>
      <c r="E1287">
        <v>2</v>
      </c>
      <c r="F1287" s="1" t="s">
        <v>134</v>
      </c>
      <c r="G1287">
        <v>8</v>
      </c>
      <c r="H1287" s="1" t="s">
        <v>18</v>
      </c>
      <c r="I1287">
        <v>6</v>
      </c>
      <c r="J1287">
        <v>3</v>
      </c>
      <c r="K1287">
        <v>2</v>
      </c>
      <c r="L1287">
        <v>2</v>
      </c>
      <c r="M1287">
        <v>2</v>
      </c>
      <c r="N1287">
        <v>2</v>
      </c>
      <c r="O1287" s="1" t="s">
        <v>19</v>
      </c>
      <c r="P1287" s="1" t="s">
        <v>141</v>
      </c>
      <c r="Q1287">
        <v>849</v>
      </c>
      <c r="R1287" s="1" t="s">
        <v>64</v>
      </c>
      <c r="S1287">
        <v>26</v>
      </c>
      <c r="T1287">
        <v>1</v>
      </c>
      <c r="U1287">
        <v>2</v>
      </c>
      <c r="V1287">
        <v>98</v>
      </c>
      <c r="W1287">
        <v>2</v>
      </c>
      <c r="X1287">
        <v>2</v>
      </c>
      <c r="Y1287" s="1" t="s">
        <v>4</v>
      </c>
      <c r="Z1287">
        <v>2</v>
      </c>
      <c r="AA1287">
        <v>7991</v>
      </c>
      <c r="AB1287">
        <v>25166</v>
      </c>
      <c r="AC1287" s="1" t="s">
        <v>19</v>
      </c>
      <c r="AD1287">
        <v>15</v>
      </c>
      <c r="AE1287">
        <v>3</v>
      </c>
      <c r="AF1287">
        <v>3</v>
      </c>
      <c r="AG1287">
        <v>80</v>
      </c>
      <c r="AH1287">
        <v>0</v>
      </c>
      <c r="AI1287">
        <v>3</v>
      </c>
      <c r="AJ1287">
        <v>0</v>
      </c>
      <c r="AK1287" s="1" t="s">
        <v>136</v>
      </c>
    </row>
    <row r="1288" spans="1:37" x14ac:dyDescent="0.25">
      <c r="A1288">
        <v>1802</v>
      </c>
      <c r="B1288">
        <v>40</v>
      </c>
      <c r="C1288" s="1" t="s">
        <v>24</v>
      </c>
      <c r="D1288" s="1" t="s">
        <v>70</v>
      </c>
      <c r="E1288">
        <v>2</v>
      </c>
      <c r="F1288" s="1" t="s">
        <v>134</v>
      </c>
      <c r="G1288">
        <v>4</v>
      </c>
      <c r="H1288" s="1" t="s">
        <v>18</v>
      </c>
      <c r="I1288">
        <v>7</v>
      </c>
      <c r="J1288">
        <v>5</v>
      </c>
      <c r="K1288">
        <v>4</v>
      </c>
      <c r="L1288">
        <v>3</v>
      </c>
      <c r="M1288">
        <v>0</v>
      </c>
      <c r="N1288">
        <v>2</v>
      </c>
      <c r="O1288" s="1" t="s">
        <v>19</v>
      </c>
      <c r="P1288" s="1" t="s">
        <v>135</v>
      </c>
      <c r="Q1288">
        <v>616</v>
      </c>
      <c r="R1288" s="1" t="s">
        <v>63</v>
      </c>
      <c r="S1288">
        <v>2</v>
      </c>
      <c r="T1288">
        <v>1</v>
      </c>
      <c r="U1288">
        <v>3</v>
      </c>
      <c r="V1288">
        <v>99</v>
      </c>
      <c r="W1288">
        <v>3</v>
      </c>
      <c r="X1288">
        <v>1</v>
      </c>
      <c r="Y1288" s="1" t="s">
        <v>6</v>
      </c>
      <c r="Z1288">
        <v>1</v>
      </c>
      <c r="AA1288">
        <v>3377</v>
      </c>
      <c r="AB1288">
        <v>25605</v>
      </c>
      <c r="AC1288" s="1" t="s">
        <v>19</v>
      </c>
      <c r="AD1288">
        <v>17</v>
      </c>
      <c r="AE1288">
        <v>3</v>
      </c>
      <c r="AF1288">
        <v>4</v>
      </c>
      <c r="AG1288">
        <v>80</v>
      </c>
      <c r="AH1288">
        <v>1</v>
      </c>
      <c r="AI1288">
        <v>2</v>
      </c>
      <c r="AJ1288">
        <v>0</v>
      </c>
      <c r="AK1288" s="1" t="s">
        <v>136</v>
      </c>
    </row>
    <row r="1289" spans="1:37" x14ac:dyDescent="0.25">
      <c r="A1289">
        <v>1803</v>
      </c>
      <c r="B1289">
        <v>42</v>
      </c>
      <c r="C1289" s="1" t="s">
        <v>25</v>
      </c>
      <c r="D1289" s="1" t="s">
        <v>70</v>
      </c>
      <c r="E1289">
        <v>3</v>
      </c>
      <c r="F1289" s="1" t="s">
        <v>139</v>
      </c>
      <c r="G1289">
        <v>5</v>
      </c>
      <c r="H1289" s="1" t="s">
        <v>18</v>
      </c>
      <c r="I1289">
        <v>10</v>
      </c>
      <c r="J1289">
        <v>2</v>
      </c>
      <c r="K1289">
        <v>0</v>
      </c>
      <c r="L1289">
        <v>0</v>
      </c>
      <c r="M1289">
        <v>0</v>
      </c>
      <c r="N1289">
        <v>0</v>
      </c>
      <c r="O1289" s="1" t="s">
        <v>19</v>
      </c>
      <c r="P1289" s="1" t="s">
        <v>135</v>
      </c>
      <c r="Q1289">
        <v>1128</v>
      </c>
      <c r="R1289" s="1" t="s">
        <v>63</v>
      </c>
      <c r="S1289">
        <v>13</v>
      </c>
      <c r="T1289">
        <v>1</v>
      </c>
      <c r="U1289">
        <v>2</v>
      </c>
      <c r="V1289">
        <v>95</v>
      </c>
      <c r="W1289">
        <v>4</v>
      </c>
      <c r="X1289">
        <v>2</v>
      </c>
      <c r="Y1289" s="1" t="s">
        <v>8</v>
      </c>
      <c r="Z1289">
        <v>1</v>
      </c>
      <c r="AA1289">
        <v>5538</v>
      </c>
      <c r="AB1289">
        <v>5696</v>
      </c>
      <c r="AC1289" s="1" t="s">
        <v>19</v>
      </c>
      <c r="AD1289">
        <v>18</v>
      </c>
      <c r="AE1289">
        <v>3</v>
      </c>
      <c r="AF1289">
        <v>3</v>
      </c>
      <c r="AG1289">
        <v>80</v>
      </c>
      <c r="AH1289">
        <v>2</v>
      </c>
      <c r="AI1289">
        <v>2</v>
      </c>
      <c r="AJ1289">
        <v>0</v>
      </c>
      <c r="AK1289" s="1" t="s">
        <v>136</v>
      </c>
    </row>
    <row r="1290" spans="1:37" x14ac:dyDescent="0.25">
      <c r="A1290">
        <v>1804</v>
      </c>
      <c r="B1290">
        <v>35</v>
      </c>
      <c r="C1290" s="1" t="s">
        <v>25</v>
      </c>
      <c r="D1290" s="1" t="s">
        <v>69</v>
      </c>
      <c r="E1290">
        <v>2</v>
      </c>
      <c r="F1290" s="1" t="s">
        <v>139</v>
      </c>
      <c r="G1290">
        <v>2</v>
      </c>
      <c r="H1290" s="1" t="s">
        <v>18</v>
      </c>
      <c r="I1290">
        <v>15</v>
      </c>
      <c r="J1290">
        <v>6</v>
      </c>
      <c r="K1290">
        <v>7</v>
      </c>
      <c r="L1290">
        <v>7</v>
      </c>
      <c r="M1290">
        <v>1</v>
      </c>
      <c r="N1290">
        <v>7</v>
      </c>
      <c r="O1290" s="1" t="s">
        <v>19</v>
      </c>
      <c r="P1290" s="1" t="s">
        <v>141</v>
      </c>
      <c r="Q1290">
        <v>1180</v>
      </c>
      <c r="R1290" s="1" t="s">
        <v>63</v>
      </c>
      <c r="S1290">
        <v>2</v>
      </c>
      <c r="T1290">
        <v>1</v>
      </c>
      <c r="U1290">
        <v>2</v>
      </c>
      <c r="V1290">
        <v>90</v>
      </c>
      <c r="W1290">
        <v>3</v>
      </c>
      <c r="X1290">
        <v>2</v>
      </c>
      <c r="Y1290" s="1" t="s">
        <v>7</v>
      </c>
      <c r="Z1290">
        <v>4</v>
      </c>
      <c r="AA1290">
        <v>5762</v>
      </c>
      <c r="AB1290">
        <v>24442</v>
      </c>
      <c r="AC1290" s="1" t="s">
        <v>19</v>
      </c>
      <c r="AD1290">
        <v>14</v>
      </c>
      <c r="AE1290">
        <v>3</v>
      </c>
      <c r="AF1290">
        <v>3</v>
      </c>
      <c r="AG1290">
        <v>80</v>
      </c>
      <c r="AH1290">
        <v>1</v>
      </c>
      <c r="AI1290">
        <v>3</v>
      </c>
      <c r="AJ1290">
        <v>0</v>
      </c>
      <c r="AK1290" s="1" t="s">
        <v>136</v>
      </c>
    </row>
    <row r="1291" spans="1:37" x14ac:dyDescent="0.25">
      <c r="A1291">
        <v>1805</v>
      </c>
      <c r="B1291">
        <v>38</v>
      </c>
      <c r="C1291" s="1" t="s">
        <v>25</v>
      </c>
      <c r="D1291" s="1" t="s">
        <v>69</v>
      </c>
      <c r="E1291">
        <v>3</v>
      </c>
      <c r="F1291" s="1" t="s">
        <v>12</v>
      </c>
      <c r="G1291">
        <v>5</v>
      </c>
      <c r="H1291" s="1" t="s">
        <v>18</v>
      </c>
      <c r="I1291">
        <v>13</v>
      </c>
      <c r="J1291">
        <v>3</v>
      </c>
      <c r="K1291">
        <v>11</v>
      </c>
      <c r="L1291">
        <v>10</v>
      </c>
      <c r="M1291">
        <v>3</v>
      </c>
      <c r="N1291">
        <v>8</v>
      </c>
      <c r="O1291" s="1" t="s">
        <v>19</v>
      </c>
      <c r="P1291" s="1" t="s">
        <v>141</v>
      </c>
      <c r="Q1291">
        <v>1336</v>
      </c>
      <c r="R1291" s="1" t="s">
        <v>12</v>
      </c>
      <c r="S1291">
        <v>2</v>
      </c>
      <c r="T1291">
        <v>1</v>
      </c>
      <c r="U1291">
        <v>1</v>
      </c>
      <c r="V1291">
        <v>100</v>
      </c>
      <c r="W1291">
        <v>3</v>
      </c>
      <c r="X1291">
        <v>1</v>
      </c>
      <c r="Y1291" s="1" t="s">
        <v>12</v>
      </c>
      <c r="Z1291">
        <v>2</v>
      </c>
      <c r="AA1291">
        <v>2592</v>
      </c>
      <c r="AB1291">
        <v>7129</v>
      </c>
      <c r="AC1291" s="1" t="s">
        <v>19</v>
      </c>
      <c r="AD1291">
        <v>13</v>
      </c>
      <c r="AE1291">
        <v>3</v>
      </c>
      <c r="AF1291">
        <v>4</v>
      </c>
      <c r="AG1291">
        <v>80</v>
      </c>
      <c r="AH1291">
        <v>3</v>
      </c>
      <c r="AI1291">
        <v>3</v>
      </c>
      <c r="AJ1291">
        <v>0</v>
      </c>
      <c r="AK1291" s="1" t="s">
        <v>136</v>
      </c>
    </row>
    <row r="1292" spans="1:37" x14ac:dyDescent="0.25">
      <c r="A1292">
        <v>1807</v>
      </c>
      <c r="B1292">
        <v>34</v>
      </c>
      <c r="C1292" s="1" t="s">
        <v>25</v>
      </c>
      <c r="D1292" s="1" t="s">
        <v>70</v>
      </c>
      <c r="E1292">
        <v>4</v>
      </c>
      <c r="F1292" s="1" t="s">
        <v>134</v>
      </c>
      <c r="G1292">
        <v>4</v>
      </c>
      <c r="H1292" s="1" t="s">
        <v>18</v>
      </c>
      <c r="I1292">
        <v>11</v>
      </c>
      <c r="J1292">
        <v>3</v>
      </c>
      <c r="K1292">
        <v>7</v>
      </c>
      <c r="L1292">
        <v>1</v>
      </c>
      <c r="M1292">
        <v>0</v>
      </c>
      <c r="N1292">
        <v>7</v>
      </c>
      <c r="O1292" s="1" t="s">
        <v>18</v>
      </c>
      <c r="P1292" s="1" t="s">
        <v>137</v>
      </c>
      <c r="Q1292">
        <v>234</v>
      </c>
      <c r="R1292" s="1" t="s">
        <v>63</v>
      </c>
      <c r="S1292">
        <v>9</v>
      </c>
      <c r="T1292">
        <v>1</v>
      </c>
      <c r="U1292">
        <v>4</v>
      </c>
      <c r="V1292">
        <v>93</v>
      </c>
      <c r="W1292">
        <v>3</v>
      </c>
      <c r="X1292">
        <v>2</v>
      </c>
      <c r="Y1292" s="1" t="s">
        <v>6</v>
      </c>
      <c r="Z1292">
        <v>1</v>
      </c>
      <c r="AA1292">
        <v>5346</v>
      </c>
      <c r="AB1292">
        <v>6208</v>
      </c>
      <c r="AC1292" s="1" t="s">
        <v>19</v>
      </c>
      <c r="AD1292">
        <v>17</v>
      </c>
      <c r="AE1292">
        <v>3</v>
      </c>
      <c r="AF1292">
        <v>3</v>
      </c>
      <c r="AG1292">
        <v>80</v>
      </c>
      <c r="AH1292">
        <v>1</v>
      </c>
      <c r="AI1292">
        <v>2</v>
      </c>
      <c r="AJ1292">
        <v>1</v>
      </c>
      <c r="AK1292" s="1" t="s">
        <v>136</v>
      </c>
    </row>
    <row r="1293" spans="1:37" x14ac:dyDescent="0.25">
      <c r="A1293">
        <v>1809</v>
      </c>
      <c r="B1293">
        <v>37</v>
      </c>
      <c r="C1293" s="1" t="s">
        <v>25</v>
      </c>
      <c r="D1293" s="1" t="s">
        <v>71</v>
      </c>
      <c r="E1293">
        <v>4</v>
      </c>
      <c r="F1293" s="1" t="s">
        <v>139</v>
      </c>
      <c r="G1293">
        <v>1</v>
      </c>
      <c r="H1293" s="1" t="s">
        <v>18</v>
      </c>
      <c r="I1293">
        <v>10</v>
      </c>
      <c r="J1293">
        <v>4</v>
      </c>
      <c r="K1293">
        <v>10</v>
      </c>
      <c r="L1293">
        <v>3</v>
      </c>
      <c r="M1293">
        <v>0</v>
      </c>
      <c r="N1293">
        <v>8</v>
      </c>
      <c r="O1293" s="1" t="s">
        <v>18</v>
      </c>
      <c r="P1293" s="1" t="s">
        <v>135</v>
      </c>
      <c r="Q1293">
        <v>370</v>
      </c>
      <c r="R1293" s="1" t="s">
        <v>63</v>
      </c>
      <c r="S1293">
        <v>10</v>
      </c>
      <c r="T1293">
        <v>1</v>
      </c>
      <c r="U1293">
        <v>4</v>
      </c>
      <c r="V1293">
        <v>58</v>
      </c>
      <c r="W1293">
        <v>3</v>
      </c>
      <c r="X1293">
        <v>2</v>
      </c>
      <c r="Y1293" s="1" t="s">
        <v>7</v>
      </c>
      <c r="Z1293">
        <v>1</v>
      </c>
      <c r="AA1293">
        <v>4213</v>
      </c>
      <c r="AB1293">
        <v>4992</v>
      </c>
      <c r="AC1293" s="1" t="s">
        <v>19</v>
      </c>
      <c r="AD1293">
        <v>15</v>
      </c>
      <c r="AE1293">
        <v>3</v>
      </c>
      <c r="AF1293">
        <v>2</v>
      </c>
      <c r="AG1293">
        <v>80</v>
      </c>
      <c r="AH1293">
        <v>0</v>
      </c>
      <c r="AI1293">
        <v>1</v>
      </c>
      <c r="AJ1293">
        <v>1</v>
      </c>
      <c r="AK1293" s="1" t="s">
        <v>136</v>
      </c>
    </row>
    <row r="1294" spans="1:37" x14ac:dyDescent="0.25">
      <c r="A1294">
        <v>1812</v>
      </c>
      <c r="B1294">
        <v>39</v>
      </c>
      <c r="C1294" s="1" t="s">
        <v>25</v>
      </c>
      <c r="D1294" s="1" t="s">
        <v>69</v>
      </c>
      <c r="E1294">
        <v>3</v>
      </c>
      <c r="F1294" s="1" t="s">
        <v>134</v>
      </c>
      <c r="G1294">
        <v>2</v>
      </c>
      <c r="H1294" s="1" t="s">
        <v>18</v>
      </c>
      <c r="I1294">
        <v>7</v>
      </c>
      <c r="J1294">
        <v>6</v>
      </c>
      <c r="K1294">
        <v>2</v>
      </c>
      <c r="L1294">
        <v>1</v>
      </c>
      <c r="M1294">
        <v>2</v>
      </c>
      <c r="N1294">
        <v>2</v>
      </c>
      <c r="O1294" s="1" t="s">
        <v>19</v>
      </c>
      <c r="P1294" s="1" t="s">
        <v>137</v>
      </c>
      <c r="Q1294">
        <v>766</v>
      </c>
      <c r="R1294" s="1" t="s">
        <v>64</v>
      </c>
      <c r="S1294">
        <v>20</v>
      </c>
      <c r="T1294">
        <v>1</v>
      </c>
      <c r="U1294">
        <v>3</v>
      </c>
      <c r="V1294">
        <v>83</v>
      </c>
      <c r="W1294">
        <v>3</v>
      </c>
      <c r="X1294">
        <v>2</v>
      </c>
      <c r="Y1294" s="1" t="s">
        <v>4</v>
      </c>
      <c r="Z1294">
        <v>4</v>
      </c>
      <c r="AA1294">
        <v>4127</v>
      </c>
      <c r="AB1294">
        <v>19188</v>
      </c>
      <c r="AC1294" s="1" t="s">
        <v>19</v>
      </c>
      <c r="AD1294">
        <v>18</v>
      </c>
      <c r="AE1294">
        <v>3</v>
      </c>
      <c r="AF1294">
        <v>4</v>
      </c>
      <c r="AG1294">
        <v>80</v>
      </c>
      <c r="AH1294">
        <v>1</v>
      </c>
      <c r="AI1294">
        <v>3</v>
      </c>
      <c r="AJ1294">
        <v>0</v>
      </c>
      <c r="AK1294" s="1" t="s">
        <v>136</v>
      </c>
    </row>
    <row r="1295" spans="1:37" x14ac:dyDescent="0.25">
      <c r="A1295">
        <v>1813</v>
      </c>
      <c r="B1295">
        <v>43</v>
      </c>
      <c r="C1295" s="1" t="s">
        <v>25</v>
      </c>
      <c r="D1295" s="1" t="s">
        <v>71</v>
      </c>
      <c r="E1295">
        <v>3</v>
      </c>
      <c r="F1295" s="1" t="s">
        <v>134</v>
      </c>
      <c r="G1295">
        <v>4</v>
      </c>
      <c r="H1295" s="1" t="s">
        <v>18</v>
      </c>
      <c r="I1295">
        <v>7</v>
      </c>
      <c r="J1295">
        <v>2</v>
      </c>
      <c r="K1295">
        <v>3</v>
      </c>
      <c r="L1295">
        <v>2</v>
      </c>
      <c r="M1295">
        <v>1</v>
      </c>
      <c r="N1295">
        <v>2</v>
      </c>
      <c r="O1295" s="1" t="s">
        <v>19</v>
      </c>
      <c r="P1295" s="1" t="s">
        <v>141</v>
      </c>
      <c r="Q1295">
        <v>343</v>
      </c>
      <c r="R1295" s="1" t="s">
        <v>63</v>
      </c>
      <c r="S1295">
        <v>9</v>
      </c>
      <c r="T1295">
        <v>1</v>
      </c>
      <c r="U1295">
        <v>1</v>
      </c>
      <c r="V1295">
        <v>52</v>
      </c>
      <c r="W1295">
        <v>3</v>
      </c>
      <c r="X1295">
        <v>1</v>
      </c>
      <c r="Y1295" s="1" t="s">
        <v>5</v>
      </c>
      <c r="Z1295">
        <v>3</v>
      </c>
      <c r="AA1295">
        <v>2438</v>
      </c>
      <c r="AB1295">
        <v>24978</v>
      </c>
      <c r="AC1295" s="1" t="s">
        <v>19</v>
      </c>
      <c r="AD1295">
        <v>13</v>
      </c>
      <c r="AE1295">
        <v>3</v>
      </c>
      <c r="AF1295">
        <v>3</v>
      </c>
      <c r="AG1295">
        <v>80</v>
      </c>
      <c r="AH1295">
        <v>0</v>
      </c>
      <c r="AI1295">
        <v>2</v>
      </c>
      <c r="AJ1295">
        <v>0</v>
      </c>
      <c r="AK1295" s="1" t="s">
        <v>136</v>
      </c>
    </row>
    <row r="1296" spans="1:37" x14ac:dyDescent="0.25">
      <c r="A1296">
        <v>1814</v>
      </c>
      <c r="B1296">
        <v>41</v>
      </c>
      <c r="C1296" s="1" t="s">
        <v>25</v>
      </c>
      <c r="D1296" s="1" t="s">
        <v>71</v>
      </c>
      <c r="E1296">
        <v>3</v>
      </c>
      <c r="F1296" s="1" t="s">
        <v>134</v>
      </c>
      <c r="G1296">
        <v>3</v>
      </c>
      <c r="H1296" s="1" t="s">
        <v>18</v>
      </c>
      <c r="I1296">
        <v>11</v>
      </c>
      <c r="J1296">
        <v>3</v>
      </c>
      <c r="K1296">
        <v>3</v>
      </c>
      <c r="L1296">
        <v>2</v>
      </c>
      <c r="M1296">
        <v>1</v>
      </c>
      <c r="N1296">
        <v>2</v>
      </c>
      <c r="O1296" s="1" t="s">
        <v>19</v>
      </c>
      <c r="P1296" s="1" t="s">
        <v>135</v>
      </c>
      <c r="Q1296">
        <v>447</v>
      </c>
      <c r="R1296" s="1" t="s">
        <v>63</v>
      </c>
      <c r="S1296">
        <v>5</v>
      </c>
      <c r="T1296">
        <v>1</v>
      </c>
      <c r="U1296">
        <v>2</v>
      </c>
      <c r="V1296">
        <v>85</v>
      </c>
      <c r="W1296">
        <v>4</v>
      </c>
      <c r="X1296">
        <v>2</v>
      </c>
      <c r="Y1296" s="1" t="s">
        <v>8</v>
      </c>
      <c r="Z1296">
        <v>2</v>
      </c>
      <c r="AA1296">
        <v>6870</v>
      </c>
      <c r="AB1296">
        <v>15530</v>
      </c>
      <c r="AC1296" s="1" t="s">
        <v>19</v>
      </c>
      <c r="AD1296">
        <v>12</v>
      </c>
      <c r="AE1296">
        <v>3</v>
      </c>
      <c r="AF1296">
        <v>1</v>
      </c>
      <c r="AG1296">
        <v>80</v>
      </c>
      <c r="AH1296">
        <v>0</v>
      </c>
      <c r="AI1296">
        <v>1</v>
      </c>
      <c r="AJ1296">
        <v>0</v>
      </c>
      <c r="AK1296" s="1" t="s">
        <v>136</v>
      </c>
    </row>
    <row r="1297" spans="1:37" x14ac:dyDescent="0.25">
      <c r="A1297">
        <v>1815</v>
      </c>
      <c r="B1297">
        <v>41</v>
      </c>
      <c r="C1297" s="1" t="s">
        <v>24</v>
      </c>
      <c r="D1297" s="1" t="s">
        <v>69</v>
      </c>
      <c r="E1297">
        <v>1</v>
      </c>
      <c r="F1297" s="1" t="s">
        <v>142</v>
      </c>
      <c r="G1297">
        <v>0</v>
      </c>
      <c r="H1297" s="1" t="s">
        <v>18</v>
      </c>
      <c r="I1297">
        <v>23</v>
      </c>
      <c r="J1297">
        <v>3</v>
      </c>
      <c r="K1297">
        <v>22</v>
      </c>
      <c r="L1297">
        <v>14</v>
      </c>
      <c r="M1297">
        <v>13</v>
      </c>
      <c r="N1297">
        <v>5</v>
      </c>
      <c r="O1297" s="1" t="s">
        <v>19</v>
      </c>
      <c r="P1297" s="1" t="s">
        <v>135</v>
      </c>
      <c r="Q1297">
        <v>796</v>
      </c>
      <c r="R1297" s="1" t="s">
        <v>64</v>
      </c>
      <c r="S1297">
        <v>4</v>
      </c>
      <c r="T1297">
        <v>1</v>
      </c>
      <c r="U1297">
        <v>3</v>
      </c>
      <c r="V1297">
        <v>81</v>
      </c>
      <c r="W1297">
        <v>3</v>
      </c>
      <c r="X1297">
        <v>3</v>
      </c>
      <c r="Y1297" s="1" t="s">
        <v>4</v>
      </c>
      <c r="Z1297">
        <v>3</v>
      </c>
      <c r="AA1297">
        <v>10447</v>
      </c>
      <c r="AB1297">
        <v>26458</v>
      </c>
      <c r="AC1297" s="1" t="s">
        <v>18</v>
      </c>
      <c r="AD1297">
        <v>13</v>
      </c>
      <c r="AE1297">
        <v>3</v>
      </c>
      <c r="AF1297">
        <v>4</v>
      </c>
      <c r="AG1297">
        <v>80</v>
      </c>
      <c r="AH1297">
        <v>1</v>
      </c>
      <c r="AI1297">
        <v>4</v>
      </c>
      <c r="AJ1297">
        <v>0</v>
      </c>
      <c r="AK1297" s="1" t="s">
        <v>136</v>
      </c>
    </row>
    <row r="1298" spans="1:37" x14ac:dyDescent="0.25">
      <c r="A1298">
        <v>1816</v>
      </c>
      <c r="B1298">
        <v>30</v>
      </c>
      <c r="C1298" s="1" t="s">
        <v>24</v>
      </c>
      <c r="D1298" s="1" t="s">
        <v>71</v>
      </c>
      <c r="E1298">
        <v>3</v>
      </c>
      <c r="F1298" s="1" t="s">
        <v>139</v>
      </c>
      <c r="G1298">
        <v>9</v>
      </c>
      <c r="H1298" s="1" t="s">
        <v>18</v>
      </c>
      <c r="I1298">
        <v>9</v>
      </c>
      <c r="J1298">
        <v>3</v>
      </c>
      <c r="K1298">
        <v>7</v>
      </c>
      <c r="L1298">
        <v>7</v>
      </c>
      <c r="M1298">
        <v>0</v>
      </c>
      <c r="N1298">
        <v>2</v>
      </c>
      <c r="O1298" s="1" t="s">
        <v>19</v>
      </c>
      <c r="P1298" s="1" t="s">
        <v>135</v>
      </c>
      <c r="Q1298">
        <v>1092</v>
      </c>
      <c r="R1298" s="1" t="s">
        <v>63</v>
      </c>
      <c r="S1298">
        <v>10</v>
      </c>
      <c r="T1298">
        <v>1</v>
      </c>
      <c r="U1298">
        <v>1</v>
      </c>
      <c r="V1298">
        <v>64</v>
      </c>
      <c r="W1298">
        <v>3</v>
      </c>
      <c r="X1298">
        <v>3</v>
      </c>
      <c r="Y1298" s="1" t="s">
        <v>7</v>
      </c>
      <c r="Z1298">
        <v>3</v>
      </c>
      <c r="AA1298">
        <v>9667</v>
      </c>
      <c r="AB1298">
        <v>2739</v>
      </c>
      <c r="AC1298" s="1" t="s">
        <v>19</v>
      </c>
      <c r="AD1298">
        <v>14</v>
      </c>
      <c r="AE1298">
        <v>3</v>
      </c>
      <c r="AF1298">
        <v>2</v>
      </c>
      <c r="AG1298">
        <v>80</v>
      </c>
      <c r="AH1298">
        <v>0</v>
      </c>
      <c r="AI1298">
        <v>3</v>
      </c>
      <c r="AJ1298">
        <v>0</v>
      </c>
      <c r="AK1298" s="1" t="s">
        <v>136</v>
      </c>
    </row>
    <row r="1299" spans="1:37" x14ac:dyDescent="0.25">
      <c r="A1299">
        <v>1818</v>
      </c>
      <c r="B1299">
        <v>26</v>
      </c>
      <c r="C1299" s="1" t="s">
        <v>24</v>
      </c>
      <c r="D1299" s="1" t="s">
        <v>70</v>
      </c>
      <c r="E1299">
        <v>2</v>
      </c>
      <c r="F1299" s="1" t="s">
        <v>139</v>
      </c>
      <c r="G1299">
        <v>0</v>
      </c>
      <c r="H1299" s="1" t="s">
        <v>18</v>
      </c>
      <c r="I1299">
        <v>6</v>
      </c>
      <c r="J1299">
        <v>3</v>
      </c>
      <c r="K1299">
        <v>5</v>
      </c>
      <c r="L1299">
        <v>1</v>
      </c>
      <c r="M1299">
        <v>1</v>
      </c>
      <c r="N1299">
        <v>4</v>
      </c>
      <c r="O1299" s="1" t="s">
        <v>18</v>
      </c>
      <c r="P1299" s="1" t="s">
        <v>135</v>
      </c>
      <c r="Q1299">
        <v>920</v>
      </c>
      <c r="R1299" s="1" t="s">
        <v>12</v>
      </c>
      <c r="S1299">
        <v>20</v>
      </c>
      <c r="T1299">
        <v>1</v>
      </c>
      <c r="U1299">
        <v>4</v>
      </c>
      <c r="V1299">
        <v>69</v>
      </c>
      <c r="W1299">
        <v>3</v>
      </c>
      <c r="X1299">
        <v>1</v>
      </c>
      <c r="Y1299" s="1" t="s">
        <v>12</v>
      </c>
      <c r="Z1299">
        <v>2</v>
      </c>
      <c r="AA1299">
        <v>2148</v>
      </c>
      <c r="AB1299">
        <v>6889</v>
      </c>
      <c r="AC1299" s="1" t="s">
        <v>18</v>
      </c>
      <c r="AD1299">
        <v>11</v>
      </c>
      <c r="AE1299">
        <v>3</v>
      </c>
      <c r="AF1299">
        <v>3</v>
      </c>
      <c r="AG1299">
        <v>80</v>
      </c>
      <c r="AH1299">
        <v>0</v>
      </c>
      <c r="AI1299">
        <v>3</v>
      </c>
      <c r="AJ1299">
        <v>1</v>
      </c>
      <c r="AK1299" s="1" t="s">
        <v>136</v>
      </c>
    </row>
    <row r="1300" spans="1:37" x14ac:dyDescent="0.25">
      <c r="A1300">
        <v>1821</v>
      </c>
      <c r="B1300">
        <v>46</v>
      </c>
      <c r="C1300" s="1" t="s">
        <v>24</v>
      </c>
      <c r="D1300" s="1" t="s">
        <v>70</v>
      </c>
      <c r="E1300">
        <v>2</v>
      </c>
      <c r="F1300" s="1" t="s">
        <v>139</v>
      </c>
      <c r="G1300">
        <v>4</v>
      </c>
      <c r="H1300" s="1" t="s">
        <v>18</v>
      </c>
      <c r="I1300">
        <v>13</v>
      </c>
      <c r="J1300">
        <v>2</v>
      </c>
      <c r="K1300">
        <v>9</v>
      </c>
      <c r="L1300">
        <v>7</v>
      </c>
      <c r="M1300">
        <v>3</v>
      </c>
      <c r="N1300">
        <v>7</v>
      </c>
      <c r="O1300" s="1" t="s">
        <v>18</v>
      </c>
      <c r="P1300" s="1" t="s">
        <v>135</v>
      </c>
      <c r="Q1300">
        <v>261</v>
      </c>
      <c r="R1300" s="1" t="s">
        <v>63</v>
      </c>
      <c r="S1300">
        <v>21</v>
      </c>
      <c r="T1300">
        <v>1</v>
      </c>
      <c r="U1300">
        <v>4</v>
      </c>
      <c r="V1300">
        <v>66</v>
      </c>
      <c r="W1300">
        <v>3</v>
      </c>
      <c r="X1300">
        <v>2</v>
      </c>
      <c r="Y1300" s="1" t="s">
        <v>8</v>
      </c>
      <c r="Z1300">
        <v>2</v>
      </c>
      <c r="AA1300">
        <v>8926</v>
      </c>
      <c r="AB1300">
        <v>10842</v>
      </c>
      <c r="AC1300" s="1" t="s">
        <v>19</v>
      </c>
      <c r="AD1300">
        <v>22</v>
      </c>
      <c r="AE1300">
        <v>4</v>
      </c>
      <c r="AF1300">
        <v>4</v>
      </c>
      <c r="AG1300">
        <v>80</v>
      </c>
      <c r="AH1300">
        <v>1</v>
      </c>
      <c r="AI1300">
        <v>4</v>
      </c>
      <c r="AJ1300">
        <v>1</v>
      </c>
      <c r="AK1300" s="1" t="s">
        <v>136</v>
      </c>
    </row>
    <row r="1301" spans="1:37" x14ac:dyDescent="0.25">
      <c r="A1301">
        <v>1822</v>
      </c>
      <c r="B1301">
        <v>40</v>
      </c>
      <c r="C1301" s="1" t="s">
        <v>24</v>
      </c>
      <c r="D1301" s="1" t="s">
        <v>69</v>
      </c>
      <c r="E1301">
        <v>3</v>
      </c>
      <c r="F1301" s="1" t="s">
        <v>134</v>
      </c>
      <c r="G1301">
        <v>4</v>
      </c>
      <c r="H1301" s="1" t="s">
        <v>18</v>
      </c>
      <c r="I1301">
        <v>12</v>
      </c>
      <c r="J1301">
        <v>3</v>
      </c>
      <c r="K1301">
        <v>5</v>
      </c>
      <c r="L1301">
        <v>3</v>
      </c>
      <c r="M1301">
        <v>0</v>
      </c>
      <c r="N1301">
        <v>3</v>
      </c>
      <c r="O1301" s="1" t="s">
        <v>19</v>
      </c>
      <c r="P1301" s="1" t="s">
        <v>135</v>
      </c>
      <c r="Q1301">
        <v>1194</v>
      </c>
      <c r="R1301" s="1" t="s">
        <v>63</v>
      </c>
      <c r="S1301">
        <v>1</v>
      </c>
      <c r="T1301">
        <v>1</v>
      </c>
      <c r="U1301">
        <v>3</v>
      </c>
      <c r="V1301">
        <v>52</v>
      </c>
      <c r="W1301">
        <v>3</v>
      </c>
      <c r="X1301">
        <v>2</v>
      </c>
      <c r="Y1301" s="1" t="s">
        <v>8</v>
      </c>
      <c r="Z1301">
        <v>4</v>
      </c>
      <c r="AA1301">
        <v>6513</v>
      </c>
      <c r="AB1301">
        <v>9060</v>
      </c>
      <c r="AC1301" s="1" t="s">
        <v>19</v>
      </c>
      <c r="AD1301">
        <v>17</v>
      </c>
      <c r="AE1301">
        <v>3</v>
      </c>
      <c r="AF1301">
        <v>4</v>
      </c>
      <c r="AG1301">
        <v>80</v>
      </c>
      <c r="AH1301">
        <v>1</v>
      </c>
      <c r="AI1301">
        <v>3</v>
      </c>
      <c r="AJ1301">
        <v>0</v>
      </c>
      <c r="AK1301" s="1" t="s">
        <v>136</v>
      </c>
    </row>
    <row r="1302" spans="1:37" x14ac:dyDescent="0.25">
      <c r="A1302">
        <v>1823</v>
      </c>
      <c r="B1302">
        <v>34</v>
      </c>
      <c r="C1302" s="1" t="s">
        <v>25</v>
      </c>
      <c r="D1302" s="1" t="s">
        <v>70</v>
      </c>
      <c r="E1302">
        <v>2</v>
      </c>
      <c r="F1302" s="1" t="s">
        <v>143</v>
      </c>
      <c r="G1302">
        <v>1</v>
      </c>
      <c r="H1302" s="1" t="s">
        <v>18</v>
      </c>
      <c r="I1302">
        <v>10</v>
      </c>
      <c r="J1302">
        <v>5</v>
      </c>
      <c r="K1302">
        <v>10</v>
      </c>
      <c r="L1302">
        <v>8</v>
      </c>
      <c r="M1302">
        <v>4</v>
      </c>
      <c r="N1302">
        <v>8</v>
      </c>
      <c r="O1302" s="1" t="s">
        <v>19</v>
      </c>
      <c r="P1302" s="1" t="s">
        <v>135</v>
      </c>
      <c r="Q1302">
        <v>810</v>
      </c>
      <c r="R1302" s="1" t="s">
        <v>64</v>
      </c>
      <c r="S1302">
        <v>8</v>
      </c>
      <c r="T1302">
        <v>1</v>
      </c>
      <c r="U1302">
        <v>2</v>
      </c>
      <c r="V1302">
        <v>92</v>
      </c>
      <c r="W1302">
        <v>4</v>
      </c>
      <c r="X1302">
        <v>2</v>
      </c>
      <c r="Y1302" s="1" t="s">
        <v>4</v>
      </c>
      <c r="Z1302">
        <v>3</v>
      </c>
      <c r="AA1302">
        <v>6799</v>
      </c>
      <c r="AB1302">
        <v>22128</v>
      </c>
      <c r="AC1302" s="1" t="s">
        <v>19</v>
      </c>
      <c r="AD1302">
        <v>21</v>
      </c>
      <c r="AE1302">
        <v>4</v>
      </c>
      <c r="AF1302">
        <v>3</v>
      </c>
      <c r="AG1302">
        <v>80</v>
      </c>
      <c r="AH1302">
        <v>2</v>
      </c>
      <c r="AI1302">
        <v>3</v>
      </c>
      <c r="AJ1302">
        <v>0</v>
      </c>
      <c r="AK1302" s="1" t="s">
        <v>136</v>
      </c>
    </row>
    <row r="1303" spans="1:37" x14ac:dyDescent="0.25">
      <c r="A1303">
        <v>1824</v>
      </c>
      <c r="B1303">
        <v>58</v>
      </c>
      <c r="C1303" s="1" t="s">
        <v>25</v>
      </c>
      <c r="D1303" s="1" t="s">
        <v>69</v>
      </c>
      <c r="E1303">
        <v>3</v>
      </c>
      <c r="F1303" s="1" t="s">
        <v>139</v>
      </c>
      <c r="G1303">
        <v>4</v>
      </c>
      <c r="H1303" s="1" t="s">
        <v>18</v>
      </c>
      <c r="I1303">
        <v>37</v>
      </c>
      <c r="J1303">
        <v>0</v>
      </c>
      <c r="K1303">
        <v>16</v>
      </c>
      <c r="L1303">
        <v>9</v>
      </c>
      <c r="M1303">
        <v>14</v>
      </c>
      <c r="N1303">
        <v>14</v>
      </c>
      <c r="O1303" s="1" t="s">
        <v>19</v>
      </c>
      <c r="P1303" s="1" t="s">
        <v>141</v>
      </c>
      <c r="Q1303">
        <v>350</v>
      </c>
      <c r="R1303" s="1" t="s">
        <v>64</v>
      </c>
      <c r="S1303">
        <v>2</v>
      </c>
      <c r="T1303">
        <v>1</v>
      </c>
      <c r="U1303">
        <v>2</v>
      </c>
      <c r="V1303">
        <v>52</v>
      </c>
      <c r="W1303">
        <v>3</v>
      </c>
      <c r="X1303">
        <v>4</v>
      </c>
      <c r="Y1303" s="1" t="s">
        <v>9</v>
      </c>
      <c r="Z1303">
        <v>2</v>
      </c>
      <c r="AA1303">
        <v>16291</v>
      </c>
      <c r="AB1303">
        <v>22577</v>
      </c>
      <c r="AC1303" s="1" t="s">
        <v>19</v>
      </c>
      <c r="AD1303">
        <v>22</v>
      </c>
      <c r="AE1303">
        <v>4</v>
      </c>
      <c r="AF1303">
        <v>4</v>
      </c>
      <c r="AG1303">
        <v>80</v>
      </c>
      <c r="AH1303">
        <v>1</v>
      </c>
      <c r="AI1303">
        <v>2</v>
      </c>
      <c r="AJ1303">
        <v>0</v>
      </c>
      <c r="AK1303" s="1" t="s">
        <v>140</v>
      </c>
    </row>
    <row r="1304" spans="1:37" x14ac:dyDescent="0.25">
      <c r="A1304">
        <v>1826</v>
      </c>
      <c r="B1304">
        <v>35</v>
      </c>
      <c r="C1304" s="1" t="s">
        <v>25</v>
      </c>
      <c r="D1304" s="1" t="s">
        <v>70</v>
      </c>
      <c r="E1304">
        <v>4</v>
      </c>
      <c r="F1304" s="1" t="s">
        <v>139</v>
      </c>
      <c r="G1304">
        <v>0</v>
      </c>
      <c r="H1304" s="1" t="s">
        <v>18</v>
      </c>
      <c r="I1304">
        <v>6</v>
      </c>
      <c r="J1304">
        <v>2</v>
      </c>
      <c r="K1304">
        <v>5</v>
      </c>
      <c r="L1304">
        <v>4</v>
      </c>
      <c r="M1304">
        <v>0</v>
      </c>
      <c r="N1304">
        <v>3</v>
      </c>
      <c r="O1304" s="1" t="s">
        <v>19</v>
      </c>
      <c r="P1304" s="1" t="s">
        <v>135</v>
      </c>
      <c r="Q1304">
        <v>185</v>
      </c>
      <c r="R1304" s="1" t="s">
        <v>63</v>
      </c>
      <c r="S1304">
        <v>23</v>
      </c>
      <c r="T1304">
        <v>1</v>
      </c>
      <c r="U1304">
        <v>2</v>
      </c>
      <c r="V1304">
        <v>91</v>
      </c>
      <c r="W1304">
        <v>1</v>
      </c>
      <c r="X1304">
        <v>1</v>
      </c>
      <c r="Y1304" s="1" t="s">
        <v>6</v>
      </c>
      <c r="Z1304">
        <v>3</v>
      </c>
      <c r="AA1304">
        <v>2705</v>
      </c>
      <c r="AB1304">
        <v>9696</v>
      </c>
      <c r="AC1304" s="1" t="s">
        <v>19</v>
      </c>
      <c r="AD1304">
        <v>16</v>
      </c>
      <c r="AE1304">
        <v>3</v>
      </c>
      <c r="AF1304">
        <v>2</v>
      </c>
      <c r="AG1304">
        <v>80</v>
      </c>
      <c r="AH1304">
        <v>1</v>
      </c>
      <c r="AI1304">
        <v>4</v>
      </c>
      <c r="AJ1304">
        <v>0</v>
      </c>
      <c r="AK1304" s="1" t="s">
        <v>136</v>
      </c>
    </row>
    <row r="1305" spans="1:37" x14ac:dyDescent="0.25">
      <c r="A1305">
        <v>1827</v>
      </c>
      <c r="B1305">
        <v>47</v>
      </c>
      <c r="C1305" s="1" t="s">
        <v>24</v>
      </c>
      <c r="D1305" s="1" t="s">
        <v>69</v>
      </c>
      <c r="E1305">
        <v>3</v>
      </c>
      <c r="F1305" s="1" t="s">
        <v>134</v>
      </c>
      <c r="G1305">
        <v>8</v>
      </c>
      <c r="H1305" s="1" t="s">
        <v>18</v>
      </c>
      <c r="I1305">
        <v>28</v>
      </c>
      <c r="J1305">
        <v>4</v>
      </c>
      <c r="K1305">
        <v>22</v>
      </c>
      <c r="L1305">
        <v>11</v>
      </c>
      <c r="M1305">
        <v>14</v>
      </c>
      <c r="N1305">
        <v>10</v>
      </c>
      <c r="O1305" s="1" t="s">
        <v>19</v>
      </c>
      <c r="P1305" s="1" t="s">
        <v>135</v>
      </c>
      <c r="Q1305">
        <v>1001</v>
      </c>
      <c r="R1305" s="1" t="s">
        <v>63</v>
      </c>
      <c r="S1305">
        <v>4</v>
      </c>
      <c r="T1305">
        <v>1</v>
      </c>
      <c r="U1305">
        <v>3</v>
      </c>
      <c r="V1305">
        <v>92</v>
      </c>
      <c r="W1305">
        <v>2</v>
      </c>
      <c r="X1305">
        <v>3</v>
      </c>
      <c r="Y1305" s="1" t="s">
        <v>7</v>
      </c>
      <c r="Z1305">
        <v>2</v>
      </c>
      <c r="AA1305">
        <v>10333</v>
      </c>
      <c r="AB1305">
        <v>19271</v>
      </c>
      <c r="AC1305" s="1" t="s">
        <v>18</v>
      </c>
      <c r="AD1305">
        <v>12</v>
      </c>
      <c r="AE1305">
        <v>3</v>
      </c>
      <c r="AF1305">
        <v>3</v>
      </c>
      <c r="AG1305">
        <v>80</v>
      </c>
      <c r="AH1305">
        <v>1</v>
      </c>
      <c r="AI1305">
        <v>3</v>
      </c>
      <c r="AJ1305">
        <v>0</v>
      </c>
      <c r="AK1305" s="1" t="s">
        <v>136</v>
      </c>
    </row>
    <row r="1306" spans="1:37" x14ac:dyDescent="0.25">
      <c r="A1306">
        <v>1829</v>
      </c>
      <c r="B1306">
        <v>40</v>
      </c>
      <c r="C1306" s="1" t="s">
        <v>24</v>
      </c>
      <c r="D1306" s="1" t="s">
        <v>69</v>
      </c>
      <c r="E1306">
        <v>3</v>
      </c>
      <c r="F1306" s="1" t="s">
        <v>134</v>
      </c>
      <c r="G1306">
        <v>2</v>
      </c>
      <c r="H1306" s="1" t="s">
        <v>18</v>
      </c>
      <c r="I1306">
        <v>15</v>
      </c>
      <c r="J1306">
        <v>3</v>
      </c>
      <c r="K1306">
        <v>7</v>
      </c>
      <c r="L1306">
        <v>4</v>
      </c>
      <c r="M1306">
        <v>7</v>
      </c>
      <c r="N1306">
        <v>7</v>
      </c>
      <c r="O1306" s="1" t="s">
        <v>19</v>
      </c>
      <c r="P1306" s="1" t="s">
        <v>135</v>
      </c>
      <c r="Q1306">
        <v>750</v>
      </c>
      <c r="R1306" s="1" t="s">
        <v>63</v>
      </c>
      <c r="S1306">
        <v>12</v>
      </c>
      <c r="T1306">
        <v>1</v>
      </c>
      <c r="U1306">
        <v>2</v>
      </c>
      <c r="V1306">
        <v>47</v>
      </c>
      <c r="W1306">
        <v>3</v>
      </c>
      <c r="X1306">
        <v>2</v>
      </c>
      <c r="Y1306" s="1" t="s">
        <v>8</v>
      </c>
      <c r="Z1306">
        <v>1</v>
      </c>
      <c r="AA1306">
        <v>4448</v>
      </c>
      <c r="AB1306">
        <v>10748</v>
      </c>
      <c r="AC1306" s="1" t="s">
        <v>19</v>
      </c>
      <c r="AD1306">
        <v>12</v>
      </c>
      <c r="AE1306">
        <v>3</v>
      </c>
      <c r="AF1306">
        <v>2</v>
      </c>
      <c r="AG1306">
        <v>80</v>
      </c>
      <c r="AH1306">
        <v>1</v>
      </c>
      <c r="AI1306">
        <v>3</v>
      </c>
      <c r="AJ1306">
        <v>0</v>
      </c>
      <c r="AK1306" s="1" t="s">
        <v>136</v>
      </c>
    </row>
    <row r="1307" spans="1:37" x14ac:dyDescent="0.25">
      <c r="A1307">
        <v>1830</v>
      </c>
      <c r="B1307">
        <v>54</v>
      </c>
      <c r="C1307" s="1" t="s">
        <v>24</v>
      </c>
      <c r="D1307" s="1" t="s">
        <v>70</v>
      </c>
      <c r="E1307">
        <v>4</v>
      </c>
      <c r="F1307" s="1" t="s">
        <v>139</v>
      </c>
      <c r="G1307">
        <v>4</v>
      </c>
      <c r="H1307" s="1" t="s">
        <v>18</v>
      </c>
      <c r="I1307">
        <v>14</v>
      </c>
      <c r="J1307">
        <v>2</v>
      </c>
      <c r="K1307">
        <v>7</v>
      </c>
      <c r="L1307">
        <v>1</v>
      </c>
      <c r="M1307">
        <v>1</v>
      </c>
      <c r="N1307">
        <v>7</v>
      </c>
      <c r="O1307" s="1" t="s">
        <v>19</v>
      </c>
      <c r="P1307" s="1" t="s">
        <v>135</v>
      </c>
      <c r="Q1307">
        <v>431</v>
      </c>
      <c r="R1307" s="1" t="s">
        <v>63</v>
      </c>
      <c r="S1307">
        <v>7</v>
      </c>
      <c r="T1307">
        <v>1</v>
      </c>
      <c r="U1307">
        <v>4</v>
      </c>
      <c r="V1307">
        <v>68</v>
      </c>
      <c r="W1307">
        <v>3</v>
      </c>
      <c r="X1307">
        <v>2</v>
      </c>
      <c r="Y1307" s="1" t="s">
        <v>5</v>
      </c>
      <c r="Z1307">
        <v>4</v>
      </c>
      <c r="AA1307">
        <v>6854</v>
      </c>
      <c r="AB1307">
        <v>15696</v>
      </c>
      <c r="AC1307" s="1" t="s">
        <v>19</v>
      </c>
      <c r="AD1307">
        <v>15</v>
      </c>
      <c r="AE1307">
        <v>3</v>
      </c>
      <c r="AF1307">
        <v>2</v>
      </c>
      <c r="AG1307">
        <v>80</v>
      </c>
      <c r="AH1307">
        <v>1</v>
      </c>
      <c r="AI1307">
        <v>2</v>
      </c>
      <c r="AJ1307">
        <v>0</v>
      </c>
      <c r="AK1307" s="1" t="s">
        <v>140</v>
      </c>
    </row>
    <row r="1308" spans="1:37" x14ac:dyDescent="0.25">
      <c r="A1308">
        <v>1833</v>
      </c>
      <c r="B1308">
        <v>31</v>
      </c>
      <c r="C1308" s="1" t="s">
        <v>24</v>
      </c>
      <c r="D1308" s="1" t="s">
        <v>70</v>
      </c>
      <c r="E1308">
        <v>4</v>
      </c>
      <c r="F1308" s="1" t="s">
        <v>142</v>
      </c>
      <c r="G1308">
        <v>2</v>
      </c>
      <c r="H1308" s="1" t="s">
        <v>18</v>
      </c>
      <c r="I1308">
        <v>9</v>
      </c>
      <c r="J1308">
        <v>3</v>
      </c>
      <c r="K1308">
        <v>3</v>
      </c>
      <c r="L1308">
        <v>2</v>
      </c>
      <c r="M1308">
        <v>2</v>
      </c>
      <c r="N1308">
        <v>2</v>
      </c>
      <c r="O1308" s="1" t="s">
        <v>19</v>
      </c>
      <c r="P1308" s="1" t="s">
        <v>137</v>
      </c>
      <c r="Q1308">
        <v>1125</v>
      </c>
      <c r="R1308" s="1" t="s">
        <v>64</v>
      </c>
      <c r="S1308">
        <v>7</v>
      </c>
      <c r="T1308">
        <v>1</v>
      </c>
      <c r="U1308">
        <v>1</v>
      </c>
      <c r="V1308">
        <v>68</v>
      </c>
      <c r="W1308">
        <v>3</v>
      </c>
      <c r="X1308">
        <v>3</v>
      </c>
      <c r="Y1308" s="1" t="s">
        <v>4</v>
      </c>
      <c r="Z1308">
        <v>1</v>
      </c>
      <c r="AA1308">
        <v>9637</v>
      </c>
      <c r="AB1308">
        <v>8277</v>
      </c>
      <c r="AC1308" s="1" t="s">
        <v>19</v>
      </c>
      <c r="AD1308">
        <v>14</v>
      </c>
      <c r="AE1308">
        <v>3</v>
      </c>
      <c r="AF1308">
        <v>4</v>
      </c>
      <c r="AG1308">
        <v>80</v>
      </c>
      <c r="AH1308">
        <v>2</v>
      </c>
      <c r="AI1308">
        <v>3</v>
      </c>
      <c r="AJ1308">
        <v>0</v>
      </c>
      <c r="AK1308" s="1" t="s">
        <v>136</v>
      </c>
    </row>
    <row r="1309" spans="1:37" x14ac:dyDescent="0.25">
      <c r="A1309">
        <v>1834</v>
      </c>
      <c r="B1309">
        <v>28</v>
      </c>
      <c r="C1309" s="1" t="s">
        <v>24</v>
      </c>
      <c r="D1309" s="1" t="s">
        <v>70</v>
      </c>
      <c r="E1309">
        <v>3</v>
      </c>
      <c r="F1309" s="1" t="s">
        <v>139</v>
      </c>
      <c r="G1309">
        <v>1</v>
      </c>
      <c r="H1309" s="1" t="s">
        <v>18</v>
      </c>
      <c r="I1309">
        <v>3</v>
      </c>
      <c r="J1309">
        <v>3</v>
      </c>
      <c r="K1309">
        <v>3</v>
      </c>
      <c r="L1309">
        <v>2</v>
      </c>
      <c r="M1309">
        <v>1</v>
      </c>
      <c r="N1309">
        <v>2</v>
      </c>
      <c r="O1309" s="1" t="s">
        <v>19</v>
      </c>
      <c r="P1309" s="1" t="s">
        <v>135</v>
      </c>
      <c r="Q1309">
        <v>1217</v>
      </c>
      <c r="R1309" s="1" t="s">
        <v>63</v>
      </c>
      <c r="S1309">
        <v>1</v>
      </c>
      <c r="T1309">
        <v>1</v>
      </c>
      <c r="U1309">
        <v>3</v>
      </c>
      <c r="V1309">
        <v>67</v>
      </c>
      <c r="W1309">
        <v>3</v>
      </c>
      <c r="X1309">
        <v>1</v>
      </c>
      <c r="Y1309" s="1" t="s">
        <v>5</v>
      </c>
      <c r="Z1309">
        <v>1</v>
      </c>
      <c r="AA1309">
        <v>3591</v>
      </c>
      <c r="AB1309">
        <v>12719</v>
      </c>
      <c r="AC1309" s="1" t="s">
        <v>19</v>
      </c>
      <c r="AD1309">
        <v>25</v>
      </c>
      <c r="AE1309">
        <v>4</v>
      </c>
      <c r="AF1309">
        <v>3</v>
      </c>
      <c r="AG1309">
        <v>80</v>
      </c>
      <c r="AH1309">
        <v>1</v>
      </c>
      <c r="AI1309">
        <v>3</v>
      </c>
      <c r="AJ1309">
        <v>0</v>
      </c>
      <c r="AK1309" s="1" t="s">
        <v>136</v>
      </c>
    </row>
    <row r="1310" spans="1:37" x14ac:dyDescent="0.25">
      <c r="A1310">
        <v>1835</v>
      </c>
      <c r="B1310">
        <v>38</v>
      </c>
      <c r="C1310" s="1" t="s">
        <v>24</v>
      </c>
      <c r="D1310" s="1" t="s">
        <v>70</v>
      </c>
      <c r="E1310">
        <v>4</v>
      </c>
      <c r="F1310" s="1" t="s">
        <v>142</v>
      </c>
      <c r="G1310">
        <v>2</v>
      </c>
      <c r="H1310" s="1" t="s">
        <v>18</v>
      </c>
      <c r="I1310">
        <v>20</v>
      </c>
      <c r="J1310">
        <v>4</v>
      </c>
      <c r="K1310">
        <v>4</v>
      </c>
      <c r="L1310">
        <v>2</v>
      </c>
      <c r="M1310">
        <v>0</v>
      </c>
      <c r="N1310">
        <v>3</v>
      </c>
      <c r="O1310" s="1" t="s">
        <v>19</v>
      </c>
      <c r="P1310" s="1" t="s">
        <v>135</v>
      </c>
      <c r="Q1310">
        <v>723</v>
      </c>
      <c r="R1310" s="1" t="s">
        <v>64</v>
      </c>
      <c r="S1310">
        <v>2</v>
      </c>
      <c r="T1310">
        <v>1</v>
      </c>
      <c r="U1310">
        <v>2</v>
      </c>
      <c r="V1310">
        <v>77</v>
      </c>
      <c r="W1310">
        <v>1</v>
      </c>
      <c r="X1310">
        <v>2</v>
      </c>
      <c r="Y1310" s="1" t="s">
        <v>10</v>
      </c>
      <c r="Z1310">
        <v>4</v>
      </c>
      <c r="AA1310">
        <v>5405</v>
      </c>
      <c r="AB1310">
        <v>4244</v>
      </c>
      <c r="AC1310" s="1" t="s">
        <v>18</v>
      </c>
      <c r="AD1310">
        <v>20</v>
      </c>
      <c r="AE1310">
        <v>4</v>
      </c>
      <c r="AF1310">
        <v>1</v>
      </c>
      <c r="AG1310">
        <v>80</v>
      </c>
      <c r="AH1310">
        <v>2</v>
      </c>
      <c r="AI1310">
        <v>2</v>
      </c>
      <c r="AJ1310">
        <v>0</v>
      </c>
      <c r="AK1310" s="1" t="s">
        <v>136</v>
      </c>
    </row>
    <row r="1311" spans="1:37" x14ac:dyDescent="0.25">
      <c r="A1311">
        <v>1836</v>
      </c>
      <c r="B1311">
        <v>26</v>
      </c>
      <c r="C1311" s="1" t="s">
        <v>25</v>
      </c>
      <c r="D1311" s="1" t="s">
        <v>71</v>
      </c>
      <c r="E1311">
        <v>3</v>
      </c>
      <c r="F1311" s="1" t="s">
        <v>139</v>
      </c>
      <c r="G1311">
        <v>1</v>
      </c>
      <c r="H1311" s="1" t="s">
        <v>18</v>
      </c>
      <c r="I1311">
        <v>5</v>
      </c>
      <c r="J1311">
        <v>4</v>
      </c>
      <c r="K1311">
        <v>5</v>
      </c>
      <c r="L1311">
        <v>3</v>
      </c>
      <c r="M1311">
        <v>1</v>
      </c>
      <c r="N1311">
        <v>2</v>
      </c>
      <c r="O1311" s="1" t="s">
        <v>19</v>
      </c>
      <c r="P1311" s="1" t="s">
        <v>135</v>
      </c>
      <c r="Q1311">
        <v>572</v>
      </c>
      <c r="R1311" s="1" t="s">
        <v>64</v>
      </c>
      <c r="S1311">
        <v>10</v>
      </c>
      <c r="T1311">
        <v>1</v>
      </c>
      <c r="U1311">
        <v>3</v>
      </c>
      <c r="V1311">
        <v>46</v>
      </c>
      <c r="W1311">
        <v>3</v>
      </c>
      <c r="X1311">
        <v>2</v>
      </c>
      <c r="Y1311" s="1" t="s">
        <v>4</v>
      </c>
      <c r="Z1311">
        <v>4</v>
      </c>
      <c r="AA1311">
        <v>4684</v>
      </c>
      <c r="AB1311">
        <v>9125</v>
      </c>
      <c r="AC1311" s="1" t="s">
        <v>19</v>
      </c>
      <c r="AD1311">
        <v>13</v>
      </c>
      <c r="AE1311">
        <v>3</v>
      </c>
      <c r="AF1311">
        <v>1</v>
      </c>
      <c r="AG1311">
        <v>80</v>
      </c>
      <c r="AH1311">
        <v>0</v>
      </c>
      <c r="AI1311">
        <v>3</v>
      </c>
      <c r="AJ1311">
        <v>0</v>
      </c>
      <c r="AK1311" s="1" t="s">
        <v>136</v>
      </c>
    </row>
    <row r="1312" spans="1:37" x14ac:dyDescent="0.25">
      <c r="A1312">
        <v>1837</v>
      </c>
      <c r="B1312">
        <v>58</v>
      </c>
      <c r="C1312" s="1" t="s">
        <v>25</v>
      </c>
      <c r="D1312" s="1" t="s">
        <v>70</v>
      </c>
      <c r="E1312">
        <v>4</v>
      </c>
      <c r="F1312" s="1" t="s">
        <v>134</v>
      </c>
      <c r="G1312">
        <v>2</v>
      </c>
      <c r="H1312" s="1" t="s">
        <v>18</v>
      </c>
      <c r="I1312">
        <v>23</v>
      </c>
      <c r="J1312">
        <v>3</v>
      </c>
      <c r="K1312">
        <v>2</v>
      </c>
      <c r="L1312">
        <v>2</v>
      </c>
      <c r="M1312">
        <v>2</v>
      </c>
      <c r="N1312">
        <v>2</v>
      </c>
      <c r="O1312" s="1" t="s">
        <v>19</v>
      </c>
      <c r="P1312" s="1" t="s">
        <v>137</v>
      </c>
      <c r="Q1312">
        <v>1216</v>
      </c>
      <c r="R1312" s="1" t="s">
        <v>63</v>
      </c>
      <c r="S1312">
        <v>15</v>
      </c>
      <c r="T1312">
        <v>1</v>
      </c>
      <c r="U1312">
        <v>1</v>
      </c>
      <c r="V1312">
        <v>87</v>
      </c>
      <c r="W1312">
        <v>3</v>
      </c>
      <c r="X1312">
        <v>4</v>
      </c>
      <c r="Y1312" s="1" t="s">
        <v>11</v>
      </c>
      <c r="Z1312">
        <v>3</v>
      </c>
      <c r="AA1312">
        <v>15787</v>
      </c>
      <c r="AB1312">
        <v>21624</v>
      </c>
      <c r="AC1312" s="1" t="s">
        <v>18</v>
      </c>
      <c r="AD1312">
        <v>14</v>
      </c>
      <c r="AE1312">
        <v>3</v>
      </c>
      <c r="AF1312">
        <v>2</v>
      </c>
      <c r="AG1312">
        <v>80</v>
      </c>
      <c r="AH1312">
        <v>0</v>
      </c>
      <c r="AI1312">
        <v>3</v>
      </c>
      <c r="AJ1312">
        <v>0</v>
      </c>
      <c r="AK1312" s="1" t="s">
        <v>140</v>
      </c>
    </row>
    <row r="1313" spans="1:37" x14ac:dyDescent="0.25">
      <c r="A1313">
        <v>1839</v>
      </c>
      <c r="B1313">
        <v>18</v>
      </c>
      <c r="C1313" s="1" t="s">
        <v>24</v>
      </c>
      <c r="D1313" s="1" t="s">
        <v>71</v>
      </c>
      <c r="E1313">
        <v>3</v>
      </c>
      <c r="F1313" s="1" t="s">
        <v>139</v>
      </c>
      <c r="G1313">
        <v>1</v>
      </c>
      <c r="H1313" s="1" t="s">
        <v>18</v>
      </c>
      <c r="I1313">
        <v>0</v>
      </c>
      <c r="J1313">
        <v>4</v>
      </c>
      <c r="K1313">
        <v>0</v>
      </c>
      <c r="L1313">
        <v>0</v>
      </c>
      <c r="M1313">
        <v>0</v>
      </c>
      <c r="N1313">
        <v>0</v>
      </c>
      <c r="O1313" s="1" t="s">
        <v>19</v>
      </c>
      <c r="P1313" s="1" t="s">
        <v>141</v>
      </c>
      <c r="Q1313">
        <v>1431</v>
      </c>
      <c r="R1313" s="1" t="s">
        <v>63</v>
      </c>
      <c r="S1313">
        <v>14</v>
      </c>
      <c r="T1313">
        <v>1</v>
      </c>
      <c r="U1313">
        <v>2</v>
      </c>
      <c r="V1313">
        <v>33</v>
      </c>
      <c r="W1313">
        <v>3</v>
      </c>
      <c r="X1313">
        <v>1</v>
      </c>
      <c r="Y1313" s="1" t="s">
        <v>5</v>
      </c>
      <c r="Z1313">
        <v>3</v>
      </c>
      <c r="AA1313">
        <v>1514</v>
      </c>
      <c r="AB1313">
        <v>8018</v>
      </c>
      <c r="AC1313" s="1" t="s">
        <v>19</v>
      </c>
      <c r="AD1313">
        <v>16</v>
      </c>
      <c r="AE1313">
        <v>3</v>
      </c>
      <c r="AF1313">
        <v>3</v>
      </c>
      <c r="AG1313">
        <v>80</v>
      </c>
      <c r="AH1313">
        <v>0</v>
      </c>
      <c r="AI1313">
        <v>1</v>
      </c>
      <c r="AJ1313">
        <v>0</v>
      </c>
      <c r="AK1313" s="1" t="s">
        <v>136</v>
      </c>
    </row>
    <row r="1314" spans="1:37" x14ac:dyDescent="0.25">
      <c r="A1314">
        <v>1842</v>
      </c>
      <c r="B1314">
        <v>31</v>
      </c>
      <c r="C1314" s="1" t="s">
        <v>25</v>
      </c>
      <c r="D1314" s="1" t="s">
        <v>70</v>
      </c>
      <c r="E1314">
        <v>5</v>
      </c>
      <c r="F1314" s="1" t="s">
        <v>12</v>
      </c>
      <c r="G1314">
        <v>0</v>
      </c>
      <c r="H1314" s="1" t="s">
        <v>18</v>
      </c>
      <c r="I1314">
        <v>2</v>
      </c>
      <c r="J1314">
        <v>4</v>
      </c>
      <c r="K1314">
        <v>1</v>
      </c>
      <c r="L1314">
        <v>0</v>
      </c>
      <c r="M1314">
        <v>0</v>
      </c>
      <c r="N1314">
        <v>0</v>
      </c>
      <c r="O1314" s="1" t="s">
        <v>18</v>
      </c>
      <c r="P1314" s="1" t="s">
        <v>135</v>
      </c>
      <c r="Q1314">
        <v>359</v>
      </c>
      <c r="R1314" s="1" t="s">
        <v>12</v>
      </c>
      <c r="S1314">
        <v>18</v>
      </c>
      <c r="T1314">
        <v>1</v>
      </c>
      <c r="U1314">
        <v>4</v>
      </c>
      <c r="V1314">
        <v>89</v>
      </c>
      <c r="W1314">
        <v>4</v>
      </c>
      <c r="X1314">
        <v>1</v>
      </c>
      <c r="Y1314" s="1" t="s">
        <v>12</v>
      </c>
      <c r="Z1314">
        <v>1</v>
      </c>
      <c r="AA1314">
        <v>2956</v>
      </c>
      <c r="AB1314">
        <v>21495</v>
      </c>
      <c r="AC1314" s="1" t="s">
        <v>19</v>
      </c>
      <c r="AD1314">
        <v>17</v>
      </c>
      <c r="AE1314">
        <v>3</v>
      </c>
      <c r="AF1314">
        <v>3</v>
      </c>
      <c r="AG1314">
        <v>80</v>
      </c>
      <c r="AH1314">
        <v>0</v>
      </c>
      <c r="AI1314">
        <v>3</v>
      </c>
      <c r="AJ1314">
        <v>1</v>
      </c>
      <c r="AK1314" s="1" t="s">
        <v>136</v>
      </c>
    </row>
    <row r="1315" spans="1:37" x14ac:dyDescent="0.25">
      <c r="A1315">
        <v>1844</v>
      </c>
      <c r="B1315">
        <v>29</v>
      </c>
      <c r="C1315" s="1" t="s">
        <v>25</v>
      </c>
      <c r="D1315" s="1" t="s">
        <v>69</v>
      </c>
      <c r="E1315">
        <v>3</v>
      </c>
      <c r="F1315" s="1" t="s">
        <v>12</v>
      </c>
      <c r="G1315">
        <v>4</v>
      </c>
      <c r="H1315" s="1" t="s">
        <v>18</v>
      </c>
      <c r="I1315">
        <v>4</v>
      </c>
      <c r="J1315">
        <v>3</v>
      </c>
      <c r="K1315">
        <v>2</v>
      </c>
      <c r="L1315">
        <v>2</v>
      </c>
      <c r="M1315">
        <v>2</v>
      </c>
      <c r="N1315">
        <v>0</v>
      </c>
      <c r="O1315" s="1" t="s">
        <v>18</v>
      </c>
      <c r="P1315" s="1" t="s">
        <v>135</v>
      </c>
      <c r="Q1315">
        <v>350</v>
      </c>
      <c r="R1315" s="1" t="s">
        <v>12</v>
      </c>
      <c r="S1315">
        <v>13</v>
      </c>
      <c r="T1315">
        <v>1</v>
      </c>
      <c r="U1315">
        <v>1</v>
      </c>
      <c r="V1315">
        <v>56</v>
      </c>
      <c r="W1315">
        <v>2</v>
      </c>
      <c r="X1315">
        <v>1</v>
      </c>
      <c r="Y1315" s="1" t="s">
        <v>12</v>
      </c>
      <c r="Z1315">
        <v>1</v>
      </c>
      <c r="AA1315">
        <v>2335</v>
      </c>
      <c r="AB1315">
        <v>3157</v>
      </c>
      <c r="AC1315" s="1" t="s">
        <v>18</v>
      </c>
      <c r="AD1315">
        <v>15</v>
      </c>
      <c r="AE1315">
        <v>3</v>
      </c>
      <c r="AF1315">
        <v>4</v>
      </c>
      <c r="AG1315">
        <v>80</v>
      </c>
      <c r="AH1315">
        <v>3</v>
      </c>
      <c r="AI1315">
        <v>3</v>
      </c>
      <c r="AJ1315">
        <v>1</v>
      </c>
      <c r="AK1315" s="1" t="s">
        <v>136</v>
      </c>
    </row>
    <row r="1316" spans="1:37" x14ac:dyDescent="0.25">
      <c r="A1316">
        <v>1845</v>
      </c>
      <c r="B1316">
        <v>45</v>
      </c>
      <c r="C1316" s="1" t="s">
        <v>24</v>
      </c>
      <c r="D1316" s="1" t="s">
        <v>70</v>
      </c>
      <c r="E1316">
        <v>4</v>
      </c>
      <c r="F1316" s="1" t="s">
        <v>134</v>
      </c>
      <c r="G1316">
        <v>4</v>
      </c>
      <c r="H1316" s="1" t="s">
        <v>18</v>
      </c>
      <c r="I1316">
        <v>10</v>
      </c>
      <c r="J1316">
        <v>3</v>
      </c>
      <c r="K1316">
        <v>8</v>
      </c>
      <c r="L1316">
        <v>7</v>
      </c>
      <c r="M1316">
        <v>5</v>
      </c>
      <c r="N1316">
        <v>7</v>
      </c>
      <c r="O1316" s="1" t="s">
        <v>19</v>
      </c>
      <c r="P1316" s="1" t="s">
        <v>141</v>
      </c>
      <c r="Q1316">
        <v>589</v>
      </c>
      <c r="R1316" s="1" t="s">
        <v>64</v>
      </c>
      <c r="S1316">
        <v>2</v>
      </c>
      <c r="T1316">
        <v>1</v>
      </c>
      <c r="U1316">
        <v>3</v>
      </c>
      <c r="V1316">
        <v>67</v>
      </c>
      <c r="W1316">
        <v>3</v>
      </c>
      <c r="X1316">
        <v>2</v>
      </c>
      <c r="Y1316" s="1" t="s">
        <v>4</v>
      </c>
      <c r="Z1316">
        <v>3</v>
      </c>
      <c r="AA1316">
        <v>5154</v>
      </c>
      <c r="AB1316">
        <v>19665</v>
      </c>
      <c r="AC1316" s="1" t="s">
        <v>19</v>
      </c>
      <c r="AD1316">
        <v>22</v>
      </c>
      <c r="AE1316">
        <v>4</v>
      </c>
      <c r="AF1316">
        <v>2</v>
      </c>
      <c r="AG1316">
        <v>80</v>
      </c>
      <c r="AH1316">
        <v>2</v>
      </c>
      <c r="AI1316">
        <v>4</v>
      </c>
      <c r="AJ1316">
        <v>0</v>
      </c>
      <c r="AK1316" s="1" t="s">
        <v>136</v>
      </c>
    </row>
    <row r="1317" spans="1:37" x14ac:dyDescent="0.25">
      <c r="A1317">
        <v>1847</v>
      </c>
      <c r="B1317">
        <v>36</v>
      </c>
      <c r="C1317" s="1" t="s">
        <v>24</v>
      </c>
      <c r="D1317" s="1" t="s">
        <v>70</v>
      </c>
      <c r="E1317">
        <v>4</v>
      </c>
      <c r="F1317" s="1" t="s">
        <v>138</v>
      </c>
      <c r="G1317">
        <v>4</v>
      </c>
      <c r="H1317" s="1" t="s">
        <v>18</v>
      </c>
      <c r="I1317">
        <v>15</v>
      </c>
      <c r="J1317">
        <v>2</v>
      </c>
      <c r="K1317">
        <v>1</v>
      </c>
      <c r="L1317">
        <v>0</v>
      </c>
      <c r="M1317">
        <v>0</v>
      </c>
      <c r="N1317">
        <v>0</v>
      </c>
      <c r="O1317" s="1" t="s">
        <v>19</v>
      </c>
      <c r="P1317" s="1" t="s">
        <v>135</v>
      </c>
      <c r="Q1317">
        <v>430</v>
      </c>
      <c r="R1317" s="1" t="s">
        <v>63</v>
      </c>
      <c r="S1317">
        <v>2</v>
      </c>
      <c r="T1317">
        <v>1</v>
      </c>
      <c r="U1317">
        <v>4</v>
      </c>
      <c r="V1317">
        <v>73</v>
      </c>
      <c r="W1317">
        <v>3</v>
      </c>
      <c r="X1317">
        <v>2</v>
      </c>
      <c r="Y1317" s="1" t="s">
        <v>5</v>
      </c>
      <c r="Z1317">
        <v>2</v>
      </c>
      <c r="AA1317">
        <v>6962</v>
      </c>
      <c r="AB1317">
        <v>19573</v>
      </c>
      <c r="AC1317" s="1" t="s">
        <v>18</v>
      </c>
      <c r="AD1317">
        <v>22</v>
      </c>
      <c r="AE1317">
        <v>4</v>
      </c>
      <c r="AF1317">
        <v>4</v>
      </c>
      <c r="AG1317">
        <v>80</v>
      </c>
      <c r="AH1317">
        <v>1</v>
      </c>
      <c r="AI1317">
        <v>3</v>
      </c>
      <c r="AJ1317">
        <v>0</v>
      </c>
      <c r="AK1317" s="1" t="s">
        <v>136</v>
      </c>
    </row>
    <row r="1318" spans="1:37" x14ac:dyDescent="0.25">
      <c r="A1318">
        <v>1849</v>
      </c>
      <c r="B1318">
        <v>43</v>
      </c>
      <c r="C1318" s="1" t="s">
        <v>25</v>
      </c>
      <c r="D1318" s="1" t="s">
        <v>70</v>
      </c>
      <c r="E1318">
        <v>4</v>
      </c>
      <c r="F1318" s="1" t="s">
        <v>134</v>
      </c>
      <c r="G1318">
        <v>1</v>
      </c>
      <c r="H1318" s="1" t="s">
        <v>18</v>
      </c>
      <c r="I1318">
        <v>7</v>
      </c>
      <c r="J1318">
        <v>5</v>
      </c>
      <c r="K1318">
        <v>7</v>
      </c>
      <c r="L1318">
        <v>7</v>
      </c>
      <c r="M1318">
        <v>7</v>
      </c>
      <c r="N1318">
        <v>7</v>
      </c>
      <c r="O1318" s="1" t="s">
        <v>19</v>
      </c>
      <c r="P1318" s="1" t="s">
        <v>137</v>
      </c>
      <c r="Q1318">
        <v>1422</v>
      </c>
      <c r="R1318" s="1" t="s">
        <v>64</v>
      </c>
      <c r="S1318">
        <v>2</v>
      </c>
      <c r="T1318">
        <v>1</v>
      </c>
      <c r="U1318">
        <v>1</v>
      </c>
      <c r="V1318">
        <v>92</v>
      </c>
      <c r="W1318">
        <v>3</v>
      </c>
      <c r="X1318">
        <v>2</v>
      </c>
      <c r="Y1318" s="1" t="s">
        <v>4</v>
      </c>
      <c r="Z1318">
        <v>4</v>
      </c>
      <c r="AA1318">
        <v>5675</v>
      </c>
      <c r="AB1318">
        <v>19246</v>
      </c>
      <c r="AC1318" s="1" t="s">
        <v>19</v>
      </c>
      <c r="AD1318">
        <v>20</v>
      </c>
      <c r="AE1318">
        <v>4</v>
      </c>
      <c r="AF1318">
        <v>3</v>
      </c>
      <c r="AG1318">
        <v>80</v>
      </c>
      <c r="AH1318">
        <v>1</v>
      </c>
      <c r="AI1318">
        <v>3</v>
      </c>
      <c r="AJ1318">
        <v>0</v>
      </c>
      <c r="AK1318" s="1" t="s">
        <v>136</v>
      </c>
    </row>
    <row r="1319" spans="1:37" x14ac:dyDescent="0.25">
      <c r="A1319">
        <v>1850</v>
      </c>
      <c r="B1319">
        <v>27</v>
      </c>
      <c r="C1319" s="1" t="s">
        <v>24</v>
      </c>
      <c r="D1319" s="1" t="s">
        <v>71</v>
      </c>
      <c r="E1319">
        <v>2</v>
      </c>
      <c r="F1319" s="1" t="s">
        <v>134</v>
      </c>
      <c r="G1319">
        <v>0</v>
      </c>
      <c r="H1319" s="1" t="s">
        <v>18</v>
      </c>
      <c r="I1319">
        <v>6</v>
      </c>
      <c r="J1319">
        <v>3</v>
      </c>
      <c r="K1319">
        <v>5</v>
      </c>
      <c r="L1319">
        <v>4</v>
      </c>
      <c r="M1319">
        <v>0</v>
      </c>
      <c r="N1319">
        <v>2</v>
      </c>
      <c r="O1319" s="1" t="s">
        <v>19</v>
      </c>
      <c r="P1319" s="1" t="s">
        <v>137</v>
      </c>
      <c r="Q1319">
        <v>1297</v>
      </c>
      <c r="R1319" s="1" t="s">
        <v>63</v>
      </c>
      <c r="S1319">
        <v>5</v>
      </c>
      <c r="T1319">
        <v>1</v>
      </c>
      <c r="U1319">
        <v>4</v>
      </c>
      <c r="V1319">
        <v>53</v>
      </c>
      <c r="W1319">
        <v>3</v>
      </c>
      <c r="X1319">
        <v>1</v>
      </c>
      <c r="Y1319" s="1" t="s">
        <v>6</v>
      </c>
      <c r="Z1319">
        <v>4</v>
      </c>
      <c r="AA1319">
        <v>2379</v>
      </c>
      <c r="AB1319">
        <v>19826</v>
      </c>
      <c r="AC1319" s="1" t="s">
        <v>18</v>
      </c>
      <c r="AD1319">
        <v>14</v>
      </c>
      <c r="AE1319">
        <v>3</v>
      </c>
      <c r="AF1319">
        <v>3</v>
      </c>
      <c r="AG1319">
        <v>80</v>
      </c>
      <c r="AH1319">
        <v>0</v>
      </c>
      <c r="AI1319">
        <v>2</v>
      </c>
      <c r="AJ1319">
        <v>0</v>
      </c>
      <c r="AK1319" s="1" t="s">
        <v>136</v>
      </c>
    </row>
    <row r="1320" spans="1:37" x14ac:dyDescent="0.25">
      <c r="A1320">
        <v>1852</v>
      </c>
      <c r="B1320">
        <v>29</v>
      </c>
      <c r="C1320" s="1" t="s">
        <v>25</v>
      </c>
      <c r="D1320" s="1" t="s">
        <v>70</v>
      </c>
      <c r="E1320">
        <v>1</v>
      </c>
      <c r="F1320" s="1" t="s">
        <v>139</v>
      </c>
      <c r="G1320">
        <v>1</v>
      </c>
      <c r="H1320" s="1" t="s">
        <v>18</v>
      </c>
      <c r="I1320">
        <v>11</v>
      </c>
      <c r="J1320">
        <v>3</v>
      </c>
      <c r="K1320">
        <v>11</v>
      </c>
      <c r="L1320">
        <v>8</v>
      </c>
      <c r="M1320">
        <v>3</v>
      </c>
      <c r="N1320">
        <v>10</v>
      </c>
      <c r="O1320" s="1" t="s">
        <v>19</v>
      </c>
      <c r="P1320" s="1" t="s">
        <v>137</v>
      </c>
      <c r="Q1320">
        <v>574</v>
      </c>
      <c r="R1320" s="1" t="s">
        <v>63</v>
      </c>
      <c r="S1320">
        <v>20</v>
      </c>
      <c r="T1320">
        <v>1</v>
      </c>
      <c r="U1320">
        <v>4</v>
      </c>
      <c r="V1320">
        <v>40</v>
      </c>
      <c r="W1320">
        <v>3</v>
      </c>
      <c r="X1320">
        <v>1</v>
      </c>
      <c r="Y1320" s="1" t="s">
        <v>6</v>
      </c>
      <c r="Z1320">
        <v>4</v>
      </c>
      <c r="AA1320">
        <v>3812</v>
      </c>
      <c r="AB1320">
        <v>7003</v>
      </c>
      <c r="AC1320" s="1" t="s">
        <v>19</v>
      </c>
      <c r="AD1320">
        <v>13</v>
      </c>
      <c r="AE1320">
        <v>3</v>
      </c>
      <c r="AF1320">
        <v>2</v>
      </c>
      <c r="AG1320">
        <v>80</v>
      </c>
      <c r="AH1320">
        <v>0</v>
      </c>
      <c r="AI1320">
        <v>4</v>
      </c>
      <c r="AJ1320">
        <v>0</v>
      </c>
      <c r="AK1320" s="1" t="s">
        <v>136</v>
      </c>
    </row>
    <row r="1321" spans="1:37" x14ac:dyDescent="0.25">
      <c r="A1321">
        <v>1853</v>
      </c>
      <c r="B1321">
        <v>32</v>
      </c>
      <c r="C1321" s="1" t="s">
        <v>25</v>
      </c>
      <c r="D1321" s="1" t="s">
        <v>71</v>
      </c>
      <c r="E1321">
        <v>4</v>
      </c>
      <c r="F1321" s="1" t="s">
        <v>142</v>
      </c>
      <c r="G1321">
        <v>8</v>
      </c>
      <c r="H1321" s="1" t="s">
        <v>18</v>
      </c>
      <c r="I1321">
        <v>4</v>
      </c>
      <c r="J1321">
        <v>2</v>
      </c>
      <c r="K1321">
        <v>0</v>
      </c>
      <c r="L1321">
        <v>0</v>
      </c>
      <c r="M1321">
        <v>0</v>
      </c>
      <c r="N1321">
        <v>0</v>
      </c>
      <c r="O1321" s="1" t="s">
        <v>19</v>
      </c>
      <c r="P1321" s="1" t="s">
        <v>137</v>
      </c>
      <c r="Q1321">
        <v>1318</v>
      </c>
      <c r="R1321" s="1" t="s">
        <v>64</v>
      </c>
      <c r="S1321">
        <v>10</v>
      </c>
      <c r="T1321">
        <v>1</v>
      </c>
      <c r="U1321">
        <v>4</v>
      </c>
      <c r="V1321">
        <v>79</v>
      </c>
      <c r="W1321">
        <v>3</v>
      </c>
      <c r="X1321">
        <v>2</v>
      </c>
      <c r="Y1321" s="1" t="s">
        <v>4</v>
      </c>
      <c r="Z1321">
        <v>4</v>
      </c>
      <c r="AA1321">
        <v>4648</v>
      </c>
      <c r="AB1321">
        <v>26075</v>
      </c>
      <c r="AC1321" s="1" t="s">
        <v>19</v>
      </c>
      <c r="AD1321">
        <v>13</v>
      </c>
      <c r="AE1321">
        <v>3</v>
      </c>
      <c r="AF1321">
        <v>3</v>
      </c>
      <c r="AG1321">
        <v>80</v>
      </c>
      <c r="AH1321">
        <v>0</v>
      </c>
      <c r="AI1321">
        <v>4</v>
      </c>
      <c r="AJ1321">
        <v>0</v>
      </c>
      <c r="AK1321" s="1" t="s">
        <v>136</v>
      </c>
    </row>
    <row r="1322" spans="1:37" x14ac:dyDescent="0.25">
      <c r="A1322">
        <v>1854</v>
      </c>
      <c r="B1322">
        <v>42</v>
      </c>
      <c r="C1322" s="1" t="s">
        <v>25</v>
      </c>
      <c r="D1322" s="1" t="s">
        <v>70</v>
      </c>
      <c r="E1322">
        <v>4</v>
      </c>
      <c r="F1322" s="1" t="s">
        <v>143</v>
      </c>
      <c r="G1322">
        <v>3</v>
      </c>
      <c r="H1322" s="1" t="s">
        <v>18</v>
      </c>
      <c r="I1322">
        <v>10</v>
      </c>
      <c r="J1322">
        <v>1</v>
      </c>
      <c r="K1322">
        <v>6</v>
      </c>
      <c r="L1322">
        <v>3</v>
      </c>
      <c r="M1322">
        <v>3</v>
      </c>
      <c r="N1322">
        <v>3</v>
      </c>
      <c r="O1322" s="1" t="s">
        <v>19</v>
      </c>
      <c r="P1322" s="1" t="s">
        <v>141</v>
      </c>
      <c r="Q1322">
        <v>355</v>
      </c>
      <c r="R1322" s="1" t="s">
        <v>63</v>
      </c>
      <c r="S1322">
        <v>10</v>
      </c>
      <c r="T1322">
        <v>1</v>
      </c>
      <c r="U1322">
        <v>3</v>
      </c>
      <c r="V1322">
        <v>38</v>
      </c>
      <c r="W1322">
        <v>3</v>
      </c>
      <c r="X1322">
        <v>1</v>
      </c>
      <c r="Y1322" s="1" t="s">
        <v>5</v>
      </c>
      <c r="Z1322">
        <v>3</v>
      </c>
      <c r="AA1322">
        <v>2936</v>
      </c>
      <c r="AB1322">
        <v>6161</v>
      </c>
      <c r="AC1322" s="1" t="s">
        <v>19</v>
      </c>
      <c r="AD1322">
        <v>22</v>
      </c>
      <c r="AE1322">
        <v>4</v>
      </c>
      <c r="AF1322">
        <v>2</v>
      </c>
      <c r="AG1322">
        <v>80</v>
      </c>
      <c r="AH1322">
        <v>2</v>
      </c>
      <c r="AI1322">
        <v>2</v>
      </c>
      <c r="AJ1322">
        <v>0</v>
      </c>
      <c r="AK1322" s="1" t="s">
        <v>136</v>
      </c>
    </row>
    <row r="1323" spans="1:37" x14ac:dyDescent="0.25">
      <c r="A1323">
        <v>1856</v>
      </c>
      <c r="B1323">
        <v>47</v>
      </c>
      <c r="C1323" s="1" t="s">
        <v>24</v>
      </c>
      <c r="D1323" s="1" t="s">
        <v>71</v>
      </c>
      <c r="E1323">
        <v>4</v>
      </c>
      <c r="F1323" s="1" t="s">
        <v>134</v>
      </c>
      <c r="G1323">
        <v>4</v>
      </c>
      <c r="H1323" s="1" t="s">
        <v>18</v>
      </c>
      <c r="I1323">
        <v>7</v>
      </c>
      <c r="J1323">
        <v>2</v>
      </c>
      <c r="K1323">
        <v>2</v>
      </c>
      <c r="L1323">
        <v>2</v>
      </c>
      <c r="M1323">
        <v>2</v>
      </c>
      <c r="N1323">
        <v>0</v>
      </c>
      <c r="O1323" s="1" t="s">
        <v>19</v>
      </c>
      <c r="P1323" s="1" t="s">
        <v>135</v>
      </c>
      <c r="Q1323">
        <v>207</v>
      </c>
      <c r="R1323" s="1" t="s">
        <v>63</v>
      </c>
      <c r="S1323">
        <v>9</v>
      </c>
      <c r="T1323">
        <v>1</v>
      </c>
      <c r="U1323">
        <v>2</v>
      </c>
      <c r="V1323">
        <v>64</v>
      </c>
      <c r="W1323">
        <v>3</v>
      </c>
      <c r="X1323">
        <v>1</v>
      </c>
      <c r="Y1323" s="1" t="s">
        <v>6</v>
      </c>
      <c r="Z1323">
        <v>3</v>
      </c>
      <c r="AA1323">
        <v>2105</v>
      </c>
      <c r="AB1323">
        <v>5411</v>
      </c>
      <c r="AC1323" s="1" t="s">
        <v>19</v>
      </c>
      <c r="AD1323">
        <v>12</v>
      </c>
      <c r="AE1323">
        <v>3</v>
      </c>
      <c r="AF1323">
        <v>3</v>
      </c>
      <c r="AG1323">
        <v>80</v>
      </c>
      <c r="AH1323">
        <v>0</v>
      </c>
      <c r="AI1323">
        <v>3</v>
      </c>
      <c r="AJ1323">
        <v>0</v>
      </c>
      <c r="AK1323" s="1" t="s">
        <v>136</v>
      </c>
    </row>
    <row r="1324" spans="1:37" x14ac:dyDescent="0.25">
      <c r="A1324">
        <v>1857</v>
      </c>
      <c r="B1324">
        <v>46</v>
      </c>
      <c r="C1324" s="1" t="s">
        <v>25</v>
      </c>
      <c r="D1324" s="1" t="s">
        <v>69</v>
      </c>
      <c r="E1324">
        <v>2</v>
      </c>
      <c r="F1324" s="1" t="s">
        <v>134</v>
      </c>
      <c r="G1324">
        <v>3</v>
      </c>
      <c r="H1324" s="1" t="s">
        <v>18</v>
      </c>
      <c r="I1324">
        <v>12</v>
      </c>
      <c r="J1324">
        <v>4</v>
      </c>
      <c r="K1324">
        <v>9</v>
      </c>
      <c r="L1324">
        <v>8</v>
      </c>
      <c r="M1324">
        <v>4</v>
      </c>
      <c r="N1324">
        <v>7</v>
      </c>
      <c r="O1324" s="1" t="s">
        <v>19</v>
      </c>
      <c r="P1324" s="1" t="s">
        <v>135</v>
      </c>
      <c r="Q1324">
        <v>706</v>
      </c>
      <c r="R1324" s="1" t="s">
        <v>63</v>
      </c>
      <c r="S1324">
        <v>2</v>
      </c>
      <c r="T1324">
        <v>1</v>
      </c>
      <c r="U1324">
        <v>4</v>
      </c>
      <c r="V1324">
        <v>82</v>
      </c>
      <c r="W1324">
        <v>3</v>
      </c>
      <c r="X1324">
        <v>3</v>
      </c>
      <c r="Y1324" s="1" t="s">
        <v>7</v>
      </c>
      <c r="Z1324">
        <v>4</v>
      </c>
      <c r="AA1324">
        <v>8578</v>
      </c>
      <c r="AB1324">
        <v>19989</v>
      </c>
      <c r="AC1324" s="1" t="s">
        <v>19</v>
      </c>
      <c r="AD1324">
        <v>14</v>
      </c>
      <c r="AE1324">
        <v>3</v>
      </c>
      <c r="AF1324">
        <v>3</v>
      </c>
      <c r="AG1324">
        <v>80</v>
      </c>
      <c r="AH1324">
        <v>1</v>
      </c>
      <c r="AI1324">
        <v>2</v>
      </c>
      <c r="AJ1324">
        <v>0</v>
      </c>
      <c r="AK1324" s="1" t="s">
        <v>136</v>
      </c>
    </row>
    <row r="1325" spans="1:37" x14ac:dyDescent="0.25">
      <c r="A1325">
        <v>1858</v>
      </c>
      <c r="B1325">
        <v>28</v>
      </c>
      <c r="C1325" s="1" t="s">
        <v>25</v>
      </c>
      <c r="D1325" s="1" t="s">
        <v>69</v>
      </c>
      <c r="E1325">
        <v>2</v>
      </c>
      <c r="F1325" s="1" t="s">
        <v>134</v>
      </c>
      <c r="G1325">
        <v>1</v>
      </c>
      <c r="H1325" s="1" t="s">
        <v>18</v>
      </c>
      <c r="I1325">
        <v>3</v>
      </c>
      <c r="J1325">
        <v>2</v>
      </c>
      <c r="K1325">
        <v>3</v>
      </c>
      <c r="L1325">
        <v>2</v>
      </c>
      <c r="M1325">
        <v>2</v>
      </c>
      <c r="N1325">
        <v>2</v>
      </c>
      <c r="O1325" s="1" t="s">
        <v>19</v>
      </c>
      <c r="P1325" s="1" t="s">
        <v>141</v>
      </c>
      <c r="Q1325">
        <v>280</v>
      </c>
      <c r="R1325" s="1" t="s">
        <v>12</v>
      </c>
      <c r="S1325">
        <v>1</v>
      </c>
      <c r="T1325">
        <v>1</v>
      </c>
      <c r="U1325">
        <v>3</v>
      </c>
      <c r="V1325">
        <v>43</v>
      </c>
      <c r="W1325">
        <v>3</v>
      </c>
      <c r="X1325">
        <v>1</v>
      </c>
      <c r="Y1325" s="1" t="s">
        <v>12</v>
      </c>
      <c r="Z1325">
        <v>4</v>
      </c>
      <c r="AA1325">
        <v>2706</v>
      </c>
      <c r="AB1325">
        <v>10494</v>
      </c>
      <c r="AC1325" s="1" t="s">
        <v>19</v>
      </c>
      <c r="AD1325">
        <v>15</v>
      </c>
      <c r="AE1325">
        <v>3</v>
      </c>
      <c r="AF1325">
        <v>2</v>
      </c>
      <c r="AG1325">
        <v>80</v>
      </c>
      <c r="AH1325">
        <v>1</v>
      </c>
      <c r="AI1325">
        <v>3</v>
      </c>
      <c r="AJ1325">
        <v>0</v>
      </c>
      <c r="AK1325" s="1" t="s">
        <v>136</v>
      </c>
    </row>
    <row r="1326" spans="1:37" x14ac:dyDescent="0.25">
      <c r="A1326">
        <v>1859</v>
      </c>
      <c r="B1326">
        <v>29</v>
      </c>
      <c r="C1326" s="1" t="s">
        <v>25</v>
      </c>
      <c r="D1326" s="1" t="s">
        <v>69</v>
      </c>
      <c r="E1326">
        <v>1</v>
      </c>
      <c r="F1326" s="1" t="s">
        <v>134</v>
      </c>
      <c r="G1326">
        <v>8</v>
      </c>
      <c r="H1326" s="1" t="s">
        <v>18</v>
      </c>
      <c r="I1326">
        <v>11</v>
      </c>
      <c r="J1326">
        <v>3</v>
      </c>
      <c r="K1326">
        <v>7</v>
      </c>
      <c r="L1326">
        <v>0</v>
      </c>
      <c r="M1326">
        <v>1</v>
      </c>
      <c r="N1326">
        <v>6</v>
      </c>
      <c r="O1326" s="1" t="s">
        <v>19</v>
      </c>
      <c r="P1326" s="1" t="s">
        <v>135</v>
      </c>
      <c r="Q1326">
        <v>726</v>
      </c>
      <c r="R1326" s="1" t="s">
        <v>63</v>
      </c>
      <c r="S1326">
        <v>29</v>
      </c>
      <c r="T1326">
        <v>1</v>
      </c>
      <c r="U1326">
        <v>4</v>
      </c>
      <c r="V1326">
        <v>93</v>
      </c>
      <c r="W1326">
        <v>1</v>
      </c>
      <c r="X1326">
        <v>2</v>
      </c>
      <c r="Y1326" s="1" t="s">
        <v>8</v>
      </c>
      <c r="Z1326">
        <v>3</v>
      </c>
      <c r="AA1326">
        <v>6384</v>
      </c>
      <c r="AB1326">
        <v>21143</v>
      </c>
      <c r="AC1326" s="1" t="s">
        <v>19</v>
      </c>
      <c r="AD1326">
        <v>17</v>
      </c>
      <c r="AE1326">
        <v>3</v>
      </c>
      <c r="AF1326">
        <v>4</v>
      </c>
      <c r="AG1326">
        <v>80</v>
      </c>
      <c r="AH1326">
        <v>2</v>
      </c>
      <c r="AI1326">
        <v>3</v>
      </c>
      <c r="AJ1326">
        <v>0</v>
      </c>
      <c r="AK1326" s="1" t="s">
        <v>136</v>
      </c>
    </row>
    <row r="1327" spans="1:37" x14ac:dyDescent="0.25">
      <c r="A1327">
        <v>1860</v>
      </c>
      <c r="B1327">
        <v>42</v>
      </c>
      <c r="C1327" s="1" t="s">
        <v>25</v>
      </c>
      <c r="D1327" s="1" t="s">
        <v>71</v>
      </c>
      <c r="E1327">
        <v>3</v>
      </c>
      <c r="F1327" s="1" t="s">
        <v>134</v>
      </c>
      <c r="G1327">
        <v>4</v>
      </c>
      <c r="H1327" s="1" t="s">
        <v>18</v>
      </c>
      <c r="I1327">
        <v>8</v>
      </c>
      <c r="J1327">
        <v>3</v>
      </c>
      <c r="K1327">
        <v>0</v>
      </c>
      <c r="L1327">
        <v>0</v>
      </c>
      <c r="M1327">
        <v>0</v>
      </c>
      <c r="N1327">
        <v>0</v>
      </c>
      <c r="O1327" s="1" t="s">
        <v>19</v>
      </c>
      <c r="P1327" s="1" t="s">
        <v>135</v>
      </c>
      <c r="Q1327">
        <v>1142</v>
      </c>
      <c r="R1327" s="1" t="s">
        <v>63</v>
      </c>
      <c r="S1327">
        <v>8</v>
      </c>
      <c r="T1327">
        <v>1</v>
      </c>
      <c r="U1327">
        <v>4</v>
      </c>
      <c r="V1327">
        <v>81</v>
      </c>
      <c r="W1327">
        <v>3</v>
      </c>
      <c r="X1327">
        <v>1</v>
      </c>
      <c r="Y1327" s="1" t="s">
        <v>6</v>
      </c>
      <c r="Z1327">
        <v>3</v>
      </c>
      <c r="AA1327">
        <v>3968</v>
      </c>
      <c r="AB1327">
        <v>13624</v>
      </c>
      <c r="AC1327" s="1" t="s">
        <v>19</v>
      </c>
      <c r="AD1327">
        <v>13</v>
      </c>
      <c r="AE1327">
        <v>3</v>
      </c>
      <c r="AF1327">
        <v>4</v>
      </c>
      <c r="AG1327">
        <v>80</v>
      </c>
      <c r="AH1327">
        <v>0</v>
      </c>
      <c r="AI1327">
        <v>3</v>
      </c>
      <c r="AJ1327">
        <v>0</v>
      </c>
      <c r="AK1327" s="1" t="s">
        <v>136</v>
      </c>
    </row>
    <row r="1328" spans="1:37" x14ac:dyDescent="0.25">
      <c r="A1328">
        <v>1862</v>
      </c>
      <c r="B1328">
        <v>32</v>
      </c>
      <c r="C1328" s="1" t="s">
        <v>25</v>
      </c>
      <c r="D1328" s="1" t="s">
        <v>71</v>
      </c>
      <c r="E1328">
        <v>4</v>
      </c>
      <c r="F1328" s="1" t="s">
        <v>142</v>
      </c>
      <c r="G1328">
        <v>7</v>
      </c>
      <c r="H1328" s="1" t="s">
        <v>18</v>
      </c>
      <c r="I1328">
        <v>7</v>
      </c>
      <c r="J1328">
        <v>3</v>
      </c>
      <c r="K1328">
        <v>2</v>
      </c>
      <c r="L1328">
        <v>2</v>
      </c>
      <c r="M1328">
        <v>2</v>
      </c>
      <c r="N1328">
        <v>2</v>
      </c>
      <c r="O1328" s="1" t="s">
        <v>18</v>
      </c>
      <c r="P1328" s="1" t="s">
        <v>135</v>
      </c>
      <c r="Q1328">
        <v>414</v>
      </c>
      <c r="R1328" s="1" t="s">
        <v>64</v>
      </c>
      <c r="S1328">
        <v>2</v>
      </c>
      <c r="T1328">
        <v>1</v>
      </c>
      <c r="U1328">
        <v>3</v>
      </c>
      <c r="V1328">
        <v>82</v>
      </c>
      <c r="W1328">
        <v>2</v>
      </c>
      <c r="X1328">
        <v>2</v>
      </c>
      <c r="Y1328" s="1" t="s">
        <v>4</v>
      </c>
      <c r="Z1328">
        <v>2</v>
      </c>
      <c r="AA1328">
        <v>9907</v>
      </c>
      <c r="AB1328">
        <v>26186</v>
      </c>
      <c r="AC1328" s="1" t="s">
        <v>18</v>
      </c>
      <c r="AD1328">
        <v>12</v>
      </c>
      <c r="AE1328">
        <v>3</v>
      </c>
      <c r="AF1328">
        <v>3</v>
      </c>
      <c r="AG1328">
        <v>80</v>
      </c>
      <c r="AH1328">
        <v>0</v>
      </c>
      <c r="AI1328">
        <v>2</v>
      </c>
      <c r="AJ1328">
        <v>1</v>
      </c>
      <c r="AK1328" s="1" t="s">
        <v>136</v>
      </c>
    </row>
    <row r="1329" spans="1:37" x14ac:dyDescent="0.25">
      <c r="A1329">
        <v>1863</v>
      </c>
      <c r="B1329">
        <v>46</v>
      </c>
      <c r="C1329" s="1" t="s">
        <v>24</v>
      </c>
      <c r="D1329" s="1" t="s">
        <v>69</v>
      </c>
      <c r="E1329">
        <v>3</v>
      </c>
      <c r="F1329" s="1" t="s">
        <v>143</v>
      </c>
      <c r="G1329">
        <v>2</v>
      </c>
      <c r="H1329" s="1" t="s">
        <v>18</v>
      </c>
      <c r="I1329">
        <v>25</v>
      </c>
      <c r="J1329">
        <v>5</v>
      </c>
      <c r="K1329">
        <v>19</v>
      </c>
      <c r="L1329">
        <v>17</v>
      </c>
      <c r="M1329">
        <v>2</v>
      </c>
      <c r="N1329">
        <v>8</v>
      </c>
      <c r="O1329" s="1" t="s">
        <v>19</v>
      </c>
      <c r="P1329" s="1" t="s">
        <v>135</v>
      </c>
      <c r="Q1329">
        <v>1319</v>
      </c>
      <c r="R1329" s="1" t="s">
        <v>64</v>
      </c>
      <c r="S1329">
        <v>3</v>
      </c>
      <c r="T1329">
        <v>1</v>
      </c>
      <c r="U1329">
        <v>1</v>
      </c>
      <c r="V1329">
        <v>45</v>
      </c>
      <c r="W1329">
        <v>4</v>
      </c>
      <c r="X1329">
        <v>4</v>
      </c>
      <c r="Y1329" s="1" t="s">
        <v>4</v>
      </c>
      <c r="Z1329">
        <v>1</v>
      </c>
      <c r="AA1329">
        <v>13225</v>
      </c>
      <c r="AB1329">
        <v>7739</v>
      </c>
      <c r="AC1329" s="1" t="s">
        <v>19</v>
      </c>
      <c r="AD1329">
        <v>12</v>
      </c>
      <c r="AE1329">
        <v>3</v>
      </c>
      <c r="AF1329">
        <v>4</v>
      </c>
      <c r="AG1329">
        <v>80</v>
      </c>
      <c r="AH1329">
        <v>1</v>
      </c>
      <c r="AI1329">
        <v>3</v>
      </c>
      <c r="AJ1329">
        <v>0</v>
      </c>
      <c r="AK1329" s="1" t="s">
        <v>136</v>
      </c>
    </row>
    <row r="1330" spans="1:37" x14ac:dyDescent="0.25">
      <c r="A1330">
        <v>1864</v>
      </c>
      <c r="B1330">
        <v>27</v>
      </c>
      <c r="C1330" s="1" t="s">
        <v>24</v>
      </c>
      <c r="D1330" s="1" t="s">
        <v>70</v>
      </c>
      <c r="E1330">
        <v>1</v>
      </c>
      <c r="F1330" s="1" t="s">
        <v>139</v>
      </c>
      <c r="G1330">
        <v>1</v>
      </c>
      <c r="H1330" s="1" t="s">
        <v>18</v>
      </c>
      <c r="I1330">
        <v>9</v>
      </c>
      <c r="J1330">
        <v>5</v>
      </c>
      <c r="K1330">
        <v>9</v>
      </c>
      <c r="L1330">
        <v>8</v>
      </c>
      <c r="M1330">
        <v>5</v>
      </c>
      <c r="N1330">
        <v>8</v>
      </c>
      <c r="O1330" s="1" t="s">
        <v>19</v>
      </c>
      <c r="P1330" s="1" t="s">
        <v>135</v>
      </c>
      <c r="Q1330">
        <v>728</v>
      </c>
      <c r="R1330" s="1" t="s">
        <v>64</v>
      </c>
      <c r="S1330">
        <v>23</v>
      </c>
      <c r="T1330">
        <v>1</v>
      </c>
      <c r="U1330">
        <v>2</v>
      </c>
      <c r="V1330">
        <v>36</v>
      </c>
      <c r="W1330">
        <v>2</v>
      </c>
      <c r="X1330">
        <v>2</v>
      </c>
      <c r="Y1330" s="1" t="s">
        <v>10</v>
      </c>
      <c r="Z1330">
        <v>3</v>
      </c>
      <c r="AA1330">
        <v>3540</v>
      </c>
      <c r="AB1330">
        <v>7018</v>
      </c>
      <c r="AC1330" s="1" t="s">
        <v>19</v>
      </c>
      <c r="AD1330">
        <v>21</v>
      </c>
      <c r="AE1330">
        <v>4</v>
      </c>
      <c r="AF1330">
        <v>4</v>
      </c>
      <c r="AG1330">
        <v>80</v>
      </c>
      <c r="AH1330">
        <v>1</v>
      </c>
      <c r="AI1330">
        <v>3</v>
      </c>
      <c r="AJ1330">
        <v>0</v>
      </c>
      <c r="AK1330" s="1" t="s">
        <v>136</v>
      </c>
    </row>
    <row r="1331" spans="1:37" x14ac:dyDescent="0.25">
      <c r="A1331">
        <v>1865</v>
      </c>
      <c r="B1331">
        <v>29</v>
      </c>
      <c r="C1331" s="1" t="s">
        <v>25</v>
      </c>
      <c r="D1331" s="1" t="s">
        <v>70</v>
      </c>
      <c r="E1331">
        <v>1</v>
      </c>
      <c r="F1331" s="1" t="s">
        <v>139</v>
      </c>
      <c r="G1331">
        <v>1</v>
      </c>
      <c r="H1331" s="1" t="s">
        <v>18</v>
      </c>
      <c r="I1331">
        <v>1</v>
      </c>
      <c r="J1331">
        <v>3</v>
      </c>
      <c r="K1331">
        <v>1</v>
      </c>
      <c r="L1331">
        <v>0</v>
      </c>
      <c r="M1331">
        <v>0</v>
      </c>
      <c r="N1331">
        <v>0</v>
      </c>
      <c r="O1331" s="1" t="s">
        <v>19</v>
      </c>
      <c r="P1331" s="1" t="s">
        <v>135</v>
      </c>
      <c r="Q1331">
        <v>352</v>
      </c>
      <c r="R1331" s="1" t="s">
        <v>12</v>
      </c>
      <c r="S1331">
        <v>6</v>
      </c>
      <c r="T1331">
        <v>1</v>
      </c>
      <c r="U1331">
        <v>4</v>
      </c>
      <c r="V1331">
        <v>87</v>
      </c>
      <c r="W1331">
        <v>2</v>
      </c>
      <c r="X1331">
        <v>1</v>
      </c>
      <c r="Y1331" s="1" t="s">
        <v>12</v>
      </c>
      <c r="Z1331">
        <v>2</v>
      </c>
      <c r="AA1331">
        <v>2804</v>
      </c>
      <c r="AB1331">
        <v>15434</v>
      </c>
      <c r="AC1331" s="1" t="s">
        <v>19</v>
      </c>
      <c r="AD1331">
        <v>11</v>
      </c>
      <c r="AE1331">
        <v>3</v>
      </c>
      <c r="AF1331">
        <v>4</v>
      </c>
      <c r="AG1331">
        <v>80</v>
      </c>
      <c r="AH1331">
        <v>0</v>
      </c>
      <c r="AI1331">
        <v>3</v>
      </c>
      <c r="AJ1331">
        <v>0</v>
      </c>
      <c r="AK1331" s="1" t="s">
        <v>136</v>
      </c>
    </row>
    <row r="1332" spans="1:37" x14ac:dyDescent="0.25">
      <c r="A1332">
        <v>1866</v>
      </c>
      <c r="B1332">
        <v>43</v>
      </c>
      <c r="C1332" s="1" t="s">
        <v>24</v>
      </c>
      <c r="D1332" s="1" t="s">
        <v>70</v>
      </c>
      <c r="E1332">
        <v>3</v>
      </c>
      <c r="F1332" s="1" t="s">
        <v>139</v>
      </c>
      <c r="G1332">
        <v>7</v>
      </c>
      <c r="H1332" s="1" t="s">
        <v>18</v>
      </c>
      <c r="I1332">
        <v>21</v>
      </c>
      <c r="J1332">
        <v>2</v>
      </c>
      <c r="K1332">
        <v>16</v>
      </c>
      <c r="L1332">
        <v>12</v>
      </c>
      <c r="M1332">
        <v>6</v>
      </c>
      <c r="N1332">
        <v>14</v>
      </c>
      <c r="O1332" s="1" t="s">
        <v>19</v>
      </c>
      <c r="P1332" s="1" t="s">
        <v>135</v>
      </c>
      <c r="Q1332">
        <v>823</v>
      </c>
      <c r="R1332" s="1" t="s">
        <v>63</v>
      </c>
      <c r="S1332">
        <v>6</v>
      </c>
      <c r="T1332">
        <v>1</v>
      </c>
      <c r="U1332">
        <v>1</v>
      </c>
      <c r="V1332">
        <v>81</v>
      </c>
      <c r="W1332">
        <v>2</v>
      </c>
      <c r="X1332">
        <v>5</v>
      </c>
      <c r="Y1332" s="1" t="s">
        <v>9</v>
      </c>
      <c r="Z1332">
        <v>3</v>
      </c>
      <c r="AA1332">
        <v>19392</v>
      </c>
      <c r="AB1332">
        <v>22539</v>
      </c>
      <c r="AC1332" s="1" t="s">
        <v>19</v>
      </c>
      <c r="AD1332">
        <v>13</v>
      </c>
      <c r="AE1332">
        <v>3</v>
      </c>
      <c r="AF1332">
        <v>4</v>
      </c>
      <c r="AG1332">
        <v>80</v>
      </c>
      <c r="AH1332">
        <v>0</v>
      </c>
      <c r="AI1332">
        <v>3</v>
      </c>
      <c r="AJ1332">
        <v>0</v>
      </c>
      <c r="AK1332" s="1" t="s">
        <v>136</v>
      </c>
    </row>
    <row r="1333" spans="1:37" x14ac:dyDescent="0.25">
      <c r="A1333">
        <v>1867</v>
      </c>
      <c r="B1333">
        <v>48</v>
      </c>
      <c r="C1333" s="1" t="s">
        <v>25</v>
      </c>
      <c r="D1333" s="1" t="s">
        <v>70</v>
      </c>
      <c r="E1333">
        <v>3</v>
      </c>
      <c r="F1333" s="1" t="s">
        <v>134</v>
      </c>
      <c r="G1333">
        <v>4</v>
      </c>
      <c r="H1333" s="1" t="s">
        <v>18</v>
      </c>
      <c r="I1333">
        <v>29</v>
      </c>
      <c r="J1333">
        <v>3</v>
      </c>
      <c r="K1333">
        <v>22</v>
      </c>
      <c r="L1333">
        <v>10</v>
      </c>
      <c r="M1333">
        <v>12</v>
      </c>
      <c r="N1333">
        <v>9</v>
      </c>
      <c r="O1333" s="1" t="s">
        <v>19</v>
      </c>
      <c r="P1333" s="1" t="s">
        <v>135</v>
      </c>
      <c r="Q1333">
        <v>1224</v>
      </c>
      <c r="R1333" s="1" t="s">
        <v>63</v>
      </c>
      <c r="S1333">
        <v>10</v>
      </c>
      <c r="T1333">
        <v>1</v>
      </c>
      <c r="U1333">
        <v>4</v>
      </c>
      <c r="V1333">
        <v>91</v>
      </c>
      <c r="W1333">
        <v>2</v>
      </c>
      <c r="X1333">
        <v>5</v>
      </c>
      <c r="Y1333" s="1" t="s">
        <v>11</v>
      </c>
      <c r="Z1333">
        <v>2</v>
      </c>
      <c r="AA1333">
        <v>19665</v>
      </c>
      <c r="AB1333">
        <v>13583</v>
      </c>
      <c r="AC1333" s="1" t="s">
        <v>19</v>
      </c>
      <c r="AD1333">
        <v>12</v>
      </c>
      <c r="AE1333">
        <v>3</v>
      </c>
      <c r="AF1333">
        <v>4</v>
      </c>
      <c r="AG1333">
        <v>80</v>
      </c>
      <c r="AH1333">
        <v>0</v>
      </c>
      <c r="AI1333">
        <v>3</v>
      </c>
      <c r="AJ1333">
        <v>0</v>
      </c>
      <c r="AK1333" s="1" t="s">
        <v>136</v>
      </c>
    </row>
    <row r="1334" spans="1:37" x14ac:dyDescent="0.25">
      <c r="A1334">
        <v>1868</v>
      </c>
      <c r="B1334">
        <v>29</v>
      </c>
      <c r="C1334" s="1" t="s">
        <v>25</v>
      </c>
      <c r="D1334" s="1" t="s">
        <v>71</v>
      </c>
      <c r="E1334">
        <v>2</v>
      </c>
      <c r="F1334" s="1" t="s">
        <v>134</v>
      </c>
      <c r="G1334">
        <v>1</v>
      </c>
      <c r="H1334" s="1" t="s">
        <v>18</v>
      </c>
      <c r="I1334">
        <v>1</v>
      </c>
      <c r="J1334">
        <v>3</v>
      </c>
      <c r="K1334">
        <v>1</v>
      </c>
      <c r="L1334">
        <v>0</v>
      </c>
      <c r="M1334">
        <v>1</v>
      </c>
      <c r="N1334">
        <v>0</v>
      </c>
      <c r="O1334" s="1" t="s">
        <v>18</v>
      </c>
      <c r="P1334" s="1" t="s">
        <v>137</v>
      </c>
      <c r="Q1334">
        <v>459</v>
      </c>
      <c r="R1334" s="1" t="s">
        <v>63</v>
      </c>
      <c r="S1334">
        <v>24</v>
      </c>
      <c r="T1334">
        <v>1</v>
      </c>
      <c r="U1334">
        <v>4</v>
      </c>
      <c r="V1334">
        <v>73</v>
      </c>
      <c r="W1334">
        <v>2</v>
      </c>
      <c r="X1334">
        <v>1</v>
      </c>
      <c r="Y1334" s="1" t="s">
        <v>5</v>
      </c>
      <c r="Z1334">
        <v>4</v>
      </c>
      <c r="AA1334">
        <v>2439</v>
      </c>
      <c r="AB1334">
        <v>14753</v>
      </c>
      <c r="AC1334" s="1" t="s">
        <v>18</v>
      </c>
      <c r="AD1334">
        <v>24</v>
      </c>
      <c r="AE1334">
        <v>4</v>
      </c>
      <c r="AF1334">
        <v>2</v>
      </c>
      <c r="AG1334">
        <v>80</v>
      </c>
      <c r="AH1334">
        <v>0</v>
      </c>
      <c r="AI1334">
        <v>2</v>
      </c>
      <c r="AJ1334">
        <v>1</v>
      </c>
      <c r="AK1334" s="1" t="s">
        <v>136</v>
      </c>
    </row>
    <row r="1335" spans="1:37" x14ac:dyDescent="0.25">
      <c r="A1335">
        <v>1869</v>
      </c>
      <c r="B1335">
        <v>46</v>
      </c>
      <c r="C1335" s="1" t="s">
        <v>24</v>
      </c>
      <c r="D1335" s="1" t="s">
        <v>70</v>
      </c>
      <c r="E1335">
        <v>3</v>
      </c>
      <c r="F1335" s="1" t="s">
        <v>134</v>
      </c>
      <c r="G1335">
        <v>5</v>
      </c>
      <c r="H1335" s="1" t="s">
        <v>18</v>
      </c>
      <c r="I1335">
        <v>14</v>
      </c>
      <c r="J1335">
        <v>2</v>
      </c>
      <c r="K1335">
        <v>8</v>
      </c>
      <c r="L1335">
        <v>7</v>
      </c>
      <c r="M1335">
        <v>0</v>
      </c>
      <c r="N1335">
        <v>7</v>
      </c>
      <c r="O1335" s="1" t="s">
        <v>18</v>
      </c>
      <c r="P1335" s="1" t="s">
        <v>135</v>
      </c>
      <c r="Q1335">
        <v>1254</v>
      </c>
      <c r="R1335" s="1" t="s">
        <v>64</v>
      </c>
      <c r="S1335">
        <v>10</v>
      </c>
      <c r="T1335">
        <v>1</v>
      </c>
      <c r="U1335">
        <v>3</v>
      </c>
      <c r="V1335">
        <v>64</v>
      </c>
      <c r="W1335">
        <v>3</v>
      </c>
      <c r="X1335">
        <v>3</v>
      </c>
      <c r="Y1335" s="1" t="s">
        <v>4</v>
      </c>
      <c r="Z1335">
        <v>2</v>
      </c>
      <c r="AA1335">
        <v>7314</v>
      </c>
      <c r="AB1335">
        <v>14011</v>
      </c>
      <c r="AC1335" s="1" t="s">
        <v>19</v>
      </c>
      <c r="AD1335">
        <v>21</v>
      </c>
      <c r="AE1335">
        <v>4</v>
      </c>
      <c r="AF1335">
        <v>3</v>
      </c>
      <c r="AG1335">
        <v>80</v>
      </c>
      <c r="AH1335">
        <v>3</v>
      </c>
      <c r="AI1335">
        <v>3</v>
      </c>
      <c r="AJ1335">
        <v>1</v>
      </c>
      <c r="AK1335" s="1" t="s">
        <v>136</v>
      </c>
    </row>
    <row r="1336" spans="1:37" x14ac:dyDescent="0.25">
      <c r="A1336">
        <v>1870</v>
      </c>
      <c r="B1336">
        <v>27</v>
      </c>
      <c r="C1336" s="1" t="s">
        <v>24</v>
      </c>
      <c r="D1336" s="1" t="s">
        <v>70</v>
      </c>
      <c r="E1336">
        <v>3</v>
      </c>
      <c r="F1336" s="1" t="s">
        <v>134</v>
      </c>
      <c r="G1336">
        <v>0</v>
      </c>
      <c r="H1336" s="1" t="s">
        <v>18</v>
      </c>
      <c r="I1336">
        <v>8</v>
      </c>
      <c r="J1336">
        <v>2</v>
      </c>
      <c r="K1336">
        <v>7</v>
      </c>
      <c r="L1336">
        <v>6</v>
      </c>
      <c r="M1336">
        <v>7</v>
      </c>
      <c r="N1336">
        <v>3</v>
      </c>
      <c r="O1336" s="1" t="s">
        <v>19</v>
      </c>
      <c r="P1336" s="1" t="s">
        <v>137</v>
      </c>
      <c r="Q1336">
        <v>1131</v>
      </c>
      <c r="R1336" s="1" t="s">
        <v>63</v>
      </c>
      <c r="S1336">
        <v>15</v>
      </c>
      <c r="T1336">
        <v>1</v>
      </c>
      <c r="U1336">
        <v>4</v>
      </c>
      <c r="V1336">
        <v>77</v>
      </c>
      <c r="W1336">
        <v>2</v>
      </c>
      <c r="X1336">
        <v>1</v>
      </c>
      <c r="Y1336" s="1" t="s">
        <v>5</v>
      </c>
      <c r="Z1336">
        <v>1</v>
      </c>
      <c r="AA1336">
        <v>4774</v>
      </c>
      <c r="AB1336">
        <v>23844</v>
      </c>
      <c r="AC1336" s="1" t="s">
        <v>19</v>
      </c>
      <c r="AD1336">
        <v>19</v>
      </c>
      <c r="AE1336">
        <v>3</v>
      </c>
      <c r="AF1336">
        <v>4</v>
      </c>
      <c r="AG1336">
        <v>80</v>
      </c>
      <c r="AH1336">
        <v>1</v>
      </c>
      <c r="AI1336">
        <v>2</v>
      </c>
      <c r="AJ1336">
        <v>0</v>
      </c>
      <c r="AK1336" s="1" t="s">
        <v>136</v>
      </c>
    </row>
    <row r="1337" spans="1:37" x14ac:dyDescent="0.25">
      <c r="A1337">
        <v>1871</v>
      </c>
      <c r="B1337">
        <v>39</v>
      </c>
      <c r="C1337" s="1" t="s">
        <v>25</v>
      </c>
      <c r="D1337" s="1" t="s">
        <v>69</v>
      </c>
      <c r="E1337">
        <v>4</v>
      </c>
      <c r="F1337" s="1" t="s">
        <v>138</v>
      </c>
      <c r="G1337">
        <v>8</v>
      </c>
      <c r="H1337" s="1" t="s">
        <v>18</v>
      </c>
      <c r="I1337">
        <v>7</v>
      </c>
      <c r="J1337">
        <v>2</v>
      </c>
      <c r="K1337">
        <v>2</v>
      </c>
      <c r="L1337">
        <v>2</v>
      </c>
      <c r="M1337">
        <v>2</v>
      </c>
      <c r="N1337">
        <v>2</v>
      </c>
      <c r="O1337" s="1" t="s">
        <v>19</v>
      </c>
      <c r="P1337" s="1" t="s">
        <v>135</v>
      </c>
      <c r="Q1337">
        <v>835</v>
      </c>
      <c r="R1337" s="1" t="s">
        <v>63</v>
      </c>
      <c r="S1337">
        <v>19</v>
      </c>
      <c r="T1337">
        <v>1</v>
      </c>
      <c r="U1337">
        <v>4</v>
      </c>
      <c r="V1337">
        <v>41</v>
      </c>
      <c r="W1337">
        <v>3</v>
      </c>
      <c r="X1337">
        <v>2</v>
      </c>
      <c r="Y1337" s="1" t="s">
        <v>5</v>
      </c>
      <c r="Z1337">
        <v>4</v>
      </c>
      <c r="AA1337">
        <v>3902</v>
      </c>
      <c r="AB1337">
        <v>5141</v>
      </c>
      <c r="AC1337" s="1" t="s">
        <v>19</v>
      </c>
      <c r="AD1337">
        <v>14</v>
      </c>
      <c r="AE1337">
        <v>3</v>
      </c>
      <c r="AF1337">
        <v>2</v>
      </c>
      <c r="AG1337">
        <v>80</v>
      </c>
      <c r="AH1337">
        <v>3</v>
      </c>
      <c r="AI1337">
        <v>3</v>
      </c>
      <c r="AJ1337">
        <v>0</v>
      </c>
      <c r="AK1337" s="1" t="s">
        <v>136</v>
      </c>
    </row>
    <row r="1338" spans="1:37" x14ac:dyDescent="0.25">
      <c r="A1338">
        <v>1873</v>
      </c>
      <c r="B1338">
        <v>55</v>
      </c>
      <c r="C1338" s="1" t="s">
        <v>25</v>
      </c>
      <c r="D1338" s="1" t="s">
        <v>70</v>
      </c>
      <c r="E1338">
        <v>4</v>
      </c>
      <c r="F1338" s="1" t="s">
        <v>143</v>
      </c>
      <c r="G1338">
        <v>8</v>
      </c>
      <c r="H1338" s="1" t="s">
        <v>18</v>
      </c>
      <c r="I1338">
        <v>19</v>
      </c>
      <c r="J1338">
        <v>2</v>
      </c>
      <c r="K1338">
        <v>5</v>
      </c>
      <c r="L1338">
        <v>2</v>
      </c>
      <c r="M1338">
        <v>0</v>
      </c>
      <c r="N1338">
        <v>4</v>
      </c>
      <c r="O1338" s="1" t="s">
        <v>19</v>
      </c>
      <c r="P1338" s="1" t="s">
        <v>135</v>
      </c>
      <c r="Q1338">
        <v>836</v>
      </c>
      <c r="R1338" s="1" t="s">
        <v>63</v>
      </c>
      <c r="S1338">
        <v>2</v>
      </c>
      <c r="T1338">
        <v>1</v>
      </c>
      <c r="U1338">
        <v>2</v>
      </c>
      <c r="V1338">
        <v>98</v>
      </c>
      <c r="W1338">
        <v>2</v>
      </c>
      <c r="X1338">
        <v>1</v>
      </c>
      <c r="Y1338" s="1" t="s">
        <v>5</v>
      </c>
      <c r="Z1338">
        <v>4</v>
      </c>
      <c r="AA1338">
        <v>2662</v>
      </c>
      <c r="AB1338">
        <v>7975</v>
      </c>
      <c r="AC1338" s="1" t="s">
        <v>19</v>
      </c>
      <c r="AD1338">
        <v>20</v>
      </c>
      <c r="AE1338">
        <v>4</v>
      </c>
      <c r="AF1338">
        <v>2</v>
      </c>
      <c r="AG1338">
        <v>80</v>
      </c>
      <c r="AH1338">
        <v>1</v>
      </c>
      <c r="AI1338">
        <v>4</v>
      </c>
      <c r="AJ1338">
        <v>0</v>
      </c>
      <c r="AK1338" s="1" t="s">
        <v>140</v>
      </c>
    </row>
    <row r="1339" spans="1:37" x14ac:dyDescent="0.25">
      <c r="A1339">
        <v>1875</v>
      </c>
      <c r="B1339">
        <v>28</v>
      </c>
      <c r="C1339" s="1" t="s">
        <v>24</v>
      </c>
      <c r="D1339" s="1" t="s">
        <v>70</v>
      </c>
      <c r="E1339">
        <v>3</v>
      </c>
      <c r="F1339" s="1" t="s">
        <v>139</v>
      </c>
      <c r="G1339">
        <v>1</v>
      </c>
      <c r="H1339" s="1" t="s">
        <v>18</v>
      </c>
      <c r="I1339">
        <v>1</v>
      </c>
      <c r="J1339">
        <v>3</v>
      </c>
      <c r="K1339">
        <v>1</v>
      </c>
      <c r="L1339">
        <v>0</v>
      </c>
      <c r="M1339">
        <v>0</v>
      </c>
      <c r="N1339">
        <v>0</v>
      </c>
      <c r="O1339" s="1" t="s">
        <v>19</v>
      </c>
      <c r="P1339" s="1" t="s">
        <v>135</v>
      </c>
      <c r="Q1339">
        <v>1172</v>
      </c>
      <c r="R1339" s="1" t="s">
        <v>64</v>
      </c>
      <c r="S1339">
        <v>3</v>
      </c>
      <c r="T1339">
        <v>1</v>
      </c>
      <c r="U1339">
        <v>2</v>
      </c>
      <c r="V1339">
        <v>78</v>
      </c>
      <c r="W1339">
        <v>3</v>
      </c>
      <c r="X1339">
        <v>1</v>
      </c>
      <c r="Y1339" s="1" t="s">
        <v>10</v>
      </c>
      <c r="Z1339">
        <v>2</v>
      </c>
      <c r="AA1339">
        <v>2856</v>
      </c>
      <c r="AB1339">
        <v>3692</v>
      </c>
      <c r="AC1339" s="1" t="s">
        <v>19</v>
      </c>
      <c r="AD1339">
        <v>19</v>
      </c>
      <c r="AE1339">
        <v>3</v>
      </c>
      <c r="AF1339">
        <v>4</v>
      </c>
      <c r="AG1339">
        <v>80</v>
      </c>
      <c r="AH1339">
        <v>1</v>
      </c>
      <c r="AI1339">
        <v>3</v>
      </c>
      <c r="AJ1339">
        <v>0</v>
      </c>
      <c r="AK1339" s="1" t="s">
        <v>136</v>
      </c>
    </row>
    <row r="1340" spans="1:37" x14ac:dyDescent="0.25">
      <c r="A1340">
        <v>1876</v>
      </c>
      <c r="B1340">
        <v>30</v>
      </c>
      <c r="C1340" s="1" t="s">
        <v>25</v>
      </c>
      <c r="D1340" s="1" t="s">
        <v>71</v>
      </c>
      <c r="E1340">
        <v>3</v>
      </c>
      <c r="F1340" s="1" t="s">
        <v>139</v>
      </c>
      <c r="G1340">
        <v>1</v>
      </c>
      <c r="H1340" s="1" t="s">
        <v>18</v>
      </c>
      <c r="I1340">
        <v>1</v>
      </c>
      <c r="J1340">
        <v>3</v>
      </c>
      <c r="K1340">
        <v>1</v>
      </c>
      <c r="L1340">
        <v>0</v>
      </c>
      <c r="M1340">
        <v>0</v>
      </c>
      <c r="N1340">
        <v>0</v>
      </c>
      <c r="O1340" s="1" t="s">
        <v>18</v>
      </c>
      <c r="P1340" s="1" t="s">
        <v>135</v>
      </c>
      <c r="Q1340">
        <v>945</v>
      </c>
      <c r="R1340" s="1" t="s">
        <v>64</v>
      </c>
      <c r="S1340">
        <v>9</v>
      </c>
      <c r="T1340">
        <v>1</v>
      </c>
      <c r="U1340">
        <v>2</v>
      </c>
      <c r="V1340">
        <v>89</v>
      </c>
      <c r="W1340">
        <v>3</v>
      </c>
      <c r="X1340">
        <v>1</v>
      </c>
      <c r="Y1340" s="1" t="s">
        <v>10</v>
      </c>
      <c r="Z1340">
        <v>4</v>
      </c>
      <c r="AA1340">
        <v>1081</v>
      </c>
      <c r="AB1340">
        <v>16019</v>
      </c>
      <c r="AC1340" s="1" t="s">
        <v>19</v>
      </c>
      <c r="AD1340">
        <v>13</v>
      </c>
      <c r="AE1340">
        <v>3</v>
      </c>
      <c r="AF1340">
        <v>3</v>
      </c>
      <c r="AG1340">
        <v>80</v>
      </c>
      <c r="AH1340">
        <v>0</v>
      </c>
      <c r="AI1340">
        <v>2</v>
      </c>
      <c r="AJ1340">
        <v>1</v>
      </c>
      <c r="AK1340" s="1" t="s">
        <v>136</v>
      </c>
    </row>
    <row r="1341" spans="1:37" x14ac:dyDescent="0.25">
      <c r="A1341">
        <v>1878</v>
      </c>
      <c r="B1341">
        <v>22</v>
      </c>
      <c r="C1341" s="1" t="s">
        <v>25</v>
      </c>
      <c r="D1341" s="1" t="s">
        <v>71</v>
      </c>
      <c r="E1341">
        <v>1</v>
      </c>
      <c r="F1341" s="1" t="s">
        <v>134</v>
      </c>
      <c r="G1341">
        <v>1</v>
      </c>
      <c r="H1341" s="1" t="s">
        <v>18</v>
      </c>
      <c r="I1341">
        <v>1</v>
      </c>
      <c r="J1341">
        <v>2</v>
      </c>
      <c r="K1341">
        <v>1</v>
      </c>
      <c r="L1341">
        <v>0</v>
      </c>
      <c r="M1341">
        <v>0</v>
      </c>
      <c r="N1341">
        <v>0</v>
      </c>
      <c r="O1341" s="1" t="s">
        <v>18</v>
      </c>
      <c r="P1341" s="1" t="s">
        <v>135</v>
      </c>
      <c r="Q1341">
        <v>391</v>
      </c>
      <c r="R1341" s="1" t="s">
        <v>63</v>
      </c>
      <c r="S1341">
        <v>7</v>
      </c>
      <c r="T1341">
        <v>1</v>
      </c>
      <c r="U1341">
        <v>4</v>
      </c>
      <c r="V1341">
        <v>75</v>
      </c>
      <c r="W1341">
        <v>3</v>
      </c>
      <c r="X1341">
        <v>1</v>
      </c>
      <c r="Y1341" s="1" t="s">
        <v>5</v>
      </c>
      <c r="Z1341">
        <v>2</v>
      </c>
      <c r="AA1341">
        <v>2472</v>
      </c>
      <c r="AB1341">
        <v>26092</v>
      </c>
      <c r="AC1341" s="1" t="s">
        <v>18</v>
      </c>
      <c r="AD1341">
        <v>23</v>
      </c>
      <c r="AE1341">
        <v>4</v>
      </c>
      <c r="AF1341">
        <v>1</v>
      </c>
      <c r="AG1341">
        <v>80</v>
      </c>
      <c r="AH1341">
        <v>0</v>
      </c>
      <c r="AI1341">
        <v>3</v>
      </c>
      <c r="AJ1341">
        <v>1</v>
      </c>
      <c r="AK1341" s="1" t="s">
        <v>136</v>
      </c>
    </row>
    <row r="1342" spans="1:37" x14ac:dyDescent="0.25">
      <c r="A1342">
        <v>1880</v>
      </c>
      <c r="B1342">
        <v>36</v>
      </c>
      <c r="C1342" s="1" t="s">
        <v>24</v>
      </c>
      <c r="D1342" s="1" t="s">
        <v>70</v>
      </c>
      <c r="E1342">
        <v>4</v>
      </c>
      <c r="F1342" s="1" t="s">
        <v>143</v>
      </c>
      <c r="G1342">
        <v>1</v>
      </c>
      <c r="H1342" s="1" t="s">
        <v>18</v>
      </c>
      <c r="I1342">
        <v>10</v>
      </c>
      <c r="J1342">
        <v>4</v>
      </c>
      <c r="K1342">
        <v>10</v>
      </c>
      <c r="L1342">
        <v>9</v>
      </c>
      <c r="M1342">
        <v>1</v>
      </c>
      <c r="N1342">
        <v>7</v>
      </c>
      <c r="O1342" s="1" t="s">
        <v>19</v>
      </c>
      <c r="P1342" s="1" t="s">
        <v>135</v>
      </c>
      <c r="Q1342">
        <v>1266</v>
      </c>
      <c r="R1342" s="1" t="s">
        <v>64</v>
      </c>
      <c r="S1342">
        <v>10</v>
      </c>
      <c r="T1342">
        <v>1</v>
      </c>
      <c r="U1342">
        <v>2</v>
      </c>
      <c r="V1342">
        <v>63</v>
      </c>
      <c r="W1342">
        <v>2</v>
      </c>
      <c r="X1342">
        <v>2</v>
      </c>
      <c r="Y1342" s="1" t="s">
        <v>4</v>
      </c>
      <c r="Z1342">
        <v>3</v>
      </c>
      <c r="AA1342">
        <v>5673</v>
      </c>
      <c r="AB1342">
        <v>6060</v>
      </c>
      <c r="AC1342" s="1" t="s">
        <v>18</v>
      </c>
      <c r="AD1342">
        <v>13</v>
      </c>
      <c r="AE1342">
        <v>3</v>
      </c>
      <c r="AF1342">
        <v>1</v>
      </c>
      <c r="AG1342">
        <v>80</v>
      </c>
      <c r="AH1342">
        <v>1</v>
      </c>
      <c r="AI1342">
        <v>3</v>
      </c>
      <c r="AJ1342">
        <v>0</v>
      </c>
      <c r="AK1342" s="1" t="s">
        <v>136</v>
      </c>
    </row>
    <row r="1343" spans="1:37" x14ac:dyDescent="0.25">
      <c r="A1343">
        <v>1881</v>
      </c>
      <c r="B1343">
        <v>31</v>
      </c>
      <c r="C1343" s="1" t="s">
        <v>25</v>
      </c>
      <c r="D1343" s="1" t="s">
        <v>69</v>
      </c>
      <c r="E1343">
        <v>3</v>
      </c>
      <c r="F1343" s="1" t="s">
        <v>134</v>
      </c>
      <c r="G1343">
        <v>1</v>
      </c>
      <c r="H1343" s="1" t="s">
        <v>18</v>
      </c>
      <c r="I1343">
        <v>10</v>
      </c>
      <c r="J1343">
        <v>2</v>
      </c>
      <c r="K1343">
        <v>10</v>
      </c>
      <c r="L1343">
        <v>8</v>
      </c>
      <c r="M1343">
        <v>0</v>
      </c>
      <c r="N1343">
        <v>2</v>
      </c>
      <c r="O1343" s="1" t="s">
        <v>19</v>
      </c>
      <c r="P1343" s="1" t="s">
        <v>135</v>
      </c>
      <c r="Q1343">
        <v>311</v>
      </c>
      <c r="R1343" s="1" t="s">
        <v>63</v>
      </c>
      <c r="S1343">
        <v>20</v>
      </c>
      <c r="T1343">
        <v>1</v>
      </c>
      <c r="U1343">
        <v>2</v>
      </c>
      <c r="V1343">
        <v>89</v>
      </c>
      <c r="W1343">
        <v>3</v>
      </c>
      <c r="X1343">
        <v>2</v>
      </c>
      <c r="Y1343" s="1" t="s">
        <v>6</v>
      </c>
      <c r="Z1343">
        <v>3</v>
      </c>
      <c r="AA1343">
        <v>4197</v>
      </c>
      <c r="AB1343">
        <v>18624</v>
      </c>
      <c r="AC1343" s="1" t="s">
        <v>19</v>
      </c>
      <c r="AD1343">
        <v>11</v>
      </c>
      <c r="AE1343">
        <v>3</v>
      </c>
      <c r="AF1343">
        <v>1</v>
      </c>
      <c r="AG1343">
        <v>80</v>
      </c>
      <c r="AH1343">
        <v>1</v>
      </c>
      <c r="AI1343">
        <v>3</v>
      </c>
      <c r="AJ1343">
        <v>0</v>
      </c>
      <c r="AK1343" s="1" t="s">
        <v>136</v>
      </c>
    </row>
    <row r="1344" spans="1:37" x14ac:dyDescent="0.25">
      <c r="A1344">
        <v>1882</v>
      </c>
      <c r="B1344">
        <v>34</v>
      </c>
      <c r="C1344" s="1" t="s">
        <v>25</v>
      </c>
      <c r="D1344" s="1" t="s">
        <v>70</v>
      </c>
      <c r="E1344">
        <v>3</v>
      </c>
      <c r="F1344" s="1" t="s">
        <v>134</v>
      </c>
      <c r="G1344">
        <v>2</v>
      </c>
      <c r="H1344" s="1" t="s">
        <v>18</v>
      </c>
      <c r="I1344">
        <v>9</v>
      </c>
      <c r="J1344">
        <v>3</v>
      </c>
      <c r="K1344">
        <v>5</v>
      </c>
      <c r="L1344">
        <v>3</v>
      </c>
      <c r="M1344">
        <v>1</v>
      </c>
      <c r="N1344">
        <v>0</v>
      </c>
      <c r="O1344" s="1" t="s">
        <v>19</v>
      </c>
      <c r="P1344" s="1" t="s">
        <v>135</v>
      </c>
      <c r="Q1344">
        <v>1480</v>
      </c>
      <c r="R1344" s="1" t="s">
        <v>64</v>
      </c>
      <c r="S1344">
        <v>4</v>
      </c>
      <c r="T1344">
        <v>1</v>
      </c>
      <c r="U1344">
        <v>3</v>
      </c>
      <c r="V1344">
        <v>64</v>
      </c>
      <c r="W1344">
        <v>3</v>
      </c>
      <c r="X1344">
        <v>3</v>
      </c>
      <c r="Y1344" s="1" t="s">
        <v>4</v>
      </c>
      <c r="Z1344">
        <v>4</v>
      </c>
      <c r="AA1344">
        <v>9713</v>
      </c>
      <c r="AB1344">
        <v>24444</v>
      </c>
      <c r="AC1344" s="1" t="s">
        <v>18</v>
      </c>
      <c r="AD1344">
        <v>13</v>
      </c>
      <c r="AE1344">
        <v>3</v>
      </c>
      <c r="AF1344">
        <v>4</v>
      </c>
      <c r="AG1344">
        <v>80</v>
      </c>
      <c r="AH1344">
        <v>3</v>
      </c>
      <c r="AI1344">
        <v>3</v>
      </c>
      <c r="AJ1344">
        <v>0</v>
      </c>
      <c r="AK1344" s="1" t="s">
        <v>136</v>
      </c>
    </row>
    <row r="1345" spans="1:37" x14ac:dyDescent="0.25">
      <c r="A1345">
        <v>1883</v>
      </c>
      <c r="B1345">
        <v>29</v>
      </c>
      <c r="C1345" s="1" t="s">
        <v>25</v>
      </c>
      <c r="D1345" s="1" t="s">
        <v>71</v>
      </c>
      <c r="E1345">
        <v>3</v>
      </c>
      <c r="F1345" s="1" t="s">
        <v>134</v>
      </c>
      <c r="G1345">
        <v>3</v>
      </c>
      <c r="H1345" s="1" t="s">
        <v>18</v>
      </c>
      <c r="I1345">
        <v>11</v>
      </c>
      <c r="J1345">
        <v>2</v>
      </c>
      <c r="K1345">
        <v>3</v>
      </c>
      <c r="L1345">
        <v>2</v>
      </c>
      <c r="M1345">
        <v>1</v>
      </c>
      <c r="N1345">
        <v>2</v>
      </c>
      <c r="O1345" s="1" t="s">
        <v>19</v>
      </c>
      <c r="P1345" s="1" t="s">
        <v>135</v>
      </c>
      <c r="Q1345">
        <v>592</v>
      </c>
      <c r="R1345" s="1" t="s">
        <v>63</v>
      </c>
      <c r="S1345">
        <v>7</v>
      </c>
      <c r="T1345">
        <v>1</v>
      </c>
      <c r="U1345">
        <v>4</v>
      </c>
      <c r="V1345">
        <v>59</v>
      </c>
      <c r="W1345">
        <v>3</v>
      </c>
      <c r="X1345">
        <v>1</v>
      </c>
      <c r="Y1345" s="1" t="s">
        <v>6</v>
      </c>
      <c r="Z1345">
        <v>1</v>
      </c>
      <c r="AA1345">
        <v>2062</v>
      </c>
      <c r="AB1345">
        <v>19384</v>
      </c>
      <c r="AC1345" s="1" t="s">
        <v>19</v>
      </c>
      <c r="AD1345">
        <v>14</v>
      </c>
      <c r="AE1345">
        <v>3</v>
      </c>
      <c r="AF1345">
        <v>2</v>
      </c>
      <c r="AG1345">
        <v>80</v>
      </c>
      <c r="AH1345">
        <v>0</v>
      </c>
      <c r="AI1345">
        <v>3</v>
      </c>
      <c r="AJ1345">
        <v>0</v>
      </c>
      <c r="AK1345" s="1" t="s">
        <v>136</v>
      </c>
    </row>
    <row r="1346" spans="1:37" x14ac:dyDescent="0.25">
      <c r="A1346">
        <v>1885</v>
      </c>
      <c r="B1346">
        <v>37</v>
      </c>
      <c r="C1346" s="1" t="s">
        <v>25</v>
      </c>
      <c r="D1346" s="1" t="s">
        <v>70</v>
      </c>
      <c r="E1346">
        <v>4</v>
      </c>
      <c r="F1346" s="1" t="s">
        <v>139</v>
      </c>
      <c r="G1346">
        <v>5</v>
      </c>
      <c r="H1346" s="1" t="s">
        <v>18</v>
      </c>
      <c r="I1346">
        <v>16</v>
      </c>
      <c r="J1346">
        <v>2</v>
      </c>
      <c r="K1346">
        <v>5</v>
      </c>
      <c r="L1346">
        <v>3</v>
      </c>
      <c r="M1346">
        <v>0</v>
      </c>
      <c r="N1346">
        <v>4</v>
      </c>
      <c r="O1346" s="1" t="s">
        <v>19</v>
      </c>
      <c r="P1346" s="1" t="s">
        <v>135</v>
      </c>
      <c r="Q1346">
        <v>783</v>
      </c>
      <c r="R1346" s="1" t="s">
        <v>63</v>
      </c>
      <c r="S1346">
        <v>7</v>
      </c>
      <c r="T1346">
        <v>1</v>
      </c>
      <c r="U1346">
        <v>4</v>
      </c>
      <c r="V1346">
        <v>78</v>
      </c>
      <c r="W1346">
        <v>3</v>
      </c>
      <c r="X1346">
        <v>2</v>
      </c>
      <c r="Y1346" s="1" t="s">
        <v>5</v>
      </c>
      <c r="Z1346">
        <v>1</v>
      </c>
      <c r="AA1346">
        <v>4284</v>
      </c>
      <c r="AB1346">
        <v>13588</v>
      </c>
      <c r="AC1346" s="1" t="s">
        <v>18</v>
      </c>
      <c r="AD1346">
        <v>22</v>
      </c>
      <c r="AE1346">
        <v>4</v>
      </c>
      <c r="AF1346">
        <v>3</v>
      </c>
      <c r="AG1346">
        <v>80</v>
      </c>
      <c r="AH1346">
        <v>1</v>
      </c>
      <c r="AI1346">
        <v>3</v>
      </c>
      <c r="AJ1346">
        <v>0</v>
      </c>
      <c r="AK1346" s="1" t="s">
        <v>136</v>
      </c>
    </row>
    <row r="1347" spans="1:37" x14ac:dyDescent="0.25">
      <c r="A1347">
        <v>1886</v>
      </c>
      <c r="B1347">
        <v>35</v>
      </c>
      <c r="C1347" s="1" t="s">
        <v>24</v>
      </c>
      <c r="D1347" s="1" t="s">
        <v>70</v>
      </c>
      <c r="E1347">
        <v>2</v>
      </c>
      <c r="F1347" s="1" t="s">
        <v>138</v>
      </c>
      <c r="G1347">
        <v>0</v>
      </c>
      <c r="H1347" s="1" t="s">
        <v>18</v>
      </c>
      <c r="I1347">
        <v>4</v>
      </c>
      <c r="J1347">
        <v>2</v>
      </c>
      <c r="K1347">
        <v>3</v>
      </c>
      <c r="L1347">
        <v>2</v>
      </c>
      <c r="M1347">
        <v>0</v>
      </c>
      <c r="N1347">
        <v>2</v>
      </c>
      <c r="O1347" s="1" t="s">
        <v>19</v>
      </c>
      <c r="P1347" s="1" t="s">
        <v>135</v>
      </c>
      <c r="Q1347">
        <v>219</v>
      </c>
      <c r="R1347" s="1" t="s">
        <v>63</v>
      </c>
      <c r="S1347">
        <v>16</v>
      </c>
      <c r="T1347">
        <v>1</v>
      </c>
      <c r="U1347">
        <v>4</v>
      </c>
      <c r="V1347">
        <v>44</v>
      </c>
      <c r="W1347">
        <v>2</v>
      </c>
      <c r="X1347">
        <v>2</v>
      </c>
      <c r="Y1347" s="1" t="s">
        <v>7</v>
      </c>
      <c r="Z1347">
        <v>2</v>
      </c>
      <c r="AA1347">
        <v>4788</v>
      </c>
      <c r="AB1347">
        <v>25388</v>
      </c>
      <c r="AC1347" s="1" t="s">
        <v>18</v>
      </c>
      <c r="AD1347">
        <v>11</v>
      </c>
      <c r="AE1347">
        <v>3</v>
      </c>
      <c r="AF1347">
        <v>4</v>
      </c>
      <c r="AG1347">
        <v>80</v>
      </c>
      <c r="AH1347">
        <v>0</v>
      </c>
      <c r="AI1347">
        <v>3</v>
      </c>
      <c r="AJ1347">
        <v>0</v>
      </c>
      <c r="AK1347" s="1" t="s">
        <v>136</v>
      </c>
    </row>
    <row r="1348" spans="1:37" x14ac:dyDescent="0.25">
      <c r="A1348">
        <v>1888</v>
      </c>
      <c r="B1348">
        <v>45</v>
      </c>
      <c r="C1348" s="1" t="s">
        <v>24</v>
      </c>
      <c r="D1348" s="1" t="s">
        <v>70</v>
      </c>
      <c r="E1348">
        <v>2</v>
      </c>
      <c r="F1348" s="1" t="s">
        <v>134</v>
      </c>
      <c r="G1348">
        <v>0</v>
      </c>
      <c r="H1348" s="1" t="s">
        <v>18</v>
      </c>
      <c r="I1348">
        <v>10</v>
      </c>
      <c r="J1348">
        <v>2</v>
      </c>
      <c r="K1348">
        <v>9</v>
      </c>
      <c r="L1348">
        <v>8</v>
      </c>
      <c r="M1348">
        <v>3</v>
      </c>
      <c r="N1348">
        <v>8</v>
      </c>
      <c r="O1348" s="1" t="s">
        <v>19</v>
      </c>
      <c r="P1348" s="1" t="s">
        <v>135</v>
      </c>
      <c r="Q1348">
        <v>556</v>
      </c>
      <c r="R1348" s="1" t="s">
        <v>63</v>
      </c>
      <c r="S1348">
        <v>25</v>
      </c>
      <c r="T1348">
        <v>1</v>
      </c>
      <c r="U1348">
        <v>2</v>
      </c>
      <c r="V1348">
        <v>93</v>
      </c>
      <c r="W1348">
        <v>2</v>
      </c>
      <c r="X1348">
        <v>2</v>
      </c>
      <c r="Y1348" s="1" t="s">
        <v>7</v>
      </c>
      <c r="Z1348">
        <v>4</v>
      </c>
      <c r="AA1348">
        <v>5906</v>
      </c>
      <c r="AB1348">
        <v>23888</v>
      </c>
      <c r="AC1348" s="1" t="s">
        <v>19</v>
      </c>
      <c r="AD1348">
        <v>13</v>
      </c>
      <c r="AE1348">
        <v>3</v>
      </c>
      <c r="AF1348">
        <v>4</v>
      </c>
      <c r="AG1348">
        <v>80</v>
      </c>
      <c r="AH1348">
        <v>2</v>
      </c>
      <c r="AI1348">
        <v>2</v>
      </c>
      <c r="AJ1348">
        <v>0</v>
      </c>
      <c r="AK1348" s="1" t="s">
        <v>136</v>
      </c>
    </row>
    <row r="1349" spans="1:37" x14ac:dyDescent="0.25">
      <c r="A1349">
        <v>1890</v>
      </c>
      <c r="B1349">
        <v>36</v>
      </c>
      <c r="C1349" s="1" t="s">
        <v>25</v>
      </c>
      <c r="D1349" s="1" t="s">
        <v>71</v>
      </c>
      <c r="E1349">
        <v>1</v>
      </c>
      <c r="F1349" s="1" t="s">
        <v>12</v>
      </c>
      <c r="G1349">
        <v>1</v>
      </c>
      <c r="H1349" s="1" t="s">
        <v>18</v>
      </c>
      <c r="I1349">
        <v>10</v>
      </c>
      <c r="J1349">
        <v>2</v>
      </c>
      <c r="K1349">
        <v>10</v>
      </c>
      <c r="L1349">
        <v>1</v>
      </c>
      <c r="M1349">
        <v>0</v>
      </c>
      <c r="N1349">
        <v>8</v>
      </c>
      <c r="O1349" s="1" t="s">
        <v>19</v>
      </c>
      <c r="P1349" s="1" t="s">
        <v>137</v>
      </c>
      <c r="Q1349">
        <v>1213</v>
      </c>
      <c r="R1349" s="1" t="s">
        <v>12</v>
      </c>
      <c r="S1349">
        <v>2</v>
      </c>
      <c r="T1349">
        <v>1</v>
      </c>
      <c r="U1349">
        <v>2</v>
      </c>
      <c r="V1349">
        <v>94</v>
      </c>
      <c r="W1349">
        <v>2</v>
      </c>
      <c r="X1349">
        <v>2</v>
      </c>
      <c r="Y1349" s="1" t="s">
        <v>12</v>
      </c>
      <c r="Z1349">
        <v>4</v>
      </c>
      <c r="AA1349">
        <v>3886</v>
      </c>
      <c r="AB1349">
        <v>4223</v>
      </c>
      <c r="AC1349" s="1" t="s">
        <v>19</v>
      </c>
      <c r="AD1349">
        <v>21</v>
      </c>
      <c r="AE1349">
        <v>4</v>
      </c>
      <c r="AF1349">
        <v>4</v>
      </c>
      <c r="AG1349">
        <v>80</v>
      </c>
      <c r="AH1349">
        <v>0</v>
      </c>
      <c r="AI1349">
        <v>2</v>
      </c>
      <c r="AJ1349">
        <v>0</v>
      </c>
      <c r="AK1349" s="1" t="s">
        <v>136</v>
      </c>
    </row>
    <row r="1350" spans="1:37" x14ac:dyDescent="0.25">
      <c r="A1350">
        <v>1892</v>
      </c>
      <c r="B1350">
        <v>40</v>
      </c>
      <c r="C1350" s="1" t="s">
        <v>25</v>
      </c>
      <c r="D1350" s="1" t="s">
        <v>69</v>
      </c>
      <c r="E1350">
        <v>4</v>
      </c>
      <c r="F1350" s="1" t="s">
        <v>134</v>
      </c>
      <c r="G1350">
        <v>2</v>
      </c>
      <c r="H1350" s="1" t="s">
        <v>18</v>
      </c>
      <c r="I1350">
        <v>22</v>
      </c>
      <c r="J1350">
        <v>3</v>
      </c>
      <c r="K1350">
        <v>19</v>
      </c>
      <c r="L1350">
        <v>7</v>
      </c>
      <c r="M1350">
        <v>11</v>
      </c>
      <c r="N1350">
        <v>16</v>
      </c>
      <c r="O1350" s="1" t="s">
        <v>19</v>
      </c>
      <c r="P1350" s="1" t="s">
        <v>135</v>
      </c>
      <c r="Q1350">
        <v>1137</v>
      </c>
      <c r="R1350" s="1" t="s">
        <v>63</v>
      </c>
      <c r="S1350">
        <v>1</v>
      </c>
      <c r="T1350">
        <v>1</v>
      </c>
      <c r="U1350">
        <v>1</v>
      </c>
      <c r="V1350">
        <v>98</v>
      </c>
      <c r="W1350">
        <v>3</v>
      </c>
      <c r="X1350">
        <v>4</v>
      </c>
      <c r="Y1350" s="1" t="s">
        <v>9</v>
      </c>
      <c r="Z1350">
        <v>1</v>
      </c>
      <c r="AA1350">
        <v>16823</v>
      </c>
      <c r="AB1350">
        <v>18991</v>
      </c>
      <c r="AC1350" s="1" t="s">
        <v>19</v>
      </c>
      <c r="AD1350">
        <v>11</v>
      </c>
      <c r="AE1350">
        <v>3</v>
      </c>
      <c r="AF1350">
        <v>1</v>
      </c>
      <c r="AG1350">
        <v>80</v>
      </c>
      <c r="AH1350">
        <v>1</v>
      </c>
      <c r="AI1350">
        <v>3</v>
      </c>
      <c r="AJ1350">
        <v>0</v>
      </c>
      <c r="AK1350" s="1" t="s">
        <v>136</v>
      </c>
    </row>
    <row r="1351" spans="1:37" x14ac:dyDescent="0.25">
      <c r="A1351">
        <v>1893</v>
      </c>
      <c r="B1351">
        <v>26</v>
      </c>
      <c r="C1351" s="1" t="s">
        <v>24</v>
      </c>
      <c r="D1351" s="1" t="s">
        <v>70</v>
      </c>
      <c r="E1351">
        <v>2</v>
      </c>
      <c r="F1351" s="1" t="s">
        <v>134</v>
      </c>
      <c r="G1351">
        <v>1</v>
      </c>
      <c r="H1351" s="1" t="s">
        <v>18</v>
      </c>
      <c r="I1351">
        <v>1</v>
      </c>
      <c r="J1351">
        <v>3</v>
      </c>
      <c r="K1351">
        <v>1</v>
      </c>
      <c r="L1351">
        <v>0</v>
      </c>
      <c r="M1351">
        <v>1</v>
      </c>
      <c r="N1351">
        <v>0</v>
      </c>
      <c r="O1351" s="1" t="s">
        <v>19</v>
      </c>
      <c r="P1351" s="1" t="s">
        <v>135</v>
      </c>
      <c r="Q1351">
        <v>482</v>
      </c>
      <c r="R1351" s="1" t="s">
        <v>63</v>
      </c>
      <c r="S1351">
        <v>1</v>
      </c>
      <c r="T1351">
        <v>1</v>
      </c>
      <c r="U1351">
        <v>2</v>
      </c>
      <c r="V1351">
        <v>90</v>
      </c>
      <c r="W1351">
        <v>2</v>
      </c>
      <c r="X1351">
        <v>1</v>
      </c>
      <c r="Y1351" s="1" t="s">
        <v>5</v>
      </c>
      <c r="Z1351">
        <v>3</v>
      </c>
      <c r="AA1351">
        <v>2933</v>
      </c>
      <c r="AB1351">
        <v>14908</v>
      </c>
      <c r="AC1351" s="1" t="s">
        <v>18</v>
      </c>
      <c r="AD1351">
        <v>13</v>
      </c>
      <c r="AE1351">
        <v>3</v>
      </c>
      <c r="AF1351">
        <v>3</v>
      </c>
      <c r="AG1351">
        <v>80</v>
      </c>
      <c r="AH1351">
        <v>1</v>
      </c>
      <c r="AI1351">
        <v>2</v>
      </c>
      <c r="AJ1351">
        <v>0</v>
      </c>
      <c r="AK1351" s="1" t="s">
        <v>136</v>
      </c>
    </row>
    <row r="1352" spans="1:37" x14ac:dyDescent="0.25">
      <c r="A1352">
        <v>1898</v>
      </c>
      <c r="B1352">
        <v>27</v>
      </c>
      <c r="C1352" s="1" t="s">
        <v>24</v>
      </c>
      <c r="D1352" s="1" t="s">
        <v>71</v>
      </c>
      <c r="E1352">
        <v>2</v>
      </c>
      <c r="F1352" s="1" t="s">
        <v>139</v>
      </c>
      <c r="G1352">
        <v>0</v>
      </c>
      <c r="H1352" s="1" t="s">
        <v>18</v>
      </c>
      <c r="I1352">
        <v>9</v>
      </c>
      <c r="J1352">
        <v>5</v>
      </c>
      <c r="K1352">
        <v>8</v>
      </c>
      <c r="L1352">
        <v>7</v>
      </c>
      <c r="M1352">
        <v>0</v>
      </c>
      <c r="N1352">
        <v>7</v>
      </c>
      <c r="O1352" s="1" t="s">
        <v>19</v>
      </c>
      <c r="P1352" s="1" t="s">
        <v>135</v>
      </c>
      <c r="Q1352">
        <v>511</v>
      </c>
      <c r="R1352" s="1" t="s">
        <v>64</v>
      </c>
      <c r="S1352">
        <v>2</v>
      </c>
      <c r="T1352">
        <v>1</v>
      </c>
      <c r="U1352">
        <v>1</v>
      </c>
      <c r="V1352">
        <v>89</v>
      </c>
      <c r="W1352">
        <v>4</v>
      </c>
      <c r="X1352">
        <v>2</v>
      </c>
      <c r="Y1352" s="1" t="s">
        <v>4</v>
      </c>
      <c r="Z1352">
        <v>3</v>
      </c>
      <c r="AA1352">
        <v>6500</v>
      </c>
      <c r="AB1352">
        <v>26997</v>
      </c>
      <c r="AC1352" s="1" t="s">
        <v>19</v>
      </c>
      <c r="AD1352">
        <v>14</v>
      </c>
      <c r="AE1352">
        <v>3</v>
      </c>
      <c r="AF1352">
        <v>2</v>
      </c>
      <c r="AG1352">
        <v>80</v>
      </c>
      <c r="AH1352">
        <v>0</v>
      </c>
      <c r="AI1352">
        <v>2</v>
      </c>
      <c r="AJ1352">
        <v>0</v>
      </c>
      <c r="AK1352" s="1" t="s">
        <v>136</v>
      </c>
    </row>
    <row r="1353" spans="1:37" x14ac:dyDescent="0.25">
      <c r="A1353">
        <v>1900</v>
      </c>
      <c r="B1353">
        <v>48</v>
      </c>
      <c r="C1353" s="1" t="s">
        <v>24</v>
      </c>
      <c r="D1353" s="1" t="s">
        <v>69</v>
      </c>
      <c r="E1353">
        <v>3</v>
      </c>
      <c r="F1353" s="1" t="s">
        <v>139</v>
      </c>
      <c r="G1353">
        <v>3</v>
      </c>
      <c r="H1353" s="1" t="s">
        <v>18</v>
      </c>
      <c r="I1353">
        <v>24</v>
      </c>
      <c r="J1353">
        <v>3</v>
      </c>
      <c r="K1353">
        <v>22</v>
      </c>
      <c r="L1353">
        <v>17</v>
      </c>
      <c r="M1353">
        <v>4</v>
      </c>
      <c r="N1353">
        <v>7</v>
      </c>
      <c r="O1353" s="1" t="s">
        <v>19</v>
      </c>
      <c r="P1353" s="1" t="s">
        <v>137</v>
      </c>
      <c r="Q1353">
        <v>117</v>
      </c>
      <c r="R1353" s="1" t="s">
        <v>63</v>
      </c>
      <c r="S1353">
        <v>22</v>
      </c>
      <c r="T1353">
        <v>1</v>
      </c>
      <c r="U1353">
        <v>4</v>
      </c>
      <c r="V1353">
        <v>58</v>
      </c>
      <c r="W1353">
        <v>3</v>
      </c>
      <c r="X1353">
        <v>4</v>
      </c>
      <c r="Y1353" s="1" t="s">
        <v>9</v>
      </c>
      <c r="Z1353">
        <v>4</v>
      </c>
      <c r="AA1353">
        <v>17174</v>
      </c>
      <c r="AB1353">
        <v>2437</v>
      </c>
      <c r="AC1353" s="1" t="s">
        <v>19</v>
      </c>
      <c r="AD1353">
        <v>11</v>
      </c>
      <c r="AE1353">
        <v>3</v>
      </c>
      <c r="AF1353">
        <v>2</v>
      </c>
      <c r="AG1353">
        <v>80</v>
      </c>
      <c r="AH1353">
        <v>1</v>
      </c>
      <c r="AI1353">
        <v>3</v>
      </c>
      <c r="AJ1353">
        <v>0</v>
      </c>
      <c r="AK1353" s="1" t="s">
        <v>136</v>
      </c>
    </row>
    <row r="1354" spans="1:37" x14ac:dyDescent="0.25">
      <c r="A1354">
        <v>1903</v>
      </c>
      <c r="B1354">
        <v>44</v>
      </c>
      <c r="C1354" s="1" t="s">
        <v>25</v>
      </c>
      <c r="D1354" s="1" t="s">
        <v>70</v>
      </c>
      <c r="E1354">
        <v>4</v>
      </c>
      <c r="F1354" s="1" t="s">
        <v>134</v>
      </c>
      <c r="G1354">
        <v>2</v>
      </c>
      <c r="H1354" s="1" t="s">
        <v>18</v>
      </c>
      <c r="I1354">
        <v>10</v>
      </c>
      <c r="J1354">
        <v>5</v>
      </c>
      <c r="K1354">
        <v>2</v>
      </c>
      <c r="L1354">
        <v>0</v>
      </c>
      <c r="M1354">
        <v>2</v>
      </c>
      <c r="N1354">
        <v>2</v>
      </c>
      <c r="O1354" s="1" t="s">
        <v>19</v>
      </c>
      <c r="P1354" s="1" t="s">
        <v>135</v>
      </c>
      <c r="Q1354">
        <v>170</v>
      </c>
      <c r="R1354" s="1" t="s">
        <v>63</v>
      </c>
      <c r="S1354">
        <v>1</v>
      </c>
      <c r="T1354">
        <v>1</v>
      </c>
      <c r="U1354">
        <v>2</v>
      </c>
      <c r="V1354">
        <v>78</v>
      </c>
      <c r="W1354">
        <v>4</v>
      </c>
      <c r="X1354">
        <v>2</v>
      </c>
      <c r="Y1354" s="1" t="s">
        <v>8</v>
      </c>
      <c r="Z1354">
        <v>1</v>
      </c>
      <c r="AA1354">
        <v>5033</v>
      </c>
      <c r="AB1354">
        <v>9364</v>
      </c>
      <c r="AC1354" s="1" t="s">
        <v>19</v>
      </c>
      <c r="AD1354">
        <v>15</v>
      </c>
      <c r="AE1354">
        <v>3</v>
      </c>
      <c r="AF1354">
        <v>4</v>
      </c>
      <c r="AG1354">
        <v>80</v>
      </c>
      <c r="AH1354">
        <v>1</v>
      </c>
      <c r="AI1354">
        <v>3</v>
      </c>
      <c r="AJ1354">
        <v>0</v>
      </c>
      <c r="AK1354" s="1" t="s">
        <v>136</v>
      </c>
    </row>
    <row r="1355" spans="1:37" x14ac:dyDescent="0.25">
      <c r="A1355">
        <v>1905</v>
      </c>
      <c r="B1355">
        <v>34</v>
      </c>
      <c r="C1355" s="1" t="s">
        <v>25</v>
      </c>
      <c r="D1355" s="1" t="s">
        <v>70</v>
      </c>
      <c r="E1355">
        <v>4</v>
      </c>
      <c r="F1355" s="1" t="s">
        <v>143</v>
      </c>
      <c r="G1355">
        <v>1</v>
      </c>
      <c r="H1355" s="1" t="s">
        <v>18</v>
      </c>
      <c r="I1355">
        <v>5</v>
      </c>
      <c r="J1355">
        <v>2</v>
      </c>
      <c r="K1355">
        <v>5</v>
      </c>
      <c r="L1355">
        <v>2</v>
      </c>
      <c r="M1355">
        <v>3</v>
      </c>
      <c r="N1355">
        <v>0</v>
      </c>
      <c r="O1355" s="1" t="s">
        <v>18</v>
      </c>
      <c r="P1355" s="1" t="s">
        <v>141</v>
      </c>
      <c r="Q1355">
        <v>967</v>
      </c>
      <c r="R1355" s="1" t="s">
        <v>63</v>
      </c>
      <c r="S1355">
        <v>16</v>
      </c>
      <c r="T1355">
        <v>1</v>
      </c>
      <c r="U1355">
        <v>4</v>
      </c>
      <c r="V1355">
        <v>85</v>
      </c>
      <c r="W1355">
        <v>1</v>
      </c>
      <c r="X1355">
        <v>1</v>
      </c>
      <c r="Y1355" s="1" t="s">
        <v>5</v>
      </c>
      <c r="Z1355">
        <v>1</v>
      </c>
      <c r="AA1355">
        <v>2307</v>
      </c>
      <c r="AB1355">
        <v>14460</v>
      </c>
      <c r="AC1355" s="1" t="s">
        <v>18</v>
      </c>
      <c r="AD1355">
        <v>23</v>
      </c>
      <c r="AE1355">
        <v>4</v>
      </c>
      <c r="AF1355">
        <v>2</v>
      </c>
      <c r="AG1355">
        <v>80</v>
      </c>
      <c r="AH1355">
        <v>1</v>
      </c>
      <c r="AI1355">
        <v>3</v>
      </c>
      <c r="AJ1355">
        <v>1</v>
      </c>
      <c r="AK1355" s="1" t="s">
        <v>136</v>
      </c>
    </row>
    <row r="1356" spans="1:37" x14ac:dyDescent="0.25">
      <c r="A1356">
        <v>1907</v>
      </c>
      <c r="B1356">
        <v>56</v>
      </c>
      <c r="C1356" s="1" t="s">
        <v>25</v>
      </c>
      <c r="D1356" s="1" t="s">
        <v>71</v>
      </c>
      <c r="E1356">
        <v>2</v>
      </c>
      <c r="F1356" s="1" t="s">
        <v>134</v>
      </c>
      <c r="G1356">
        <v>1</v>
      </c>
      <c r="H1356" s="1" t="s">
        <v>18</v>
      </c>
      <c r="I1356">
        <v>5</v>
      </c>
      <c r="J1356">
        <v>3</v>
      </c>
      <c r="K1356">
        <v>4</v>
      </c>
      <c r="L1356">
        <v>2</v>
      </c>
      <c r="M1356">
        <v>1</v>
      </c>
      <c r="N1356">
        <v>0</v>
      </c>
      <c r="O1356" s="1" t="s">
        <v>18</v>
      </c>
      <c r="P1356" s="1" t="s">
        <v>135</v>
      </c>
      <c r="Q1356">
        <v>1162</v>
      </c>
      <c r="R1356" s="1" t="s">
        <v>63</v>
      </c>
      <c r="S1356">
        <v>24</v>
      </c>
      <c r="T1356">
        <v>1</v>
      </c>
      <c r="U1356">
        <v>1</v>
      </c>
      <c r="V1356">
        <v>97</v>
      </c>
      <c r="W1356">
        <v>3</v>
      </c>
      <c r="X1356">
        <v>1</v>
      </c>
      <c r="Y1356" s="1" t="s">
        <v>6</v>
      </c>
      <c r="Z1356">
        <v>4</v>
      </c>
      <c r="AA1356">
        <v>2587</v>
      </c>
      <c r="AB1356">
        <v>10261</v>
      </c>
      <c r="AC1356" s="1" t="s">
        <v>19</v>
      </c>
      <c r="AD1356">
        <v>16</v>
      </c>
      <c r="AE1356">
        <v>3</v>
      </c>
      <c r="AF1356">
        <v>4</v>
      </c>
      <c r="AG1356">
        <v>80</v>
      </c>
      <c r="AH1356">
        <v>0</v>
      </c>
      <c r="AI1356">
        <v>3</v>
      </c>
      <c r="AJ1356">
        <v>1</v>
      </c>
      <c r="AK1356" s="1" t="s">
        <v>140</v>
      </c>
    </row>
    <row r="1357" spans="1:37" x14ac:dyDescent="0.25">
      <c r="A1357">
        <v>1908</v>
      </c>
      <c r="B1357">
        <v>36</v>
      </c>
      <c r="C1357" s="1" t="s">
        <v>25</v>
      </c>
      <c r="D1357" s="1" t="s">
        <v>70</v>
      </c>
      <c r="E1357">
        <v>2</v>
      </c>
      <c r="F1357" s="1" t="s">
        <v>142</v>
      </c>
      <c r="G1357">
        <v>2</v>
      </c>
      <c r="H1357" s="1" t="s">
        <v>18</v>
      </c>
      <c r="I1357">
        <v>12</v>
      </c>
      <c r="J1357">
        <v>1</v>
      </c>
      <c r="K1357">
        <v>4</v>
      </c>
      <c r="L1357">
        <v>2</v>
      </c>
      <c r="M1357">
        <v>1</v>
      </c>
      <c r="N1357">
        <v>3</v>
      </c>
      <c r="O1357" s="1" t="s">
        <v>19</v>
      </c>
      <c r="P1357" s="1" t="s">
        <v>135</v>
      </c>
      <c r="Q1357">
        <v>335</v>
      </c>
      <c r="R1357" s="1" t="s">
        <v>64</v>
      </c>
      <c r="S1357">
        <v>17</v>
      </c>
      <c r="T1357">
        <v>1</v>
      </c>
      <c r="U1357">
        <v>3</v>
      </c>
      <c r="V1357">
        <v>33</v>
      </c>
      <c r="W1357">
        <v>2</v>
      </c>
      <c r="X1357">
        <v>2</v>
      </c>
      <c r="Y1357" s="1" t="s">
        <v>4</v>
      </c>
      <c r="Z1357">
        <v>2</v>
      </c>
      <c r="AA1357">
        <v>5507</v>
      </c>
      <c r="AB1357">
        <v>16822</v>
      </c>
      <c r="AC1357" s="1" t="s">
        <v>19</v>
      </c>
      <c r="AD1357">
        <v>16</v>
      </c>
      <c r="AE1357">
        <v>3</v>
      </c>
      <c r="AF1357">
        <v>3</v>
      </c>
      <c r="AG1357">
        <v>80</v>
      </c>
      <c r="AH1357">
        <v>2</v>
      </c>
      <c r="AI1357">
        <v>1</v>
      </c>
      <c r="AJ1357">
        <v>0</v>
      </c>
      <c r="AK1357" s="1" t="s">
        <v>136</v>
      </c>
    </row>
    <row r="1358" spans="1:37" x14ac:dyDescent="0.25">
      <c r="A1358">
        <v>1909</v>
      </c>
      <c r="B1358">
        <v>41</v>
      </c>
      <c r="C1358" s="1" t="s">
        <v>24</v>
      </c>
      <c r="D1358" s="1" t="s">
        <v>70</v>
      </c>
      <c r="E1358">
        <v>3</v>
      </c>
      <c r="F1358" s="1" t="s">
        <v>142</v>
      </c>
      <c r="G1358">
        <v>5</v>
      </c>
      <c r="H1358" s="1" t="s">
        <v>18</v>
      </c>
      <c r="I1358">
        <v>14</v>
      </c>
      <c r="J1358">
        <v>3</v>
      </c>
      <c r="K1358">
        <v>5</v>
      </c>
      <c r="L1358">
        <v>4</v>
      </c>
      <c r="M1358">
        <v>1</v>
      </c>
      <c r="N1358">
        <v>4</v>
      </c>
      <c r="O1358" s="1" t="s">
        <v>19</v>
      </c>
      <c r="P1358" s="1" t="s">
        <v>135</v>
      </c>
      <c r="Q1358">
        <v>337</v>
      </c>
      <c r="R1358" s="1" t="s">
        <v>64</v>
      </c>
      <c r="S1358">
        <v>8</v>
      </c>
      <c r="T1358">
        <v>1</v>
      </c>
      <c r="U1358">
        <v>3</v>
      </c>
      <c r="V1358">
        <v>54</v>
      </c>
      <c r="W1358">
        <v>3</v>
      </c>
      <c r="X1358">
        <v>2</v>
      </c>
      <c r="Y1358" s="1" t="s">
        <v>4</v>
      </c>
      <c r="Z1358">
        <v>2</v>
      </c>
      <c r="AA1358">
        <v>4393</v>
      </c>
      <c r="AB1358">
        <v>26841</v>
      </c>
      <c r="AC1358" s="1" t="s">
        <v>19</v>
      </c>
      <c r="AD1358">
        <v>21</v>
      </c>
      <c r="AE1358">
        <v>4</v>
      </c>
      <c r="AF1358">
        <v>3</v>
      </c>
      <c r="AG1358">
        <v>80</v>
      </c>
      <c r="AH1358">
        <v>1</v>
      </c>
      <c r="AI1358">
        <v>3</v>
      </c>
      <c r="AJ1358">
        <v>0</v>
      </c>
      <c r="AK1358" s="1" t="s">
        <v>136</v>
      </c>
    </row>
    <row r="1359" spans="1:37" x14ac:dyDescent="0.25">
      <c r="A1359">
        <v>1911</v>
      </c>
      <c r="B1359">
        <v>42</v>
      </c>
      <c r="C1359" s="1" t="s">
        <v>25</v>
      </c>
      <c r="D1359" s="1" t="s">
        <v>70</v>
      </c>
      <c r="E1359">
        <v>3</v>
      </c>
      <c r="F1359" s="1" t="s">
        <v>139</v>
      </c>
      <c r="G1359">
        <v>9</v>
      </c>
      <c r="H1359" s="1" t="s">
        <v>18</v>
      </c>
      <c r="I1359">
        <v>18</v>
      </c>
      <c r="J1359">
        <v>3</v>
      </c>
      <c r="K1359">
        <v>13</v>
      </c>
      <c r="L1359">
        <v>7</v>
      </c>
      <c r="M1359">
        <v>5</v>
      </c>
      <c r="N1359">
        <v>7</v>
      </c>
      <c r="O1359" s="1" t="s">
        <v>19</v>
      </c>
      <c r="P1359" s="1" t="s">
        <v>135</v>
      </c>
      <c r="Q1359">
        <v>1396</v>
      </c>
      <c r="R1359" s="1" t="s">
        <v>63</v>
      </c>
      <c r="S1359">
        <v>6</v>
      </c>
      <c r="T1359">
        <v>1</v>
      </c>
      <c r="U1359">
        <v>3</v>
      </c>
      <c r="V1359">
        <v>83</v>
      </c>
      <c r="W1359">
        <v>3</v>
      </c>
      <c r="X1359">
        <v>3</v>
      </c>
      <c r="Y1359" s="1" t="s">
        <v>11</v>
      </c>
      <c r="Z1359">
        <v>1</v>
      </c>
      <c r="AA1359">
        <v>13348</v>
      </c>
      <c r="AB1359">
        <v>14842</v>
      </c>
      <c r="AC1359" s="1" t="s">
        <v>19</v>
      </c>
      <c r="AD1359">
        <v>13</v>
      </c>
      <c r="AE1359">
        <v>3</v>
      </c>
      <c r="AF1359">
        <v>2</v>
      </c>
      <c r="AG1359">
        <v>80</v>
      </c>
      <c r="AH1359">
        <v>1</v>
      </c>
      <c r="AI1359">
        <v>4</v>
      </c>
      <c r="AJ1359">
        <v>0</v>
      </c>
      <c r="AK1359" s="1" t="s">
        <v>136</v>
      </c>
    </row>
    <row r="1360" spans="1:37" x14ac:dyDescent="0.25">
      <c r="A1360">
        <v>1912</v>
      </c>
      <c r="B1360">
        <v>31</v>
      </c>
      <c r="C1360" s="1" t="s">
        <v>24</v>
      </c>
      <c r="D1360" s="1" t="s">
        <v>69</v>
      </c>
      <c r="E1360">
        <v>2</v>
      </c>
      <c r="F1360" s="1" t="s">
        <v>139</v>
      </c>
      <c r="G1360">
        <v>2</v>
      </c>
      <c r="H1360" s="1" t="s">
        <v>18</v>
      </c>
      <c r="I1360">
        <v>8</v>
      </c>
      <c r="J1360">
        <v>2</v>
      </c>
      <c r="K1360">
        <v>5</v>
      </c>
      <c r="L1360">
        <v>2</v>
      </c>
      <c r="M1360">
        <v>1</v>
      </c>
      <c r="N1360">
        <v>4</v>
      </c>
      <c r="O1360" s="1" t="s">
        <v>19</v>
      </c>
      <c r="P1360" s="1" t="s">
        <v>135</v>
      </c>
      <c r="Q1360">
        <v>1079</v>
      </c>
      <c r="R1360" s="1" t="s">
        <v>64</v>
      </c>
      <c r="S1360">
        <v>10</v>
      </c>
      <c r="T1360">
        <v>1</v>
      </c>
      <c r="U1360">
        <v>3</v>
      </c>
      <c r="V1360">
        <v>86</v>
      </c>
      <c r="W1360">
        <v>3</v>
      </c>
      <c r="X1360">
        <v>2</v>
      </c>
      <c r="Y1360" s="1" t="s">
        <v>4</v>
      </c>
      <c r="Z1360">
        <v>4</v>
      </c>
      <c r="AA1360">
        <v>6583</v>
      </c>
      <c r="AB1360">
        <v>20115</v>
      </c>
      <c r="AC1360" s="1" t="s">
        <v>18</v>
      </c>
      <c r="AD1360">
        <v>11</v>
      </c>
      <c r="AE1360">
        <v>3</v>
      </c>
      <c r="AF1360">
        <v>4</v>
      </c>
      <c r="AG1360">
        <v>80</v>
      </c>
      <c r="AH1360">
        <v>1</v>
      </c>
      <c r="AI1360">
        <v>3</v>
      </c>
      <c r="AJ1360">
        <v>0</v>
      </c>
      <c r="AK1360" s="1" t="s">
        <v>136</v>
      </c>
    </row>
    <row r="1361" spans="1:37" x14ac:dyDescent="0.25">
      <c r="A1361">
        <v>1915</v>
      </c>
      <c r="B1361">
        <v>34</v>
      </c>
      <c r="C1361" s="1" t="s">
        <v>24</v>
      </c>
      <c r="D1361" s="1" t="s">
        <v>70</v>
      </c>
      <c r="E1361">
        <v>1</v>
      </c>
      <c r="F1361" s="1" t="s">
        <v>139</v>
      </c>
      <c r="G1361">
        <v>3</v>
      </c>
      <c r="H1361" s="1" t="s">
        <v>18</v>
      </c>
      <c r="I1361">
        <v>9</v>
      </c>
      <c r="J1361">
        <v>3</v>
      </c>
      <c r="K1361">
        <v>4</v>
      </c>
      <c r="L1361">
        <v>2</v>
      </c>
      <c r="M1361">
        <v>0</v>
      </c>
      <c r="N1361">
        <v>1</v>
      </c>
      <c r="O1361" s="1" t="s">
        <v>19</v>
      </c>
      <c r="P1361" s="1" t="s">
        <v>135</v>
      </c>
      <c r="Q1361">
        <v>735</v>
      </c>
      <c r="R1361" s="1" t="s">
        <v>64</v>
      </c>
      <c r="S1361">
        <v>3</v>
      </c>
      <c r="T1361">
        <v>1</v>
      </c>
      <c r="U1361">
        <v>4</v>
      </c>
      <c r="V1361">
        <v>75</v>
      </c>
      <c r="W1361">
        <v>2</v>
      </c>
      <c r="X1361">
        <v>2</v>
      </c>
      <c r="Y1361" s="1" t="s">
        <v>4</v>
      </c>
      <c r="Z1361">
        <v>4</v>
      </c>
      <c r="AA1361">
        <v>8103</v>
      </c>
      <c r="AB1361">
        <v>16495</v>
      </c>
      <c r="AC1361" s="1" t="s">
        <v>18</v>
      </c>
      <c r="AD1361">
        <v>12</v>
      </c>
      <c r="AE1361">
        <v>3</v>
      </c>
      <c r="AF1361">
        <v>3</v>
      </c>
      <c r="AG1361">
        <v>80</v>
      </c>
      <c r="AH1361">
        <v>0</v>
      </c>
      <c r="AI1361">
        <v>2</v>
      </c>
      <c r="AJ1361">
        <v>0</v>
      </c>
      <c r="AK1361" s="1" t="s">
        <v>136</v>
      </c>
    </row>
    <row r="1362" spans="1:37" x14ac:dyDescent="0.25">
      <c r="A1362">
        <v>1916</v>
      </c>
      <c r="B1362">
        <v>31</v>
      </c>
      <c r="C1362" s="1" t="s">
        <v>24</v>
      </c>
      <c r="D1362" s="1" t="s">
        <v>69</v>
      </c>
      <c r="E1362">
        <v>3</v>
      </c>
      <c r="F1362" s="1" t="s">
        <v>139</v>
      </c>
      <c r="G1362">
        <v>8</v>
      </c>
      <c r="H1362" s="1" t="s">
        <v>18</v>
      </c>
      <c r="I1362">
        <v>4</v>
      </c>
      <c r="J1362">
        <v>0</v>
      </c>
      <c r="K1362">
        <v>2</v>
      </c>
      <c r="L1362">
        <v>2</v>
      </c>
      <c r="M1362">
        <v>2</v>
      </c>
      <c r="N1362">
        <v>2</v>
      </c>
      <c r="O1362" s="1" t="s">
        <v>19</v>
      </c>
      <c r="P1362" s="1" t="s">
        <v>135</v>
      </c>
      <c r="Q1362">
        <v>471</v>
      </c>
      <c r="R1362" s="1" t="s">
        <v>63</v>
      </c>
      <c r="S1362">
        <v>4</v>
      </c>
      <c r="T1362">
        <v>1</v>
      </c>
      <c r="U1362">
        <v>1</v>
      </c>
      <c r="V1362">
        <v>62</v>
      </c>
      <c r="W1362">
        <v>4</v>
      </c>
      <c r="X1362">
        <v>1</v>
      </c>
      <c r="Y1362" s="1" t="s">
        <v>6</v>
      </c>
      <c r="Z1362">
        <v>3</v>
      </c>
      <c r="AA1362">
        <v>3978</v>
      </c>
      <c r="AB1362">
        <v>16031</v>
      </c>
      <c r="AC1362" s="1" t="s">
        <v>19</v>
      </c>
      <c r="AD1362">
        <v>12</v>
      </c>
      <c r="AE1362">
        <v>3</v>
      </c>
      <c r="AF1362">
        <v>2</v>
      </c>
      <c r="AG1362">
        <v>80</v>
      </c>
      <c r="AH1362">
        <v>1</v>
      </c>
      <c r="AI1362">
        <v>2</v>
      </c>
      <c r="AJ1362">
        <v>0</v>
      </c>
      <c r="AK1362" s="1" t="s">
        <v>136</v>
      </c>
    </row>
    <row r="1363" spans="1:37" x14ac:dyDescent="0.25">
      <c r="A1363">
        <v>1918</v>
      </c>
      <c r="B1363">
        <v>26</v>
      </c>
      <c r="C1363" s="1" t="s">
        <v>25</v>
      </c>
      <c r="D1363" s="1" t="s">
        <v>70</v>
      </c>
      <c r="E1363">
        <v>3</v>
      </c>
      <c r="F1363" s="1" t="s">
        <v>138</v>
      </c>
      <c r="G1363">
        <v>0</v>
      </c>
      <c r="H1363" s="1" t="s">
        <v>18</v>
      </c>
      <c r="I1363">
        <v>8</v>
      </c>
      <c r="J1363">
        <v>3</v>
      </c>
      <c r="K1363">
        <v>7</v>
      </c>
      <c r="L1363">
        <v>7</v>
      </c>
      <c r="M1363">
        <v>7</v>
      </c>
      <c r="N1363">
        <v>7</v>
      </c>
      <c r="O1363" s="1" t="s">
        <v>19</v>
      </c>
      <c r="P1363" s="1" t="s">
        <v>137</v>
      </c>
      <c r="Q1363">
        <v>1096</v>
      </c>
      <c r="R1363" s="1" t="s">
        <v>63</v>
      </c>
      <c r="S1363">
        <v>6</v>
      </c>
      <c r="T1363">
        <v>1</v>
      </c>
      <c r="U1363">
        <v>3</v>
      </c>
      <c r="V1363">
        <v>61</v>
      </c>
      <c r="W1363">
        <v>4</v>
      </c>
      <c r="X1363">
        <v>1</v>
      </c>
      <c r="Y1363" s="1" t="s">
        <v>6</v>
      </c>
      <c r="Z1363">
        <v>4</v>
      </c>
      <c r="AA1363">
        <v>2544</v>
      </c>
      <c r="AB1363">
        <v>7102</v>
      </c>
      <c r="AC1363" s="1" t="s">
        <v>19</v>
      </c>
      <c r="AD1363">
        <v>18</v>
      </c>
      <c r="AE1363">
        <v>3</v>
      </c>
      <c r="AF1363">
        <v>1</v>
      </c>
      <c r="AG1363">
        <v>80</v>
      </c>
      <c r="AH1363">
        <v>1</v>
      </c>
      <c r="AI1363">
        <v>3</v>
      </c>
      <c r="AJ1363">
        <v>0</v>
      </c>
      <c r="AK1363" s="1" t="s">
        <v>136</v>
      </c>
    </row>
    <row r="1364" spans="1:37" x14ac:dyDescent="0.25">
      <c r="A1364">
        <v>1922</v>
      </c>
      <c r="B1364">
        <v>45</v>
      </c>
      <c r="C1364" s="1" t="s">
        <v>25</v>
      </c>
      <c r="D1364" s="1" t="s">
        <v>71</v>
      </c>
      <c r="E1364">
        <v>4</v>
      </c>
      <c r="F1364" s="1" t="s">
        <v>139</v>
      </c>
      <c r="G1364">
        <v>4</v>
      </c>
      <c r="H1364" s="1" t="s">
        <v>18</v>
      </c>
      <c r="I1364">
        <v>12</v>
      </c>
      <c r="J1364">
        <v>3</v>
      </c>
      <c r="K1364">
        <v>4</v>
      </c>
      <c r="L1364">
        <v>2</v>
      </c>
      <c r="M1364">
        <v>0</v>
      </c>
      <c r="N1364">
        <v>3</v>
      </c>
      <c r="O1364" s="1" t="s">
        <v>19</v>
      </c>
      <c r="P1364" s="1" t="s">
        <v>137</v>
      </c>
      <c r="Q1364">
        <v>1297</v>
      </c>
      <c r="R1364" s="1" t="s">
        <v>63</v>
      </c>
      <c r="S1364">
        <v>1</v>
      </c>
      <c r="T1364">
        <v>1</v>
      </c>
      <c r="U1364">
        <v>2</v>
      </c>
      <c r="V1364">
        <v>44</v>
      </c>
      <c r="W1364">
        <v>3</v>
      </c>
      <c r="X1364">
        <v>2</v>
      </c>
      <c r="Y1364" s="1" t="s">
        <v>8</v>
      </c>
      <c r="Z1364">
        <v>3</v>
      </c>
      <c r="AA1364">
        <v>5399</v>
      </c>
      <c r="AB1364">
        <v>14511</v>
      </c>
      <c r="AC1364" s="1" t="s">
        <v>19</v>
      </c>
      <c r="AD1364">
        <v>12</v>
      </c>
      <c r="AE1364">
        <v>3</v>
      </c>
      <c r="AF1364">
        <v>3</v>
      </c>
      <c r="AG1364">
        <v>80</v>
      </c>
      <c r="AH1364">
        <v>0</v>
      </c>
      <c r="AI1364">
        <v>3</v>
      </c>
      <c r="AJ1364">
        <v>0</v>
      </c>
      <c r="AK1364" s="1" t="s">
        <v>136</v>
      </c>
    </row>
    <row r="1365" spans="1:37" x14ac:dyDescent="0.25">
      <c r="A1365">
        <v>1924</v>
      </c>
      <c r="B1365">
        <v>33</v>
      </c>
      <c r="C1365" s="1" t="s">
        <v>25</v>
      </c>
      <c r="D1365" s="1" t="s">
        <v>71</v>
      </c>
      <c r="E1365">
        <v>4</v>
      </c>
      <c r="F1365" s="1" t="s">
        <v>142</v>
      </c>
      <c r="G1365">
        <v>1</v>
      </c>
      <c r="H1365" s="1" t="s">
        <v>18</v>
      </c>
      <c r="I1365">
        <v>10</v>
      </c>
      <c r="J1365">
        <v>2</v>
      </c>
      <c r="K1365">
        <v>10</v>
      </c>
      <c r="L1365">
        <v>4</v>
      </c>
      <c r="M1365">
        <v>0</v>
      </c>
      <c r="N1365">
        <v>9</v>
      </c>
      <c r="O1365" s="1" t="s">
        <v>19</v>
      </c>
      <c r="P1365" s="1" t="s">
        <v>135</v>
      </c>
      <c r="Q1365">
        <v>217</v>
      </c>
      <c r="R1365" s="1" t="s">
        <v>64</v>
      </c>
      <c r="S1365">
        <v>10</v>
      </c>
      <c r="T1365">
        <v>1</v>
      </c>
      <c r="U1365">
        <v>2</v>
      </c>
      <c r="V1365">
        <v>43</v>
      </c>
      <c r="W1365">
        <v>3</v>
      </c>
      <c r="X1365">
        <v>2</v>
      </c>
      <c r="Y1365" s="1" t="s">
        <v>4</v>
      </c>
      <c r="Z1365">
        <v>3</v>
      </c>
      <c r="AA1365">
        <v>5487</v>
      </c>
      <c r="AB1365">
        <v>10410</v>
      </c>
      <c r="AC1365" s="1" t="s">
        <v>19</v>
      </c>
      <c r="AD1365">
        <v>14</v>
      </c>
      <c r="AE1365">
        <v>3</v>
      </c>
      <c r="AF1365">
        <v>2</v>
      </c>
      <c r="AG1365">
        <v>80</v>
      </c>
      <c r="AH1365">
        <v>0</v>
      </c>
      <c r="AI1365">
        <v>2</v>
      </c>
      <c r="AJ1365">
        <v>0</v>
      </c>
      <c r="AK1365" s="1" t="s">
        <v>136</v>
      </c>
    </row>
    <row r="1366" spans="1:37" x14ac:dyDescent="0.25">
      <c r="A1366">
        <v>1927</v>
      </c>
      <c r="B1366">
        <v>28</v>
      </c>
      <c r="C1366" s="1" t="s">
        <v>25</v>
      </c>
      <c r="D1366" s="1" t="s">
        <v>70</v>
      </c>
      <c r="E1366">
        <v>2</v>
      </c>
      <c r="F1366" s="1" t="s">
        <v>134</v>
      </c>
      <c r="G1366">
        <v>1</v>
      </c>
      <c r="H1366" s="1" t="s">
        <v>18</v>
      </c>
      <c r="I1366">
        <v>7</v>
      </c>
      <c r="J1366">
        <v>2</v>
      </c>
      <c r="K1366">
        <v>7</v>
      </c>
      <c r="L1366">
        <v>7</v>
      </c>
      <c r="M1366">
        <v>0</v>
      </c>
      <c r="N1366">
        <v>7</v>
      </c>
      <c r="O1366" s="1" t="s">
        <v>19</v>
      </c>
      <c r="P1366" s="1" t="s">
        <v>137</v>
      </c>
      <c r="Q1366">
        <v>783</v>
      </c>
      <c r="R1366" s="1" t="s">
        <v>64</v>
      </c>
      <c r="S1366">
        <v>1</v>
      </c>
      <c r="T1366">
        <v>1</v>
      </c>
      <c r="U1366">
        <v>3</v>
      </c>
      <c r="V1366">
        <v>42</v>
      </c>
      <c r="W1366">
        <v>2</v>
      </c>
      <c r="X1366">
        <v>2</v>
      </c>
      <c r="Y1366" s="1" t="s">
        <v>4</v>
      </c>
      <c r="Z1366">
        <v>4</v>
      </c>
      <c r="AA1366">
        <v>6834</v>
      </c>
      <c r="AB1366">
        <v>19255</v>
      </c>
      <c r="AC1366" s="1" t="s">
        <v>18</v>
      </c>
      <c r="AD1366">
        <v>12</v>
      </c>
      <c r="AE1366">
        <v>3</v>
      </c>
      <c r="AF1366">
        <v>3</v>
      </c>
      <c r="AG1366">
        <v>80</v>
      </c>
      <c r="AH1366">
        <v>1</v>
      </c>
      <c r="AI1366">
        <v>3</v>
      </c>
      <c r="AJ1366">
        <v>0</v>
      </c>
      <c r="AK1366" s="1" t="s">
        <v>136</v>
      </c>
    </row>
    <row r="1367" spans="1:37" x14ac:dyDescent="0.25">
      <c r="A1367">
        <v>1928</v>
      </c>
      <c r="B1367">
        <v>29</v>
      </c>
      <c r="C1367" s="1" t="s">
        <v>25</v>
      </c>
      <c r="D1367" s="1" t="s">
        <v>71</v>
      </c>
      <c r="E1367">
        <v>3</v>
      </c>
      <c r="F1367" s="1" t="s">
        <v>143</v>
      </c>
      <c r="G1367">
        <v>1</v>
      </c>
      <c r="H1367" s="1" t="s">
        <v>18</v>
      </c>
      <c r="I1367">
        <v>1</v>
      </c>
      <c r="J1367">
        <v>3</v>
      </c>
      <c r="K1367">
        <v>1</v>
      </c>
      <c r="L1367">
        <v>0</v>
      </c>
      <c r="M1367">
        <v>0</v>
      </c>
      <c r="N1367">
        <v>0</v>
      </c>
      <c r="O1367" s="1" t="s">
        <v>18</v>
      </c>
      <c r="P1367" s="1" t="s">
        <v>137</v>
      </c>
      <c r="Q1367">
        <v>746</v>
      </c>
      <c r="R1367" s="1" t="s">
        <v>64</v>
      </c>
      <c r="S1367">
        <v>24</v>
      </c>
      <c r="T1367">
        <v>1</v>
      </c>
      <c r="U1367">
        <v>3</v>
      </c>
      <c r="V1367">
        <v>45</v>
      </c>
      <c r="W1367">
        <v>4</v>
      </c>
      <c r="X1367">
        <v>1</v>
      </c>
      <c r="Y1367" s="1" t="s">
        <v>10</v>
      </c>
      <c r="Z1367">
        <v>1</v>
      </c>
      <c r="AA1367">
        <v>1091</v>
      </c>
      <c r="AB1367">
        <v>10642</v>
      </c>
      <c r="AC1367" s="1" t="s">
        <v>19</v>
      </c>
      <c r="AD1367">
        <v>17</v>
      </c>
      <c r="AE1367">
        <v>3</v>
      </c>
      <c r="AF1367">
        <v>4</v>
      </c>
      <c r="AG1367">
        <v>80</v>
      </c>
      <c r="AH1367">
        <v>0</v>
      </c>
      <c r="AI1367">
        <v>3</v>
      </c>
      <c r="AJ1367">
        <v>1</v>
      </c>
      <c r="AK1367" s="1" t="s">
        <v>136</v>
      </c>
    </row>
    <row r="1368" spans="1:37" x14ac:dyDescent="0.25">
      <c r="A1368">
        <v>1929</v>
      </c>
      <c r="B1368">
        <v>39</v>
      </c>
      <c r="C1368" s="1" t="s">
        <v>24</v>
      </c>
      <c r="D1368" s="1" t="s">
        <v>70</v>
      </c>
      <c r="E1368">
        <v>4</v>
      </c>
      <c r="F1368" s="1" t="s">
        <v>134</v>
      </c>
      <c r="G1368">
        <v>6</v>
      </c>
      <c r="H1368" s="1" t="s">
        <v>18</v>
      </c>
      <c r="I1368">
        <v>10</v>
      </c>
      <c r="J1368">
        <v>1</v>
      </c>
      <c r="K1368">
        <v>3</v>
      </c>
      <c r="L1368">
        <v>2</v>
      </c>
      <c r="M1368">
        <v>1</v>
      </c>
      <c r="N1368">
        <v>2</v>
      </c>
      <c r="O1368" s="1" t="s">
        <v>19</v>
      </c>
      <c r="P1368" s="1" t="s">
        <v>141</v>
      </c>
      <c r="Q1368">
        <v>1251</v>
      </c>
      <c r="R1368" s="1" t="s">
        <v>64</v>
      </c>
      <c r="S1368">
        <v>21</v>
      </c>
      <c r="T1368">
        <v>1</v>
      </c>
      <c r="U1368">
        <v>1</v>
      </c>
      <c r="V1368">
        <v>32</v>
      </c>
      <c r="W1368">
        <v>1</v>
      </c>
      <c r="X1368">
        <v>2</v>
      </c>
      <c r="Y1368" s="1" t="s">
        <v>4</v>
      </c>
      <c r="Z1368">
        <v>3</v>
      </c>
      <c r="AA1368">
        <v>5736</v>
      </c>
      <c r="AB1368">
        <v>3987</v>
      </c>
      <c r="AC1368" s="1" t="s">
        <v>19</v>
      </c>
      <c r="AD1368">
        <v>19</v>
      </c>
      <c r="AE1368">
        <v>3</v>
      </c>
      <c r="AF1368">
        <v>3</v>
      </c>
      <c r="AG1368">
        <v>80</v>
      </c>
      <c r="AH1368">
        <v>1</v>
      </c>
      <c r="AI1368">
        <v>3</v>
      </c>
      <c r="AJ1368">
        <v>0</v>
      </c>
      <c r="AK1368" s="1" t="s">
        <v>136</v>
      </c>
    </row>
    <row r="1369" spans="1:37" x14ac:dyDescent="0.25">
      <c r="A1369">
        <v>1931</v>
      </c>
      <c r="B1369">
        <v>27</v>
      </c>
      <c r="C1369" s="1" t="s">
        <v>25</v>
      </c>
      <c r="D1369" s="1" t="s">
        <v>70</v>
      </c>
      <c r="E1369">
        <v>4</v>
      </c>
      <c r="F1369" s="1" t="s">
        <v>143</v>
      </c>
      <c r="G1369">
        <v>1</v>
      </c>
      <c r="H1369" s="1" t="s">
        <v>18</v>
      </c>
      <c r="I1369">
        <v>6</v>
      </c>
      <c r="J1369">
        <v>3</v>
      </c>
      <c r="K1369">
        <v>5</v>
      </c>
      <c r="L1369">
        <v>3</v>
      </c>
      <c r="M1369">
        <v>1</v>
      </c>
      <c r="N1369">
        <v>2</v>
      </c>
      <c r="O1369" s="1" t="s">
        <v>19</v>
      </c>
      <c r="P1369" s="1" t="s">
        <v>135</v>
      </c>
      <c r="Q1369">
        <v>1354</v>
      </c>
      <c r="R1369" s="1" t="s">
        <v>63</v>
      </c>
      <c r="S1369">
        <v>2</v>
      </c>
      <c r="T1369">
        <v>1</v>
      </c>
      <c r="U1369">
        <v>2</v>
      </c>
      <c r="V1369">
        <v>41</v>
      </c>
      <c r="W1369">
        <v>3</v>
      </c>
      <c r="X1369">
        <v>1</v>
      </c>
      <c r="Y1369" s="1" t="s">
        <v>5</v>
      </c>
      <c r="Z1369">
        <v>2</v>
      </c>
      <c r="AA1369">
        <v>2226</v>
      </c>
      <c r="AB1369">
        <v>6073</v>
      </c>
      <c r="AC1369" s="1" t="s">
        <v>19</v>
      </c>
      <c r="AD1369">
        <v>11</v>
      </c>
      <c r="AE1369">
        <v>3</v>
      </c>
      <c r="AF1369">
        <v>3</v>
      </c>
      <c r="AG1369">
        <v>80</v>
      </c>
      <c r="AH1369">
        <v>1</v>
      </c>
      <c r="AI1369">
        <v>2</v>
      </c>
      <c r="AJ1369">
        <v>0</v>
      </c>
      <c r="AK1369" s="1" t="s">
        <v>136</v>
      </c>
    </row>
    <row r="1370" spans="1:37" x14ac:dyDescent="0.25">
      <c r="A1370">
        <v>1932</v>
      </c>
      <c r="B1370">
        <v>34</v>
      </c>
      <c r="C1370" s="1" t="s">
        <v>25</v>
      </c>
      <c r="D1370" s="1" t="s">
        <v>70</v>
      </c>
      <c r="E1370">
        <v>4</v>
      </c>
      <c r="F1370" s="1" t="s">
        <v>138</v>
      </c>
      <c r="G1370">
        <v>1</v>
      </c>
      <c r="H1370" s="1" t="s">
        <v>18</v>
      </c>
      <c r="I1370">
        <v>16</v>
      </c>
      <c r="J1370">
        <v>3</v>
      </c>
      <c r="K1370">
        <v>15</v>
      </c>
      <c r="L1370">
        <v>10</v>
      </c>
      <c r="M1370">
        <v>6</v>
      </c>
      <c r="N1370">
        <v>11</v>
      </c>
      <c r="O1370" s="1" t="s">
        <v>19</v>
      </c>
      <c r="P1370" s="1" t="s">
        <v>137</v>
      </c>
      <c r="Q1370">
        <v>735</v>
      </c>
      <c r="R1370" s="1" t="s">
        <v>63</v>
      </c>
      <c r="S1370">
        <v>22</v>
      </c>
      <c r="T1370">
        <v>1</v>
      </c>
      <c r="U1370">
        <v>3</v>
      </c>
      <c r="V1370">
        <v>86</v>
      </c>
      <c r="W1370">
        <v>2</v>
      </c>
      <c r="X1370">
        <v>2</v>
      </c>
      <c r="Y1370" s="1" t="s">
        <v>5</v>
      </c>
      <c r="Z1370">
        <v>4</v>
      </c>
      <c r="AA1370">
        <v>5747</v>
      </c>
      <c r="AB1370">
        <v>26496</v>
      </c>
      <c r="AC1370" s="1" t="s">
        <v>18</v>
      </c>
      <c r="AD1370">
        <v>15</v>
      </c>
      <c r="AE1370">
        <v>3</v>
      </c>
      <c r="AF1370">
        <v>2</v>
      </c>
      <c r="AG1370">
        <v>80</v>
      </c>
      <c r="AH1370">
        <v>0</v>
      </c>
      <c r="AI1370">
        <v>3</v>
      </c>
      <c r="AJ1370">
        <v>0</v>
      </c>
      <c r="AK1370" s="1" t="s">
        <v>136</v>
      </c>
    </row>
    <row r="1371" spans="1:37" x14ac:dyDescent="0.25">
      <c r="A1371">
        <v>1933</v>
      </c>
      <c r="B1371">
        <v>28</v>
      </c>
      <c r="C1371" s="1" t="s">
        <v>24</v>
      </c>
      <c r="D1371" s="1" t="s">
        <v>71</v>
      </c>
      <c r="E1371">
        <v>2</v>
      </c>
      <c r="F1371" s="1" t="s">
        <v>142</v>
      </c>
      <c r="G1371">
        <v>3</v>
      </c>
      <c r="H1371" s="1" t="s">
        <v>18</v>
      </c>
      <c r="I1371">
        <v>6</v>
      </c>
      <c r="J1371">
        <v>0</v>
      </c>
      <c r="K1371">
        <v>2</v>
      </c>
      <c r="L1371">
        <v>0</v>
      </c>
      <c r="M1371">
        <v>2</v>
      </c>
      <c r="N1371">
        <v>2</v>
      </c>
      <c r="O1371" s="1" t="s">
        <v>18</v>
      </c>
      <c r="P1371" s="1" t="s">
        <v>135</v>
      </c>
      <c r="Q1371">
        <v>1475</v>
      </c>
      <c r="R1371" s="1" t="s">
        <v>64</v>
      </c>
      <c r="S1371">
        <v>13</v>
      </c>
      <c r="T1371">
        <v>1</v>
      </c>
      <c r="U1371">
        <v>4</v>
      </c>
      <c r="V1371">
        <v>84</v>
      </c>
      <c r="W1371">
        <v>3</v>
      </c>
      <c r="X1371">
        <v>2</v>
      </c>
      <c r="Y1371" s="1" t="s">
        <v>4</v>
      </c>
      <c r="Z1371">
        <v>3</v>
      </c>
      <c r="AA1371">
        <v>9854</v>
      </c>
      <c r="AB1371">
        <v>23352</v>
      </c>
      <c r="AC1371" s="1" t="s">
        <v>18</v>
      </c>
      <c r="AD1371">
        <v>11</v>
      </c>
      <c r="AE1371">
        <v>3</v>
      </c>
      <c r="AF1371">
        <v>4</v>
      </c>
      <c r="AG1371">
        <v>80</v>
      </c>
      <c r="AH1371">
        <v>0</v>
      </c>
      <c r="AI1371">
        <v>3</v>
      </c>
      <c r="AJ1371">
        <v>1</v>
      </c>
      <c r="AK1371" s="1" t="s">
        <v>136</v>
      </c>
    </row>
    <row r="1372" spans="1:37" x14ac:dyDescent="0.25">
      <c r="A1372">
        <v>1934</v>
      </c>
      <c r="B1372">
        <v>47</v>
      </c>
      <c r="C1372" s="1" t="s">
        <v>25</v>
      </c>
      <c r="D1372" s="1" t="s">
        <v>70</v>
      </c>
      <c r="E1372">
        <v>4</v>
      </c>
      <c r="F1372" s="1" t="s">
        <v>143</v>
      </c>
      <c r="G1372">
        <v>8</v>
      </c>
      <c r="H1372" s="1" t="s">
        <v>18</v>
      </c>
      <c r="I1372">
        <v>16</v>
      </c>
      <c r="J1372">
        <v>4</v>
      </c>
      <c r="K1372">
        <v>8</v>
      </c>
      <c r="L1372">
        <v>7</v>
      </c>
      <c r="M1372">
        <v>1</v>
      </c>
      <c r="N1372">
        <v>7</v>
      </c>
      <c r="O1372" s="1" t="s">
        <v>19</v>
      </c>
      <c r="P1372" s="1" t="s">
        <v>141</v>
      </c>
      <c r="Q1372">
        <v>1169</v>
      </c>
      <c r="R1372" s="1" t="s">
        <v>63</v>
      </c>
      <c r="S1372">
        <v>14</v>
      </c>
      <c r="T1372">
        <v>1</v>
      </c>
      <c r="U1372">
        <v>3</v>
      </c>
      <c r="V1372">
        <v>64</v>
      </c>
      <c r="W1372">
        <v>3</v>
      </c>
      <c r="X1372">
        <v>2</v>
      </c>
      <c r="Y1372" s="1" t="s">
        <v>5</v>
      </c>
      <c r="Z1372">
        <v>2</v>
      </c>
      <c r="AA1372">
        <v>5467</v>
      </c>
      <c r="AB1372">
        <v>2125</v>
      </c>
      <c r="AC1372" s="1" t="s">
        <v>19</v>
      </c>
      <c r="AD1372">
        <v>18</v>
      </c>
      <c r="AE1372">
        <v>3</v>
      </c>
      <c r="AF1372">
        <v>3</v>
      </c>
      <c r="AG1372">
        <v>80</v>
      </c>
      <c r="AH1372">
        <v>1</v>
      </c>
      <c r="AI1372">
        <v>4</v>
      </c>
      <c r="AJ1372">
        <v>0</v>
      </c>
      <c r="AK1372" s="1" t="s">
        <v>136</v>
      </c>
    </row>
    <row r="1373" spans="1:37" x14ac:dyDescent="0.25">
      <c r="A1373">
        <v>1935</v>
      </c>
      <c r="B1373">
        <v>56</v>
      </c>
      <c r="C1373" s="1" t="s">
        <v>24</v>
      </c>
      <c r="D1373" s="1" t="s">
        <v>70</v>
      </c>
      <c r="E1373">
        <v>5</v>
      </c>
      <c r="F1373" s="1" t="s">
        <v>142</v>
      </c>
      <c r="G1373">
        <v>4</v>
      </c>
      <c r="H1373" s="1" t="s">
        <v>18</v>
      </c>
      <c r="I1373">
        <v>6</v>
      </c>
      <c r="J1373">
        <v>3</v>
      </c>
      <c r="K1373">
        <v>0</v>
      </c>
      <c r="L1373">
        <v>0</v>
      </c>
      <c r="M1373">
        <v>0</v>
      </c>
      <c r="N1373">
        <v>0</v>
      </c>
      <c r="O1373" s="1" t="s">
        <v>19</v>
      </c>
      <c r="P1373" s="1" t="s">
        <v>135</v>
      </c>
      <c r="Q1373">
        <v>1443</v>
      </c>
      <c r="R1373" s="1" t="s">
        <v>64</v>
      </c>
      <c r="S1373">
        <v>11</v>
      </c>
      <c r="T1373">
        <v>1</v>
      </c>
      <c r="U1373">
        <v>4</v>
      </c>
      <c r="V1373">
        <v>89</v>
      </c>
      <c r="W1373">
        <v>2</v>
      </c>
      <c r="X1373">
        <v>2</v>
      </c>
      <c r="Y1373" s="1" t="s">
        <v>4</v>
      </c>
      <c r="Z1373">
        <v>1</v>
      </c>
      <c r="AA1373">
        <v>5380</v>
      </c>
      <c r="AB1373">
        <v>20328</v>
      </c>
      <c r="AC1373" s="1" t="s">
        <v>19</v>
      </c>
      <c r="AD1373">
        <v>16</v>
      </c>
      <c r="AE1373">
        <v>3</v>
      </c>
      <c r="AF1373">
        <v>3</v>
      </c>
      <c r="AG1373">
        <v>80</v>
      </c>
      <c r="AH1373">
        <v>1</v>
      </c>
      <c r="AI1373">
        <v>3</v>
      </c>
      <c r="AJ1373">
        <v>0</v>
      </c>
      <c r="AK1373" s="1" t="s">
        <v>140</v>
      </c>
    </row>
    <row r="1374" spans="1:37" x14ac:dyDescent="0.25">
      <c r="A1374">
        <v>1936</v>
      </c>
      <c r="B1374">
        <v>39</v>
      </c>
      <c r="C1374" s="1" t="s">
        <v>25</v>
      </c>
      <c r="D1374" s="1" t="s">
        <v>70</v>
      </c>
      <c r="E1374">
        <v>2</v>
      </c>
      <c r="F1374" s="1" t="s">
        <v>139</v>
      </c>
      <c r="G1374">
        <v>1</v>
      </c>
      <c r="H1374" s="1" t="s">
        <v>18</v>
      </c>
      <c r="I1374">
        <v>10</v>
      </c>
      <c r="J1374">
        <v>3</v>
      </c>
      <c r="K1374">
        <v>10</v>
      </c>
      <c r="L1374">
        <v>0</v>
      </c>
      <c r="M1374">
        <v>7</v>
      </c>
      <c r="N1374">
        <v>9</v>
      </c>
      <c r="O1374" s="1" t="s">
        <v>19</v>
      </c>
      <c r="P1374" s="1" t="s">
        <v>135</v>
      </c>
      <c r="Q1374">
        <v>867</v>
      </c>
      <c r="R1374" s="1" t="s">
        <v>63</v>
      </c>
      <c r="S1374">
        <v>9</v>
      </c>
      <c r="T1374">
        <v>1</v>
      </c>
      <c r="U1374">
        <v>1</v>
      </c>
      <c r="V1374">
        <v>87</v>
      </c>
      <c r="W1374">
        <v>3</v>
      </c>
      <c r="X1374">
        <v>2</v>
      </c>
      <c r="Y1374" s="1" t="s">
        <v>7</v>
      </c>
      <c r="Z1374">
        <v>1</v>
      </c>
      <c r="AA1374">
        <v>5151</v>
      </c>
      <c r="AB1374">
        <v>12315</v>
      </c>
      <c r="AC1374" s="1" t="s">
        <v>19</v>
      </c>
      <c r="AD1374">
        <v>25</v>
      </c>
      <c r="AE1374">
        <v>4</v>
      </c>
      <c r="AF1374">
        <v>4</v>
      </c>
      <c r="AG1374">
        <v>80</v>
      </c>
      <c r="AH1374">
        <v>1</v>
      </c>
      <c r="AI1374">
        <v>3</v>
      </c>
      <c r="AJ1374">
        <v>0</v>
      </c>
      <c r="AK1374" s="1" t="s">
        <v>136</v>
      </c>
    </row>
    <row r="1375" spans="1:37" x14ac:dyDescent="0.25">
      <c r="A1375">
        <v>1937</v>
      </c>
      <c r="B1375">
        <v>38</v>
      </c>
      <c r="C1375" s="1" t="s">
        <v>24</v>
      </c>
      <c r="D1375" s="1" t="s">
        <v>69</v>
      </c>
      <c r="E1375">
        <v>3</v>
      </c>
      <c r="F1375" s="1" t="s">
        <v>139</v>
      </c>
      <c r="G1375">
        <v>1</v>
      </c>
      <c r="H1375" s="1" t="s">
        <v>18</v>
      </c>
      <c r="I1375">
        <v>20</v>
      </c>
      <c r="J1375">
        <v>3</v>
      </c>
      <c r="K1375">
        <v>20</v>
      </c>
      <c r="L1375">
        <v>11</v>
      </c>
      <c r="M1375">
        <v>0</v>
      </c>
      <c r="N1375">
        <v>7</v>
      </c>
      <c r="O1375" s="1" t="s">
        <v>19</v>
      </c>
      <c r="P1375" s="1" t="s">
        <v>137</v>
      </c>
      <c r="Q1375">
        <v>1394</v>
      </c>
      <c r="R1375" s="1" t="s">
        <v>63</v>
      </c>
      <c r="S1375">
        <v>8</v>
      </c>
      <c r="T1375">
        <v>1</v>
      </c>
      <c r="U1375">
        <v>4</v>
      </c>
      <c r="V1375">
        <v>58</v>
      </c>
      <c r="W1375">
        <v>2</v>
      </c>
      <c r="X1375">
        <v>2</v>
      </c>
      <c r="Y1375" s="1" t="s">
        <v>5</v>
      </c>
      <c r="Z1375">
        <v>2</v>
      </c>
      <c r="AA1375">
        <v>2133</v>
      </c>
      <c r="AB1375">
        <v>18115</v>
      </c>
      <c r="AC1375" s="1" t="s">
        <v>18</v>
      </c>
      <c r="AD1375">
        <v>16</v>
      </c>
      <c r="AE1375">
        <v>3</v>
      </c>
      <c r="AF1375">
        <v>3</v>
      </c>
      <c r="AG1375">
        <v>80</v>
      </c>
      <c r="AH1375">
        <v>1</v>
      </c>
      <c r="AI1375">
        <v>3</v>
      </c>
      <c r="AJ1375">
        <v>0</v>
      </c>
      <c r="AK1375" s="1" t="s">
        <v>136</v>
      </c>
    </row>
    <row r="1376" spans="1:37" x14ac:dyDescent="0.25">
      <c r="A1376">
        <v>1938</v>
      </c>
      <c r="B1376">
        <v>58</v>
      </c>
      <c r="C1376" s="1" t="s">
        <v>24</v>
      </c>
      <c r="D1376" s="1" t="s">
        <v>70</v>
      </c>
      <c r="E1376">
        <v>3</v>
      </c>
      <c r="F1376" s="1" t="s">
        <v>134</v>
      </c>
      <c r="G1376">
        <v>4</v>
      </c>
      <c r="H1376" s="1" t="s">
        <v>18</v>
      </c>
      <c r="I1376">
        <v>29</v>
      </c>
      <c r="J1376">
        <v>2</v>
      </c>
      <c r="K1376">
        <v>1</v>
      </c>
      <c r="L1376">
        <v>0</v>
      </c>
      <c r="M1376">
        <v>0</v>
      </c>
      <c r="N1376">
        <v>0</v>
      </c>
      <c r="O1376" s="1" t="s">
        <v>19</v>
      </c>
      <c r="P1376" s="1" t="s">
        <v>135</v>
      </c>
      <c r="Q1376">
        <v>605</v>
      </c>
      <c r="R1376" s="1" t="s">
        <v>64</v>
      </c>
      <c r="S1376">
        <v>21</v>
      </c>
      <c r="T1376">
        <v>1</v>
      </c>
      <c r="U1376">
        <v>4</v>
      </c>
      <c r="V1376">
        <v>72</v>
      </c>
      <c r="W1376">
        <v>3</v>
      </c>
      <c r="X1376">
        <v>4</v>
      </c>
      <c r="Y1376" s="1" t="s">
        <v>9</v>
      </c>
      <c r="Z1376">
        <v>4</v>
      </c>
      <c r="AA1376">
        <v>17875</v>
      </c>
      <c r="AB1376">
        <v>11761</v>
      </c>
      <c r="AC1376" s="1" t="s">
        <v>18</v>
      </c>
      <c r="AD1376">
        <v>13</v>
      </c>
      <c r="AE1376">
        <v>3</v>
      </c>
      <c r="AF1376">
        <v>3</v>
      </c>
      <c r="AG1376">
        <v>80</v>
      </c>
      <c r="AH1376">
        <v>1</v>
      </c>
      <c r="AI1376">
        <v>2</v>
      </c>
      <c r="AJ1376">
        <v>0</v>
      </c>
      <c r="AK1376" s="1" t="s">
        <v>140</v>
      </c>
    </row>
    <row r="1377" spans="1:37" x14ac:dyDescent="0.25">
      <c r="A1377">
        <v>1939</v>
      </c>
      <c r="B1377">
        <v>32</v>
      </c>
      <c r="C1377" s="1" t="s">
        <v>24</v>
      </c>
      <c r="D1377" s="1" t="s">
        <v>71</v>
      </c>
      <c r="E1377">
        <v>2</v>
      </c>
      <c r="F1377" s="1" t="s">
        <v>134</v>
      </c>
      <c r="G1377">
        <v>3</v>
      </c>
      <c r="H1377" s="1" t="s">
        <v>18</v>
      </c>
      <c r="I1377">
        <v>8</v>
      </c>
      <c r="J1377">
        <v>2</v>
      </c>
      <c r="K1377">
        <v>4</v>
      </c>
      <c r="L1377">
        <v>1</v>
      </c>
      <c r="M1377">
        <v>0</v>
      </c>
      <c r="N1377">
        <v>3</v>
      </c>
      <c r="O1377" s="1" t="s">
        <v>18</v>
      </c>
      <c r="P1377" s="1" t="s">
        <v>137</v>
      </c>
      <c r="Q1377">
        <v>238</v>
      </c>
      <c r="R1377" s="1" t="s">
        <v>63</v>
      </c>
      <c r="S1377">
        <v>5</v>
      </c>
      <c r="T1377">
        <v>1</v>
      </c>
      <c r="U1377">
        <v>1</v>
      </c>
      <c r="V1377">
        <v>47</v>
      </c>
      <c r="W1377">
        <v>4</v>
      </c>
      <c r="X1377">
        <v>1</v>
      </c>
      <c r="Y1377" s="1" t="s">
        <v>5</v>
      </c>
      <c r="Z1377">
        <v>3</v>
      </c>
      <c r="AA1377">
        <v>2432</v>
      </c>
      <c r="AB1377">
        <v>15318</v>
      </c>
      <c r="AC1377" s="1" t="s">
        <v>18</v>
      </c>
      <c r="AD1377">
        <v>14</v>
      </c>
      <c r="AE1377">
        <v>3</v>
      </c>
      <c r="AF1377">
        <v>1</v>
      </c>
      <c r="AG1377">
        <v>80</v>
      </c>
      <c r="AH1377">
        <v>0</v>
      </c>
      <c r="AI1377">
        <v>3</v>
      </c>
      <c r="AJ1377">
        <v>1</v>
      </c>
      <c r="AK1377" s="1" t="s">
        <v>136</v>
      </c>
    </row>
    <row r="1378" spans="1:37" x14ac:dyDescent="0.25">
      <c r="A1378">
        <v>1940</v>
      </c>
      <c r="B1378">
        <v>38</v>
      </c>
      <c r="C1378" s="1" t="s">
        <v>25</v>
      </c>
      <c r="D1378" s="1" t="s">
        <v>69</v>
      </c>
      <c r="E1378">
        <v>2</v>
      </c>
      <c r="F1378" s="1" t="s">
        <v>134</v>
      </c>
      <c r="G1378">
        <v>2</v>
      </c>
      <c r="H1378" s="1" t="s">
        <v>18</v>
      </c>
      <c r="I1378">
        <v>10</v>
      </c>
      <c r="J1378">
        <v>0</v>
      </c>
      <c r="K1378">
        <v>5</v>
      </c>
      <c r="L1378">
        <v>2</v>
      </c>
      <c r="M1378">
        <v>0</v>
      </c>
      <c r="N1378">
        <v>3</v>
      </c>
      <c r="O1378" s="1" t="s">
        <v>19</v>
      </c>
      <c r="P1378" s="1" t="s">
        <v>135</v>
      </c>
      <c r="Q1378">
        <v>1206</v>
      </c>
      <c r="R1378" s="1" t="s">
        <v>63</v>
      </c>
      <c r="S1378">
        <v>9</v>
      </c>
      <c r="T1378">
        <v>1</v>
      </c>
      <c r="U1378">
        <v>2</v>
      </c>
      <c r="V1378">
        <v>71</v>
      </c>
      <c r="W1378">
        <v>3</v>
      </c>
      <c r="X1378">
        <v>1</v>
      </c>
      <c r="Y1378" s="1" t="s">
        <v>5</v>
      </c>
      <c r="Z1378">
        <v>4</v>
      </c>
      <c r="AA1378">
        <v>4771</v>
      </c>
      <c r="AB1378">
        <v>14293</v>
      </c>
      <c r="AC1378" s="1" t="s">
        <v>19</v>
      </c>
      <c r="AD1378">
        <v>19</v>
      </c>
      <c r="AE1378">
        <v>3</v>
      </c>
      <c r="AF1378">
        <v>4</v>
      </c>
      <c r="AG1378">
        <v>80</v>
      </c>
      <c r="AH1378">
        <v>2</v>
      </c>
      <c r="AI1378">
        <v>4</v>
      </c>
      <c r="AJ1378">
        <v>0</v>
      </c>
      <c r="AK1378" s="1" t="s">
        <v>136</v>
      </c>
    </row>
    <row r="1379" spans="1:37" x14ac:dyDescent="0.25">
      <c r="A1379">
        <v>1941</v>
      </c>
      <c r="B1379">
        <v>49</v>
      </c>
      <c r="C1379" s="1" t="s">
        <v>25</v>
      </c>
      <c r="D1379" s="1" t="s">
        <v>70</v>
      </c>
      <c r="E1379">
        <v>1</v>
      </c>
      <c r="F1379" s="1" t="s">
        <v>134</v>
      </c>
      <c r="G1379">
        <v>3</v>
      </c>
      <c r="H1379" s="1" t="s">
        <v>18</v>
      </c>
      <c r="I1379">
        <v>28</v>
      </c>
      <c r="J1379">
        <v>3</v>
      </c>
      <c r="K1379">
        <v>5</v>
      </c>
      <c r="L1379">
        <v>4</v>
      </c>
      <c r="M1379">
        <v>4</v>
      </c>
      <c r="N1379">
        <v>3</v>
      </c>
      <c r="O1379" s="1" t="s">
        <v>19</v>
      </c>
      <c r="P1379" s="1" t="s">
        <v>137</v>
      </c>
      <c r="Q1379">
        <v>1064</v>
      </c>
      <c r="R1379" s="1" t="s">
        <v>63</v>
      </c>
      <c r="S1379">
        <v>2</v>
      </c>
      <c r="T1379">
        <v>1</v>
      </c>
      <c r="U1379">
        <v>2</v>
      </c>
      <c r="V1379">
        <v>42</v>
      </c>
      <c r="W1379">
        <v>3</v>
      </c>
      <c r="X1379">
        <v>5</v>
      </c>
      <c r="Y1379" s="1" t="s">
        <v>11</v>
      </c>
      <c r="Z1379">
        <v>4</v>
      </c>
      <c r="AA1379">
        <v>19161</v>
      </c>
      <c r="AB1379">
        <v>13738</v>
      </c>
      <c r="AC1379" s="1" t="s">
        <v>19</v>
      </c>
      <c r="AD1379">
        <v>15</v>
      </c>
      <c r="AE1379">
        <v>3</v>
      </c>
      <c r="AF1379">
        <v>4</v>
      </c>
      <c r="AG1379">
        <v>80</v>
      </c>
      <c r="AH1379">
        <v>0</v>
      </c>
      <c r="AI1379">
        <v>3</v>
      </c>
      <c r="AJ1379">
        <v>0</v>
      </c>
      <c r="AK1379" s="1" t="s">
        <v>136</v>
      </c>
    </row>
    <row r="1380" spans="1:37" x14ac:dyDescent="0.25">
      <c r="A1380">
        <v>1943</v>
      </c>
      <c r="B1380">
        <v>42</v>
      </c>
      <c r="C1380" s="1" t="s">
        <v>25</v>
      </c>
      <c r="D1380" s="1" t="s">
        <v>69</v>
      </c>
      <c r="E1380">
        <v>4</v>
      </c>
      <c r="F1380" s="1" t="s">
        <v>142</v>
      </c>
      <c r="G1380">
        <v>3</v>
      </c>
      <c r="H1380" s="1" t="s">
        <v>18</v>
      </c>
      <c r="I1380">
        <v>14</v>
      </c>
      <c r="J1380">
        <v>4</v>
      </c>
      <c r="K1380">
        <v>0</v>
      </c>
      <c r="L1380">
        <v>0</v>
      </c>
      <c r="M1380">
        <v>0</v>
      </c>
      <c r="N1380">
        <v>0</v>
      </c>
      <c r="O1380" s="1" t="s">
        <v>19</v>
      </c>
      <c r="P1380" s="1" t="s">
        <v>135</v>
      </c>
      <c r="Q1380">
        <v>419</v>
      </c>
      <c r="R1380" s="1" t="s">
        <v>64</v>
      </c>
      <c r="S1380">
        <v>12</v>
      </c>
      <c r="T1380">
        <v>1</v>
      </c>
      <c r="U1380">
        <v>2</v>
      </c>
      <c r="V1380">
        <v>77</v>
      </c>
      <c r="W1380">
        <v>3</v>
      </c>
      <c r="X1380">
        <v>2</v>
      </c>
      <c r="Y1380" s="1" t="s">
        <v>4</v>
      </c>
      <c r="Z1380">
        <v>4</v>
      </c>
      <c r="AA1380">
        <v>5087</v>
      </c>
      <c r="AB1380">
        <v>2900</v>
      </c>
      <c r="AC1380" s="1" t="s">
        <v>18</v>
      </c>
      <c r="AD1380">
        <v>12</v>
      </c>
      <c r="AE1380">
        <v>3</v>
      </c>
      <c r="AF1380">
        <v>3</v>
      </c>
      <c r="AG1380">
        <v>80</v>
      </c>
      <c r="AH1380">
        <v>2</v>
      </c>
      <c r="AI1380">
        <v>3</v>
      </c>
      <c r="AJ1380">
        <v>0</v>
      </c>
      <c r="AK1380" s="1" t="s">
        <v>136</v>
      </c>
    </row>
    <row r="1381" spans="1:37" x14ac:dyDescent="0.25">
      <c r="A1381">
        <v>1944</v>
      </c>
      <c r="B1381">
        <v>27</v>
      </c>
      <c r="C1381" s="1" t="s">
        <v>24</v>
      </c>
      <c r="D1381" s="1" t="s">
        <v>70</v>
      </c>
      <c r="E1381">
        <v>3</v>
      </c>
      <c r="F1381" s="1" t="s">
        <v>12</v>
      </c>
      <c r="G1381">
        <v>1</v>
      </c>
      <c r="H1381" s="1" t="s">
        <v>18</v>
      </c>
      <c r="I1381">
        <v>1</v>
      </c>
      <c r="J1381">
        <v>2</v>
      </c>
      <c r="K1381">
        <v>1</v>
      </c>
      <c r="L1381">
        <v>0</v>
      </c>
      <c r="M1381">
        <v>0</v>
      </c>
      <c r="N1381">
        <v>0</v>
      </c>
      <c r="O1381" s="1" t="s">
        <v>18</v>
      </c>
      <c r="P1381" s="1" t="s">
        <v>137</v>
      </c>
      <c r="Q1381">
        <v>1337</v>
      </c>
      <c r="R1381" s="1" t="s">
        <v>12</v>
      </c>
      <c r="S1381">
        <v>22</v>
      </c>
      <c r="T1381">
        <v>1</v>
      </c>
      <c r="U1381">
        <v>1</v>
      </c>
      <c r="V1381">
        <v>58</v>
      </c>
      <c r="W1381">
        <v>2</v>
      </c>
      <c r="X1381">
        <v>1</v>
      </c>
      <c r="Y1381" s="1" t="s">
        <v>12</v>
      </c>
      <c r="Z1381">
        <v>2</v>
      </c>
      <c r="AA1381">
        <v>2863</v>
      </c>
      <c r="AB1381">
        <v>19555</v>
      </c>
      <c r="AC1381" s="1" t="s">
        <v>19</v>
      </c>
      <c r="AD1381">
        <v>12</v>
      </c>
      <c r="AE1381">
        <v>3</v>
      </c>
      <c r="AF1381">
        <v>1</v>
      </c>
      <c r="AG1381">
        <v>80</v>
      </c>
      <c r="AH1381">
        <v>0</v>
      </c>
      <c r="AI1381">
        <v>3</v>
      </c>
      <c r="AJ1381">
        <v>1</v>
      </c>
      <c r="AK1381" s="1" t="s">
        <v>136</v>
      </c>
    </row>
    <row r="1382" spans="1:37" x14ac:dyDescent="0.25">
      <c r="A1382">
        <v>1945</v>
      </c>
      <c r="B1382">
        <v>35</v>
      </c>
      <c r="C1382" s="1" t="s">
        <v>25</v>
      </c>
      <c r="D1382" s="1" t="s">
        <v>70</v>
      </c>
      <c r="E1382">
        <v>4</v>
      </c>
      <c r="F1382" s="1" t="s">
        <v>139</v>
      </c>
      <c r="G1382">
        <v>0</v>
      </c>
      <c r="H1382" s="1" t="s">
        <v>18</v>
      </c>
      <c r="I1382">
        <v>6</v>
      </c>
      <c r="J1382">
        <v>2</v>
      </c>
      <c r="K1382">
        <v>5</v>
      </c>
      <c r="L1382">
        <v>3</v>
      </c>
      <c r="M1382">
        <v>0</v>
      </c>
      <c r="N1382">
        <v>4</v>
      </c>
      <c r="O1382" s="1" t="s">
        <v>19</v>
      </c>
      <c r="P1382" s="1" t="s">
        <v>135</v>
      </c>
      <c r="Q1382">
        <v>682</v>
      </c>
      <c r="R1382" s="1" t="s">
        <v>64</v>
      </c>
      <c r="S1382">
        <v>18</v>
      </c>
      <c r="T1382">
        <v>1</v>
      </c>
      <c r="U1382">
        <v>2</v>
      </c>
      <c r="V1382">
        <v>71</v>
      </c>
      <c r="W1382">
        <v>3</v>
      </c>
      <c r="X1382">
        <v>2</v>
      </c>
      <c r="Y1382" s="1" t="s">
        <v>4</v>
      </c>
      <c r="Z1382">
        <v>1</v>
      </c>
      <c r="AA1382">
        <v>5561</v>
      </c>
      <c r="AB1382">
        <v>15975</v>
      </c>
      <c r="AC1382" s="1" t="s">
        <v>19</v>
      </c>
      <c r="AD1382">
        <v>16</v>
      </c>
      <c r="AE1382">
        <v>3</v>
      </c>
      <c r="AF1382">
        <v>4</v>
      </c>
      <c r="AG1382">
        <v>80</v>
      </c>
      <c r="AH1382">
        <v>1</v>
      </c>
      <c r="AI1382">
        <v>1</v>
      </c>
      <c r="AJ1382">
        <v>0</v>
      </c>
      <c r="AK1382" s="1" t="s">
        <v>136</v>
      </c>
    </row>
    <row r="1383" spans="1:37" x14ac:dyDescent="0.25">
      <c r="A1383">
        <v>1947</v>
      </c>
      <c r="B1383">
        <v>28</v>
      </c>
      <c r="C1383" s="1" t="s">
        <v>25</v>
      </c>
      <c r="D1383" s="1" t="s">
        <v>71</v>
      </c>
      <c r="E1383">
        <v>3</v>
      </c>
      <c r="F1383" s="1" t="s">
        <v>139</v>
      </c>
      <c r="G1383">
        <v>1</v>
      </c>
      <c r="H1383" s="1" t="s">
        <v>18</v>
      </c>
      <c r="I1383">
        <v>5</v>
      </c>
      <c r="J1383">
        <v>3</v>
      </c>
      <c r="K1383">
        <v>5</v>
      </c>
      <c r="L1383">
        <v>3</v>
      </c>
      <c r="M1383">
        <v>1</v>
      </c>
      <c r="N1383">
        <v>4</v>
      </c>
      <c r="O1383" s="1" t="s">
        <v>19</v>
      </c>
      <c r="P1383" s="1" t="s">
        <v>141</v>
      </c>
      <c r="Q1383">
        <v>1103</v>
      </c>
      <c r="R1383" s="1" t="s">
        <v>63</v>
      </c>
      <c r="S1383">
        <v>16</v>
      </c>
      <c r="T1383">
        <v>1</v>
      </c>
      <c r="U1383">
        <v>3</v>
      </c>
      <c r="V1383">
        <v>49</v>
      </c>
      <c r="W1383">
        <v>3</v>
      </c>
      <c r="X1383">
        <v>1</v>
      </c>
      <c r="Y1383" s="1" t="s">
        <v>5</v>
      </c>
      <c r="Z1383">
        <v>3</v>
      </c>
      <c r="AA1383">
        <v>2144</v>
      </c>
      <c r="AB1383">
        <v>2122</v>
      </c>
      <c r="AC1383" s="1" t="s">
        <v>19</v>
      </c>
      <c r="AD1383">
        <v>14</v>
      </c>
      <c r="AE1383">
        <v>3</v>
      </c>
      <c r="AF1383">
        <v>3</v>
      </c>
      <c r="AG1383">
        <v>80</v>
      </c>
      <c r="AH1383">
        <v>0</v>
      </c>
      <c r="AI1383">
        <v>2</v>
      </c>
      <c r="AJ1383">
        <v>0</v>
      </c>
      <c r="AK1383" s="1" t="s">
        <v>136</v>
      </c>
    </row>
    <row r="1384" spans="1:37" x14ac:dyDescent="0.25">
      <c r="A1384">
        <v>1948</v>
      </c>
      <c r="B1384">
        <v>31</v>
      </c>
      <c r="C1384" s="1" t="s">
        <v>25</v>
      </c>
      <c r="D1384" s="1" t="s">
        <v>69</v>
      </c>
      <c r="E1384">
        <v>2</v>
      </c>
      <c r="F1384" s="1" t="s">
        <v>139</v>
      </c>
      <c r="G1384">
        <v>1</v>
      </c>
      <c r="H1384" s="1" t="s">
        <v>18</v>
      </c>
      <c r="I1384">
        <v>4</v>
      </c>
      <c r="J1384">
        <v>3</v>
      </c>
      <c r="K1384">
        <v>4</v>
      </c>
      <c r="L1384">
        <v>2</v>
      </c>
      <c r="M1384">
        <v>2</v>
      </c>
      <c r="N1384">
        <v>3</v>
      </c>
      <c r="O1384" s="1" t="s">
        <v>19</v>
      </c>
      <c r="P1384" s="1" t="s">
        <v>141</v>
      </c>
      <c r="Q1384">
        <v>976</v>
      </c>
      <c r="R1384" s="1" t="s">
        <v>63</v>
      </c>
      <c r="S1384">
        <v>3</v>
      </c>
      <c r="T1384">
        <v>1</v>
      </c>
      <c r="U1384">
        <v>3</v>
      </c>
      <c r="V1384">
        <v>48</v>
      </c>
      <c r="W1384">
        <v>3</v>
      </c>
      <c r="X1384">
        <v>1</v>
      </c>
      <c r="Y1384" s="1" t="s">
        <v>5</v>
      </c>
      <c r="Z1384">
        <v>1</v>
      </c>
      <c r="AA1384">
        <v>3065</v>
      </c>
      <c r="AB1384">
        <v>3995</v>
      </c>
      <c r="AC1384" s="1" t="s">
        <v>18</v>
      </c>
      <c r="AD1384">
        <v>13</v>
      </c>
      <c r="AE1384">
        <v>3</v>
      </c>
      <c r="AF1384">
        <v>4</v>
      </c>
      <c r="AG1384">
        <v>80</v>
      </c>
      <c r="AH1384">
        <v>1</v>
      </c>
      <c r="AI1384">
        <v>4</v>
      </c>
      <c r="AJ1384">
        <v>0</v>
      </c>
      <c r="AK1384" s="1" t="s">
        <v>136</v>
      </c>
    </row>
    <row r="1385" spans="1:37" x14ac:dyDescent="0.25">
      <c r="A1385">
        <v>1949</v>
      </c>
      <c r="B1385">
        <v>36</v>
      </c>
      <c r="C1385" s="1" t="s">
        <v>25</v>
      </c>
      <c r="D1385" s="1" t="s">
        <v>70</v>
      </c>
      <c r="E1385">
        <v>4</v>
      </c>
      <c r="F1385" s="1" t="s">
        <v>134</v>
      </c>
      <c r="G1385">
        <v>1</v>
      </c>
      <c r="H1385" s="1" t="s">
        <v>18</v>
      </c>
      <c r="I1385">
        <v>5</v>
      </c>
      <c r="J1385">
        <v>3</v>
      </c>
      <c r="K1385">
        <v>5</v>
      </c>
      <c r="L1385">
        <v>4</v>
      </c>
      <c r="M1385">
        <v>0</v>
      </c>
      <c r="N1385">
        <v>2</v>
      </c>
      <c r="O1385" s="1" t="s">
        <v>19</v>
      </c>
      <c r="P1385" s="1" t="s">
        <v>141</v>
      </c>
      <c r="Q1385">
        <v>1351</v>
      </c>
      <c r="R1385" s="1" t="s">
        <v>63</v>
      </c>
      <c r="S1385">
        <v>9</v>
      </c>
      <c r="T1385">
        <v>1</v>
      </c>
      <c r="U1385">
        <v>1</v>
      </c>
      <c r="V1385">
        <v>66</v>
      </c>
      <c r="W1385">
        <v>4</v>
      </c>
      <c r="X1385">
        <v>1</v>
      </c>
      <c r="Y1385" s="1" t="s">
        <v>6</v>
      </c>
      <c r="Z1385">
        <v>2</v>
      </c>
      <c r="AA1385">
        <v>2810</v>
      </c>
      <c r="AB1385">
        <v>9238</v>
      </c>
      <c r="AC1385" s="1" t="s">
        <v>19</v>
      </c>
      <c r="AD1385">
        <v>22</v>
      </c>
      <c r="AE1385">
        <v>4</v>
      </c>
      <c r="AF1385">
        <v>2</v>
      </c>
      <c r="AG1385">
        <v>80</v>
      </c>
      <c r="AH1385">
        <v>0</v>
      </c>
      <c r="AI1385">
        <v>3</v>
      </c>
      <c r="AJ1385">
        <v>0</v>
      </c>
      <c r="AK1385" s="1" t="s">
        <v>136</v>
      </c>
    </row>
    <row r="1386" spans="1:37" x14ac:dyDescent="0.25">
      <c r="A1386">
        <v>1950</v>
      </c>
      <c r="B1386">
        <v>34</v>
      </c>
      <c r="C1386" s="1" t="s">
        <v>25</v>
      </c>
      <c r="D1386" s="1" t="s">
        <v>71</v>
      </c>
      <c r="E1386">
        <v>3</v>
      </c>
      <c r="F1386" s="1" t="s">
        <v>142</v>
      </c>
      <c r="G1386">
        <v>1</v>
      </c>
      <c r="H1386" s="1" t="s">
        <v>18</v>
      </c>
      <c r="I1386">
        <v>14</v>
      </c>
      <c r="J1386">
        <v>3</v>
      </c>
      <c r="K1386">
        <v>14</v>
      </c>
      <c r="L1386">
        <v>8</v>
      </c>
      <c r="M1386">
        <v>2</v>
      </c>
      <c r="N1386">
        <v>1</v>
      </c>
      <c r="O1386" s="1" t="s">
        <v>19</v>
      </c>
      <c r="P1386" s="1" t="s">
        <v>135</v>
      </c>
      <c r="Q1386">
        <v>937</v>
      </c>
      <c r="R1386" s="1" t="s">
        <v>64</v>
      </c>
      <c r="S1386">
        <v>1</v>
      </c>
      <c r="T1386">
        <v>1</v>
      </c>
      <c r="U1386">
        <v>1</v>
      </c>
      <c r="V1386">
        <v>32</v>
      </c>
      <c r="W1386">
        <v>3</v>
      </c>
      <c r="X1386">
        <v>3</v>
      </c>
      <c r="Y1386" s="1" t="s">
        <v>4</v>
      </c>
      <c r="Z1386">
        <v>4</v>
      </c>
      <c r="AA1386">
        <v>9888</v>
      </c>
      <c r="AB1386">
        <v>6770</v>
      </c>
      <c r="AC1386" s="1" t="s">
        <v>19</v>
      </c>
      <c r="AD1386">
        <v>21</v>
      </c>
      <c r="AE1386">
        <v>4</v>
      </c>
      <c r="AF1386">
        <v>1</v>
      </c>
      <c r="AG1386">
        <v>80</v>
      </c>
      <c r="AH1386">
        <v>0</v>
      </c>
      <c r="AI1386">
        <v>2</v>
      </c>
      <c r="AJ1386">
        <v>0</v>
      </c>
      <c r="AK1386" s="1" t="s">
        <v>136</v>
      </c>
    </row>
    <row r="1387" spans="1:37" x14ac:dyDescent="0.25">
      <c r="A1387">
        <v>1951</v>
      </c>
      <c r="B1387">
        <v>34</v>
      </c>
      <c r="C1387" s="1" t="s">
        <v>25</v>
      </c>
      <c r="D1387" s="1" t="s">
        <v>69</v>
      </c>
      <c r="E1387">
        <v>4</v>
      </c>
      <c r="F1387" s="1" t="s">
        <v>139</v>
      </c>
      <c r="G1387">
        <v>1</v>
      </c>
      <c r="H1387" s="1" t="s">
        <v>18</v>
      </c>
      <c r="I1387">
        <v>9</v>
      </c>
      <c r="J1387">
        <v>2</v>
      </c>
      <c r="K1387">
        <v>8</v>
      </c>
      <c r="L1387">
        <v>7</v>
      </c>
      <c r="M1387">
        <v>1</v>
      </c>
      <c r="N1387">
        <v>1</v>
      </c>
      <c r="O1387" s="1" t="s">
        <v>19</v>
      </c>
      <c r="P1387" s="1" t="s">
        <v>135</v>
      </c>
      <c r="Q1387">
        <v>1239</v>
      </c>
      <c r="R1387" s="1" t="s">
        <v>64</v>
      </c>
      <c r="S1387">
        <v>13</v>
      </c>
      <c r="T1387">
        <v>1</v>
      </c>
      <c r="U1387">
        <v>4</v>
      </c>
      <c r="V1387">
        <v>39</v>
      </c>
      <c r="W1387">
        <v>3</v>
      </c>
      <c r="X1387">
        <v>3</v>
      </c>
      <c r="Y1387" s="1" t="s">
        <v>4</v>
      </c>
      <c r="Z1387">
        <v>3</v>
      </c>
      <c r="AA1387">
        <v>8628</v>
      </c>
      <c r="AB1387">
        <v>22914</v>
      </c>
      <c r="AC1387" s="1" t="s">
        <v>19</v>
      </c>
      <c r="AD1387">
        <v>18</v>
      </c>
      <c r="AE1387">
        <v>3</v>
      </c>
      <c r="AF1387">
        <v>3</v>
      </c>
      <c r="AG1387">
        <v>80</v>
      </c>
      <c r="AH1387">
        <v>1</v>
      </c>
      <c r="AI1387">
        <v>2</v>
      </c>
      <c r="AJ1387">
        <v>0</v>
      </c>
      <c r="AK1387" s="1" t="s">
        <v>136</v>
      </c>
    </row>
    <row r="1388" spans="1:37" x14ac:dyDescent="0.25">
      <c r="A1388">
        <v>1952</v>
      </c>
      <c r="B1388">
        <v>26</v>
      </c>
      <c r="C1388" s="1" t="s">
        <v>25</v>
      </c>
      <c r="D1388" s="1" t="s">
        <v>71</v>
      </c>
      <c r="E1388">
        <v>3</v>
      </c>
      <c r="F1388" s="1" t="s">
        <v>139</v>
      </c>
      <c r="G1388">
        <v>0</v>
      </c>
      <c r="H1388" s="1" t="s">
        <v>18</v>
      </c>
      <c r="I1388">
        <v>8</v>
      </c>
      <c r="J1388">
        <v>6</v>
      </c>
      <c r="K1388">
        <v>7</v>
      </c>
      <c r="L1388">
        <v>7</v>
      </c>
      <c r="M1388">
        <v>7</v>
      </c>
      <c r="N1388">
        <v>6</v>
      </c>
      <c r="O1388" s="1" t="s">
        <v>19</v>
      </c>
      <c r="P1388" s="1" t="s">
        <v>135</v>
      </c>
      <c r="Q1388">
        <v>157</v>
      </c>
      <c r="R1388" s="1" t="s">
        <v>63</v>
      </c>
      <c r="S1388">
        <v>1</v>
      </c>
      <c r="T1388">
        <v>1</v>
      </c>
      <c r="U1388">
        <v>3</v>
      </c>
      <c r="V1388">
        <v>95</v>
      </c>
      <c r="W1388">
        <v>3</v>
      </c>
      <c r="X1388">
        <v>1</v>
      </c>
      <c r="Y1388" s="1" t="s">
        <v>6</v>
      </c>
      <c r="Z1388">
        <v>1</v>
      </c>
      <c r="AA1388">
        <v>2867</v>
      </c>
      <c r="AB1388">
        <v>20006</v>
      </c>
      <c r="AC1388" s="1" t="s">
        <v>19</v>
      </c>
      <c r="AD1388">
        <v>13</v>
      </c>
      <c r="AE1388">
        <v>3</v>
      </c>
      <c r="AF1388">
        <v>4</v>
      </c>
      <c r="AG1388">
        <v>80</v>
      </c>
      <c r="AH1388">
        <v>0</v>
      </c>
      <c r="AI1388">
        <v>2</v>
      </c>
      <c r="AJ1388">
        <v>0</v>
      </c>
      <c r="AK1388" s="1" t="s">
        <v>136</v>
      </c>
    </row>
    <row r="1389" spans="1:37" x14ac:dyDescent="0.25">
      <c r="A1389">
        <v>1954</v>
      </c>
      <c r="B1389">
        <v>29</v>
      </c>
      <c r="C1389" s="1" t="s">
        <v>25</v>
      </c>
      <c r="D1389" s="1" t="s">
        <v>70</v>
      </c>
      <c r="E1389">
        <v>3</v>
      </c>
      <c r="F1389" s="1" t="s">
        <v>134</v>
      </c>
      <c r="G1389">
        <v>0</v>
      </c>
      <c r="H1389" s="1" t="s">
        <v>18</v>
      </c>
      <c r="I1389">
        <v>6</v>
      </c>
      <c r="J1389">
        <v>5</v>
      </c>
      <c r="K1389">
        <v>5</v>
      </c>
      <c r="L1389">
        <v>3</v>
      </c>
      <c r="M1389">
        <v>0</v>
      </c>
      <c r="N1389">
        <v>2</v>
      </c>
      <c r="O1389" s="1" t="s">
        <v>19</v>
      </c>
      <c r="P1389" s="1" t="s">
        <v>135</v>
      </c>
      <c r="Q1389">
        <v>136</v>
      </c>
      <c r="R1389" s="1" t="s">
        <v>63</v>
      </c>
      <c r="S1389">
        <v>1</v>
      </c>
      <c r="T1389">
        <v>1</v>
      </c>
      <c r="U1389">
        <v>1</v>
      </c>
      <c r="V1389">
        <v>89</v>
      </c>
      <c r="W1389">
        <v>3</v>
      </c>
      <c r="X1389">
        <v>2</v>
      </c>
      <c r="Y1389" s="1" t="s">
        <v>8</v>
      </c>
      <c r="Z1389">
        <v>1</v>
      </c>
      <c r="AA1389">
        <v>5373</v>
      </c>
      <c r="AB1389">
        <v>6225</v>
      </c>
      <c r="AC1389" s="1" t="s">
        <v>19</v>
      </c>
      <c r="AD1389">
        <v>12</v>
      </c>
      <c r="AE1389">
        <v>3</v>
      </c>
      <c r="AF1389">
        <v>1</v>
      </c>
      <c r="AG1389">
        <v>80</v>
      </c>
      <c r="AH1389">
        <v>1</v>
      </c>
      <c r="AI1389">
        <v>2</v>
      </c>
      <c r="AJ1389">
        <v>0</v>
      </c>
      <c r="AK1389" s="1" t="s">
        <v>136</v>
      </c>
    </row>
    <row r="1390" spans="1:37" x14ac:dyDescent="0.25">
      <c r="A1390">
        <v>1955</v>
      </c>
      <c r="B1390">
        <v>32</v>
      </c>
      <c r="C1390" s="1" t="s">
        <v>24</v>
      </c>
      <c r="D1390" s="1" t="s">
        <v>69</v>
      </c>
      <c r="E1390">
        <v>4</v>
      </c>
      <c r="F1390" s="1" t="s">
        <v>139</v>
      </c>
      <c r="G1390">
        <v>5</v>
      </c>
      <c r="H1390" s="1" t="s">
        <v>18</v>
      </c>
      <c r="I1390">
        <v>9</v>
      </c>
      <c r="J1390">
        <v>6</v>
      </c>
      <c r="K1390">
        <v>5</v>
      </c>
      <c r="L1390">
        <v>1</v>
      </c>
      <c r="M1390">
        <v>1</v>
      </c>
      <c r="N1390">
        <v>2</v>
      </c>
      <c r="O1390" s="1" t="s">
        <v>19</v>
      </c>
      <c r="P1390" s="1" t="s">
        <v>141</v>
      </c>
      <c r="Q1390">
        <v>1146</v>
      </c>
      <c r="R1390" s="1" t="s">
        <v>63</v>
      </c>
      <c r="S1390">
        <v>15</v>
      </c>
      <c r="T1390">
        <v>1</v>
      </c>
      <c r="U1390">
        <v>3</v>
      </c>
      <c r="V1390">
        <v>34</v>
      </c>
      <c r="W1390">
        <v>3</v>
      </c>
      <c r="X1390">
        <v>2</v>
      </c>
      <c r="Y1390" s="1" t="s">
        <v>8</v>
      </c>
      <c r="Z1390">
        <v>4</v>
      </c>
      <c r="AA1390">
        <v>6667</v>
      </c>
      <c r="AB1390">
        <v>16542</v>
      </c>
      <c r="AC1390" s="1" t="s">
        <v>19</v>
      </c>
      <c r="AD1390">
        <v>18</v>
      </c>
      <c r="AE1390">
        <v>3</v>
      </c>
      <c r="AF1390">
        <v>2</v>
      </c>
      <c r="AG1390">
        <v>80</v>
      </c>
      <c r="AH1390">
        <v>1</v>
      </c>
      <c r="AI1390">
        <v>3</v>
      </c>
      <c r="AJ1390">
        <v>0</v>
      </c>
      <c r="AK1390" s="1" t="s">
        <v>136</v>
      </c>
    </row>
    <row r="1391" spans="1:37" x14ac:dyDescent="0.25">
      <c r="A1391">
        <v>1956</v>
      </c>
      <c r="B1391">
        <v>31</v>
      </c>
      <c r="C1391" s="1" t="s">
        <v>25</v>
      </c>
      <c r="D1391" s="1" t="s">
        <v>70</v>
      </c>
      <c r="E1391">
        <v>3</v>
      </c>
      <c r="F1391" s="1" t="s">
        <v>134</v>
      </c>
      <c r="G1391">
        <v>1</v>
      </c>
      <c r="H1391" s="1" t="s">
        <v>18</v>
      </c>
      <c r="I1391">
        <v>10</v>
      </c>
      <c r="J1391">
        <v>6</v>
      </c>
      <c r="K1391">
        <v>10</v>
      </c>
      <c r="L1391">
        <v>8</v>
      </c>
      <c r="M1391">
        <v>8</v>
      </c>
      <c r="N1391">
        <v>7</v>
      </c>
      <c r="O1391" s="1" t="s">
        <v>19</v>
      </c>
      <c r="P1391" s="1" t="s">
        <v>137</v>
      </c>
      <c r="Q1391">
        <v>1125</v>
      </c>
      <c r="R1391" s="1" t="s">
        <v>63</v>
      </c>
      <c r="S1391">
        <v>1</v>
      </c>
      <c r="T1391">
        <v>1</v>
      </c>
      <c r="U1391">
        <v>4</v>
      </c>
      <c r="V1391">
        <v>48</v>
      </c>
      <c r="W1391">
        <v>1</v>
      </c>
      <c r="X1391">
        <v>2</v>
      </c>
      <c r="Y1391" s="1" t="s">
        <v>5</v>
      </c>
      <c r="Z1391">
        <v>1</v>
      </c>
      <c r="AA1391">
        <v>5003</v>
      </c>
      <c r="AB1391">
        <v>5771</v>
      </c>
      <c r="AC1391" s="1" t="s">
        <v>19</v>
      </c>
      <c r="AD1391">
        <v>21</v>
      </c>
      <c r="AE1391">
        <v>4</v>
      </c>
      <c r="AF1391">
        <v>2</v>
      </c>
      <c r="AG1391">
        <v>80</v>
      </c>
      <c r="AH1391">
        <v>0</v>
      </c>
      <c r="AI1391">
        <v>3</v>
      </c>
      <c r="AJ1391">
        <v>0</v>
      </c>
      <c r="AK1391" s="1" t="s">
        <v>136</v>
      </c>
    </row>
    <row r="1392" spans="1:37" x14ac:dyDescent="0.25">
      <c r="A1392">
        <v>1960</v>
      </c>
      <c r="B1392">
        <v>28</v>
      </c>
      <c r="C1392" s="1" t="s">
        <v>25</v>
      </c>
      <c r="D1392" s="1" t="s">
        <v>69</v>
      </c>
      <c r="E1392">
        <v>3</v>
      </c>
      <c r="F1392" s="1" t="s">
        <v>143</v>
      </c>
      <c r="G1392">
        <v>5</v>
      </c>
      <c r="H1392" s="1" t="s">
        <v>18</v>
      </c>
      <c r="I1392">
        <v>6</v>
      </c>
      <c r="J1392">
        <v>2</v>
      </c>
      <c r="K1392">
        <v>4</v>
      </c>
      <c r="L1392">
        <v>1</v>
      </c>
      <c r="M1392">
        <v>0</v>
      </c>
      <c r="N1392">
        <v>3</v>
      </c>
      <c r="O1392" s="1" t="s">
        <v>18</v>
      </c>
      <c r="P1392" s="1" t="s">
        <v>135</v>
      </c>
      <c r="Q1392">
        <v>1404</v>
      </c>
      <c r="R1392" s="1" t="s">
        <v>63</v>
      </c>
      <c r="S1392">
        <v>17</v>
      </c>
      <c r="T1392">
        <v>1</v>
      </c>
      <c r="U1392">
        <v>3</v>
      </c>
      <c r="V1392">
        <v>32</v>
      </c>
      <c r="W1392">
        <v>2</v>
      </c>
      <c r="X1392">
        <v>1</v>
      </c>
      <c r="Y1392" s="1" t="s">
        <v>6</v>
      </c>
      <c r="Z1392">
        <v>4</v>
      </c>
      <c r="AA1392">
        <v>2367</v>
      </c>
      <c r="AB1392">
        <v>18779</v>
      </c>
      <c r="AC1392" s="1" t="s">
        <v>19</v>
      </c>
      <c r="AD1392">
        <v>12</v>
      </c>
      <c r="AE1392">
        <v>3</v>
      </c>
      <c r="AF1392">
        <v>1</v>
      </c>
      <c r="AG1392">
        <v>80</v>
      </c>
      <c r="AH1392">
        <v>1</v>
      </c>
      <c r="AI1392">
        <v>2</v>
      </c>
      <c r="AJ1392">
        <v>1</v>
      </c>
      <c r="AK1392" s="1" t="s">
        <v>136</v>
      </c>
    </row>
    <row r="1393" spans="1:37" x14ac:dyDescent="0.25">
      <c r="A1393">
        <v>1961</v>
      </c>
      <c r="B1393">
        <v>38</v>
      </c>
      <c r="C1393" s="1" t="s">
        <v>25</v>
      </c>
      <c r="D1393" s="1" t="s">
        <v>71</v>
      </c>
      <c r="E1393">
        <v>3</v>
      </c>
      <c r="F1393" s="1" t="s">
        <v>134</v>
      </c>
      <c r="G1393">
        <v>4</v>
      </c>
      <c r="H1393" s="1" t="s">
        <v>18</v>
      </c>
      <c r="I1393">
        <v>20</v>
      </c>
      <c r="J1393">
        <v>3</v>
      </c>
      <c r="K1393">
        <v>1</v>
      </c>
      <c r="L1393">
        <v>0</v>
      </c>
      <c r="M1393">
        <v>0</v>
      </c>
      <c r="N1393">
        <v>0</v>
      </c>
      <c r="O1393" s="1" t="s">
        <v>19</v>
      </c>
      <c r="P1393" s="1" t="s">
        <v>135</v>
      </c>
      <c r="Q1393">
        <v>1404</v>
      </c>
      <c r="R1393" s="1" t="s">
        <v>64</v>
      </c>
      <c r="S1393">
        <v>1</v>
      </c>
      <c r="T1393">
        <v>1</v>
      </c>
      <c r="U1393">
        <v>1</v>
      </c>
      <c r="V1393">
        <v>59</v>
      </c>
      <c r="W1393">
        <v>2</v>
      </c>
      <c r="X1393">
        <v>1</v>
      </c>
      <c r="Y1393" s="1" t="s">
        <v>10</v>
      </c>
      <c r="Z1393">
        <v>1</v>
      </c>
      <c r="AA1393">
        <v>2858</v>
      </c>
      <c r="AB1393">
        <v>11473</v>
      </c>
      <c r="AC1393" s="1" t="s">
        <v>19</v>
      </c>
      <c r="AD1393">
        <v>14</v>
      </c>
      <c r="AE1393">
        <v>3</v>
      </c>
      <c r="AF1393">
        <v>1</v>
      </c>
      <c r="AG1393">
        <v>80</v>
      </c>
      <c r="AH1393">
        <v>0</v>
      </c>
      <c r="AI1393">
        <v>2</v>
      </c>
      <c r="AJ1393">
        <v>0</v>
      </c>
      <c r="AK1393" s="1" t="s">
        <v>136</v>
      </c>
    </row>
    <row r="1394" spans="1:37" x14ac:dyDescent="0.25">
      <c r="A1394">
        <v>1962</v>
      </c>
      <c r="B1394">
        <v>35</v>
      </c>
      <c r="C1394" s="1" t="s">
        <v>24</v>
      </c>
      <c r="D1394" s="1" t="s">
        <v>70</v>
      </c>
      <c r="E1394">
        <v>4</v>
      </c>
      <c r="F1394" s="1" t="s">
        <v>134</v>
      </c>
      <c r="G1394">
        <v>1</v>
      </c>
      <c r="H1394" s="1" t="s">
        <v>18</v>
      </c>
      <c r="I1394">
        <v>10</v>
      </c>
      <c r="J1394">
        <v>2</v>
      </c>
      <c r="K1394">
        <v>10</v>
      </c>
      <c r="L1394">
        <v>8</v>
      </c>
      <c r="M1394">
        <v>0</v>
      </c>
      <c r="N1394">
        <v>9</v>
      </c>
      <c r="O1394" s="1" t="s">
        <v>19</v>
      </c>
      <c r="P1394" s="1" t="s">
        <v>135</v>
      </c>
      <c r="Q1394">
        <v>1224</v>
      </c>
      <c r="R1394" s="1" t="s">
        <v>64</v>
      </c>
      <c r="S1394">
        <v>7</v>
      </c>
      <c r="T1394">
        <v>1</v>
      </c>
      <c r="U1394">
        <v>3</v>
      </c>
      <c r="V1394">
        <v>55</v>
      </c>
      <c r="W1394">
        <v>3</v>
      </c>
      <c r="X1394">
        <v>2</v>
      </c>
      <c r="Y1394" s="1" t="s">
        <v>4</v>
      </c>
      <c r="Z1394">
        <v>4</v>
      </c>
      <c r="AA1394">
        <v>5204</v>
      </c>
      <c r="AB1394">
        <v>13586</v>
      </c>
      <c r="AC1394" s="1" t="s">
        <v>18</v>
      </c>
      <c r="AD1394">
        <v>11</v>
      </c>
      <c r="AE1394">
        <v>3</v>
      </c>
      <c r="AF1394">
        <v>4</v>
      </c>
      <c r="AG1394">
        <v>80</v>
      </c>
      <c r="AH1394">
        <v>0</v>
      </c>
      <c r="AI1394">
        <v>3</v>
      </c>
      <c r="AJ1394">
        <v>0</v>
      </c>
      <c r="AK1394" s="1" t="s">
        <v>136</v>
      </c>
    </row>
    <row r="1395" spans="1:37" x14ac:dyDescent="0.25">
      <c r="A1395">
        <v>1965</v>
      </c>
      <c r="B1395">
        <v>27</v>
      </c>
      <c r="C1395" s="1" t="s">
        <v>25</v>
      </c>
      <c r="D1395" s="1" t="s">
        <v>71</v>
      </c>
      <c r="E1395">
        <v>3</v>
      </c>
      <c r="F1395" s="1" t="s">
        <v>142</v>
      </c>
      <c r="G1395">
        <v>1</v>
      </c>
      <c r="H1395" s="1" t="s">
        <v>18</v>
      </c>
      <c r="I1395">
        <v>7</v>
      </c>
      <c r="J1395">
        <v>5</v>
      </c>
      <c r="K1395">
        <v>7</v>
      </c>
      <c r="L1395">
        <v>7</v>
      </c>
      <c r="M1395">
        <v>0</v>
      </c>
      <c r="N1395">
        <v>7</v>
      </c>
      <c r="O1395" s="1" t="s">
        <v>19</v>
      </c>
      <c r="P1395" s="1" t="s">
        <v>135</v>
      </c>
      <c r="Q1395">
        <v>954</v>
      </c>
      <c r="R1395" s="1" t="s">
        <v>64</v>
      </c>
      <c r="S1395">
        <v>9</v>
      </c>
      <c r="T1395">
        <v>1</v>
      </c>
      <c r="U1395">
        <v>4</v>
      </c>
      <c r="V1395">
        <v>44</v>
      </c>
      <c r="W1395">
        <v>3</v>
      </c>
      <c r="X1395">
        <v>2</v>
      </c>
      <c r="Y1395" s="1" t="s">
        <v>4</v>
      </c>
      <c r="Z1395">
        <v>4</v>
      </c>
      <c r="AA1395">
        <v>4105</v>
      </c>
      <c r="AB1395">
        <v>5099</v>
      </c>
      <c r="AC1395" s="1" t="s">
        <v>19</v>
      </c>
      <c r="AD1395">
        <v>14</v>
      </c>
      <c r="AE1395">
        <v>3</v>
      </c>
      <c r="AF1395">
        <v>1</v>
      </c>
      <c r="AG1395">
        <v>80</v>
      </c>
      <c r="AH1395">
        <v>0</v>
      </c>
      <c r="AI1395">
        <v>3</v>
      </c>
      <c r="AJ1395">
        <v>0</v>
      </c>
      <c r="AK1395" s="1" t="s">
        <v>136</v>
      </c>
    </row>
    <row r="1396" spans="1:37" x14ac:dyDescent="0.25">
      <c r="A1396">
        <v>1966</v>
      </c>
      <c r="B1396">
        <v>32</v>
      </c>
      <c r="C1396" s="1" t="s">
        <v>25</v>
      </c>
      <c r="D1396" s="1" t="s">
        <v>71</v>
      </c>
      <c r="E1396">
        <v>4</v>
      </c>
      <c r="F1396" s="1" t="s">
        <v>134</v>
      </c>
      <c r="G1396">
        <v>8</v>
      </c>
      <c r="H1396" s="1" t="s">
        <v>18</v>
      </c>
      <c r="I1396">
        <v>8</v>
      </c>
      <c r="J1396">
        <v>1</v>
      </c>
      <c r="K1396">
        <v>1</v>
      </c>
      <c r="L1396">
        <v>0</v>
      </c>
      <c r="M1396">
        <v>0</v>
      </c>
      <c r="N1396">
        <v>0</v>
      </c>
      <c r="O1396" s="1" t="s">
        <v>19</v>
      </c>
      <c r="P1396" s="1" t="s">
        <v>135</v>
      </c>
      <c r="Q1396">
        <v>1373</v>
      </c>
      <c r="R1396" s="1" t="s">
        <v>63</v>
      </c>
      <c r="S1396">
        <v>5</v>
      </c>
      <c r="T1396">
        <v>1</v>
      </c>
      <c r="U1396">
        <v>4</v>
      </c>
      <c r="V1396">
        <v>56</v>
      </c>
      <c r="W1396">
        <v>2</v>
      </c>
      <c r="X1396">
        <v>2</v>
      </c>
      <c r="Y1396" s="1" t="s">
        <v>7</v>
      </c>
      <c r="Z1396">
        <v>4</v>
      </c>
      <c r="AA1396">
        <v>9679</v>
      </c>
      <c r="AB1396">
        <v>10138</v>
      </c>
      <c r="AC1396" s="1" t="s">
        <v>19</v>
      </c>
      <c r="AD1396">
        <v>24</v>
      </c>
      <c r="AE1396">
        <v>4</v>
      </c>
      <c r="AF1396">
        <v>2</v>
      </c>
      <c r="AG1396">
        <v>80</v>
      </c>
      <c r="AH1396">
        <v>0</v>
      </c>
      <c r="AI1396">
        <v>3</v>
      </c>
      <c r="AJ1396">
        <v>0</v>
      </c>
      <c r="AK1396" s="1" t="s">
        <v>136</v>
      </c>
    </row>
    <row r="1397" spans="1:37" x14ac:dyDescent="0.25">
      <c r="A1397">
        <v>1967</v>
      </c>
      <c r="B1397">
        <v>31</v>
      </c>
      <c r="C1397" s="1" t="s">
        <v>25</v>
      </c>
      <c r="D1397" s="1" t="s">
        <v>70</v>
      </c>
      <c r="E1397">
        <v>4</v>
      </c>
      <c r="F1397" s="1" t="s">
        <v>142</v>
      </c>
      <c r="G1397">
        <v>1</v>
      </c>
      <c r="H1397" s="1" t="s">
        <v>18</v>
      </c>
      <c r="I1397">
        <v>10</v>
      </c>
      <c r="J1397">
        <v>4</v>
      </c>
      <c r="K1397">
        <v>10</v>
      </c>
      <c r="L1397">
        <v>7</v>
      </c>
      <c r="M1397">
        <v>0</v>
      </c>
      <c r="N1397">
        <v>8</v>
      </c>
      <c r="O1397" s="1" t="s">
        <v>18</v>
      </c>
      <c r="P1397" s="1" t="s">
        <v>137</v>
      </c>
      <c r="Q1397">
        <v>754</v>
      </c>
      <c r="R1397" s="1" t="s">
        <v>64</v>
      </c>
      <c r="S1397">
        <v>26</v>
      </c>
      <c r="T1397">
        <v>1</v>
      </c>
      <c r="U1397">
        <v>1</v>
      </c>
      <c r="V1397">
        <v>63</v>
      </c>
      <c r="W1397">
        <v>3</v>
      </c>
      <c r="X1397">
        <v>2</v>
      </c>
      <c r="Y1397" s="1" t="s">
        <v>4</v>
      </c>
      <c r="Z1397">
        <v>4</v>
      </c>
      <c r="AA1397">
        <v>5617</v>
      </c>
      <c r="AB1397">
        <v>21075</v>
      </c>
      <c r="AC1397" s="1" t="s">
        <v>18</v>
      </c>
      <c r="AD1397">
        <v>11</v>
      </c>
      <c r="AE1397">
        <v>3</v>
      </c>
      <c r="AF1397">
        <v>3</v>
      </c>
      <c r="AG1397">
        <v>80</v>
      </c>
      <c r="AH1397">
        <v>0</v>
      </c>
      <c r="AI1397">
        <v>3</v>
      </c>
      <c r="AJ1397">
        <v>1</v>
      </c>
      <c r="AK1397" s="1" t="s">
        <v>136</v>
      </c>
    </row>
    <row r="1398" spans="1:37" x14ac:dyDescent="0.25">
      <c r="A1398">
        <v>1968</v>
      </c>
      <c r="B1398">
        <v>53</v>
      </c>
      <c r="C1398" s="1" t="s">
        <v>25</v>
      </c>
      <c r="D1398" s="1" t="s">
        <v>71</v>
      </c>
      <c r="E1398">
        <v>4</v>
      </c>
      <c r="F1398" s="1" t="s">
        <v>134</v>
      </c>
      <c r="G1398">
        <v>6</v>
      </c>
      <c r="H1398" s="1" t="s">
        <v>18</v>
      </c>
      <c r="I1398">
        <v>15</v>
      </c>
      <c r="J1398">
        <v>2</v>
      </c>
      <c r="K1398">
        <v>2</v>
      </c>
      <c r="L1398">
        <v>2</v>
      </c>
      <c r="M1398">
        <v>2</v>
      </c>
      <c r="N1398">
        <v>2</v>
      </c>
      <c r="O1398" s="1" t="s">
        <v>18</v>
      </c>
      <c r="P1398" s="1" t="s">
        <v>135</v>
      </c>
      <c r="Q1398">
        <v>1168</v>
      </c>
      <c r="R1398" s="1" t="s">
        <v>64</v>
      </c>
      <c r="S1398">
        <v>24</v>
      </c>
      <c r="T1398">
        <v>1</v>
      </c>
      <c r="U1398">
        <v>1</v>
      </c>
      <c r="V1398">
        <v>66</v>
      </c>
      <c r="W1398">
        <v>3</v>
      </c>
      <c r="X1398">
        <v>3</v>
      </c>
      <c r="Y1398" s="1" t="s">
        <v>4</v>
      </c>
      <c r="Z1398">
        <v>1</v>
      </c>
      <c r="AA1398">
        <v>10448</v>
      </c>
      <c r="AB1398">
        <v>5843</v>
      </c>
      <c r="AC1398" s="1" t="s">
        <v>18</v>
      </c>
      <c r="AD1398">
        <v>13</v>
      </c>
      <c r="AE1398">
        <v>3</v>
      </c>
      <c r="AF1398">
        <v>2</v>
      </c>
      <c r="AG1398">
        <v>80</v>
      </c>
      <c r="AH1398">
        <v>0</v>
      </c>
      <c r="AI1398">
        <v>2</v>
      </c>
      <c r="AJ1398">
        <v>1</v>
      </c>
      <c r="AK1398" s="1" t="s">
        <v>140</v>
      </c>
    </row>
    <row r="1399" spans="1:37" x14ac:dyDescent="0.25">
      <c r="A1399">
        <v>1969</v>
      </c>
      <c r="B1399">
        <v>54</v>
      </c>
      <c r="C1399" s="1" t="s">
        <v>24</v>
      </c>
      <c r="D1399" s="1" t="s">
        <v>70</v>
      </c>
      <c r="E1399">
        <v>2</v>
      </c>
      <c r="F1399" s="1" t="s">
        <v>134</v>
      </c>
      <c r="G1399">
        <v>3</v>
      </c>
      <c r="H1399" s="1" t="s">
        <v>18</v>
      </c>
      <c r="I1399">
        <v>9</v>
      </c>
      <c r="J1399">
        <v>6</v>
      </c>
      <c r="K1399">
        <v>4</v>
      </c>
      <c r="L1399">
        <v>3</v>
      </c>
      <c r="M1399">
        <v>2</v>
      </c>
      <c r="N1399">
        <v>3</v>
      </c>
      <c r="O1399" s="1" t="s">
        <v>19</v>
      </c>
      <c r="P1399" s="1" t="s">
        <v>135</v>
      </c>
      <c r="Q1399">
        <v>155</v>
      </c>
      <c r="R1399" s="1" t="s">
        <v>63</v>
      </c>
      <c r="S1399">
        <v>9</v>
      </c>
      <c r="T1399">
        <v>1</v>
      </c>
      <c r="U1399">
        <v>1</v>
      </c>
      <c r="V1399">
        <v>67</v>
      </c>
      <c r="W1399">
        <v>3</v>
      </c>
      <c r="X1399">
        <v>2</v>
      </c>
      <c r="Y1399" s="1" t="s">
        <v>5</v>
      </c>
      <c r="Z1399">
        <v>3</v>
      </c>
      <c r="AA1399">
        <v>2897</v>
      </c>
      <c r="AB1399">
        <v>22474</v>
      </c>
      <c r="AC1399" s="1" t="s">
        <v>19</v>
      </c>
      <c r="AD1399">
        <v>11</v>
      </c>
      <c r="AE1399">
        <v>3</v>
      </c>
      <c r="AF1399">
        <v>3</v>
      </c>
      <c r="AG1399">
        <v>80</v>
      </c>
      <c r="AH1399">
        <v>2</v>
      </c>
      <c r="AI1399">
        <v>2</v>
      </c>
      <c r="AJ1399">
        <v>0</v>
      </c>
      <c r="AK1399" s="1" t="s">
        <v>140</v>
      </c>
    </row>
    <row r="1400" spans="1:37" x14ac:dyDescent="0.25">
      <c r="A1400">
        <v>1970</v>
      </c>
      <c r="B1400">
        <v>33</v>
      </c>
      <c r="C1400" s="1" t="s">
        <v>25</v>
      </c>
      <c r="D1400" s="1" t="s">
        <v>69</v>
      </c>
      <c r="E1400">
        <v>2</v>
      </c>
      <c r="F1400" s="1" t="s">
        <v>134</v>
      </c>
      <c r="G1400">
        <v>1</v>
      </c>
      <c r="H1400" s="1" t="s">
        <v>18</v>
      </c>
      <c r="I1400">
        <v>9</v>
      </c>
      <c r="J1400">
        <v>2</v>
      </c>
      <c r="K1400">
        <v>9</v>
      </c>
      <c r="L1400">
        <v>7</v>
      </c>
      <c r="M1400">
        <v>2</v>
      </c>
      <c r="N1400">
        <v>8</v>
      </c>
      <c r="O1400" s="1" t="s">
        <v>19</v>
      </c>
      <c r="P1400" s="1" t="s">
        <v>137</v>
      </c>
      <c r="Q1400">
        <v>1303</v>
      </c>
      <c r="R1400" s="1" t="s">
        <v>63</v>
      </c>
      <c r="S1400">
        <v>7</v>
      </c>
      <c r="T1400">
        <v>1</v>
      </c>
      <c r="U1400">
        <v>4</v>
      </c>
      <c r="V1400">
        <v>36</v>
      </c>
      <c r="W1400">
        <v>3</v>
      </c>
      <c r="X1400">
        <v>2</v>
      </c>
      <c r="Y1400" s="1" t="s">
        <v>8</v>
      </c>
      <c r="Z1400">
        <v>3</v>
      </c>
      <c r="AA1400">
        <v>5968</v>
      </c>
      <c r="AB1400">
        <v>18079</v>
      </c>
      <c r="AC1400" s="1" t="s">
        <v>19</v>
      </c>
      <c r="AD1400">
        <v>20</v>
      </c>
      <c r="AE1400">
        <v>4</v>
      </c>
      <c r="AF1400">
        <v>3</v>
      </c>
      <c r="AG1400">
        <v>80</v>
      </c>
      <c r="AH1400">
        <v>3</v>
      </c>
      <c r="AI1400">
        <v>3</v>
      </c>
      <c r="AJ1400">
        <v>0</v>
      </c>
      <c r="AK1400" s="1" t="s">
        <v>136</v>
      </c>
    </row>
    <row r="1401" spans="1:37" x14ac:dyDescent="0.25">
      <c r="A1401">
        <v>1971</v>
      </c>
      <c r="B1401">
        <v>43</v>
      </c>
      <c r="C1401" s="1" t="s">
        <v>25</v>
      </c>
      <c r="D1401" s="1" t="s">
        <v>70</v>
      </c>
      <c r="E1401">
        <v>3</v>
      </c>
      <c r="F1401" s="1" t="s">
        <v>134</v>
      </c>
      <c r="G1401">
        <v>1</v>
      </c>
      <c r="H1401" s="1" t="s">
        <v>18</v>
      </c>
      <c r="I1401">
        <v>10</v>
      </c>
      <c r="J1401">
        <v>1</v>
      </c>
      <c r="K1401">
        <v>10</v>
      </c>
      <c r="L1401">
        <v>9</v>
      </c>
      <c r="M1401">
        <v>0</v>
      </c>
      <c r="N1401">
        <v>9</v>
      </c>
      <c r="O1401" s="1" t="s">
        <v>19</v>
      </c>
      <c r="P1401" s="1" t="s">
        <v>135</v>
      </c>
      <c r="Q1401">
        <v>574</v>
      </c>
      <c r="R1401" s="1" t="s">
        <v>63</v>
      </c>
      <c r="S1401">
        <v>11</v>
      </c>
      <c r="T1401">
        <v>1</v>
      </c>
      <c r="U1401">
        <v>1</v>
      </c>
      <c r="V1401">
        <v>30</v>
      </c>
      <c r="W1401">
        <v>3</v>
      </c>
      <c r="X1401">
        <v>3</v>
      </c>
      <c r="Y1401" s="1" t="s">
        <v>8</v>
      </c>
      <c r="Z1401">
        <v>3</v>
      </c>
      <c r="AA1401">
        <v>7510</v>
      </c>
      <c r="AB1401">
        <v>16873</v>
      </c>
      <c r="AC1401" s="1" t="s">
        <v>19</v>
      </c>
      <c r="AD1401">
        <v>17</v>
      </c>
      <c r="AE1401">
        <v>3</v>
      </c>
      <c r="AF1401">
        <v>2</v>
      </c>
      <c r="AG1401">
        <v>80</v>
      </c>
      <c r="AH1401">
        <v>1</v>
      </c>
      <c r="AI1401">
        <v>3</v>
      </c>
      <c r="AJ1401">
        <v>0</v>
      </c>
      <c r="AK1401" s="1" t="s">
        <v>136</v>
      </c>
    </row>
    <row r="1402" spans="1:37" x14ac:dyDescent="0.25">
      <c r="A1402">
        <v>1972</v>
      </c>
      <c r="B1402">
        <v>38</v>
      </c>
      <c r="C1402" s="1" t="s">
        <v>25</v>
      </c>
      <c r="D1402" s="1" t="s">
        <v>70</v>
      </c>
      <c r="E1402">
        <v>4</v>
      </c>
      <c r="F1402" s="1" t="s">
        <v>138</v>
      </c>
      <c r="G1402">
        <v>0</v>
      </c>
      <c r="H1402" s="1" t="s">
        <v>18</v>
      </c>
      <c r="I1402">
        <v>7</v>
      </c>
      <c r="J1402">
        <v>2</v>
      </c>
      <c r="K1402">
        <v>6</v>
      </c>
      <c r="L1402">
        <v>2</v>
      </c>
      <c r="M1402">
        <v>1</v>
      </c>
      <c r="N1402">
        <v>2</v>
      </c>
      <c r="O1402" s="1" t="s">
        <v>19</v>
      </c>
      <c r="P1402" s="1" t="s">
        <v>137</v>
      </c>
      <c r="Q1402">
        <v>1444</v>
      </c>
      <c r="R1402" s="1" t="s">
        <v>12</v>
      </c>
      <c r="S1402">
        <v>1</v>
      </c>
      <c r="T1402">
        <v>1</v>
      </c>
      <c r="U1402">
        <v>4</v>
      </c>
      <c r="V1402">
        <v>88</v>
      </c>
      <c r="W1402">
        <v>3</v>
      </c>
      <c r="X1402">
        <v>1</v>
      </c>
      <c r="Y1402" s="1" t="s">
        <v>12</v>
      </c>
      <c r="Z1402">
        <v>2</v>
      </c>
      <c r="AA1402">
        <v>2991</v>
      </c>
      <c r="AB1402">
        <v>5224</v>
      </c>
      <c r="AC1402" s="1" t="s">
        <v>18</v>
      </c>
      <c r="AD1402">
        <v>11</v>
      </c>
      <c r="AE1402">
        <v>3</v>
      </c>
      <c r="AF1402">
        <v>2</v>
      </c>
      <c r="AG1402">
        <v>80</v>
      </c>
      <c r="AH1402">
        <v>1</v>
      </c>
      <c r="AI1402">
        <v>3</v>
      </c>
      <c r="AJ1402">
        <v>0</v>
      </c>
      <c r="AK1402" s="1" t="s">
        <v>136</v>
      </c>
    </row>
    <row r="1403" spans="1:37" x14ac:dyDescent="0.25">
      <c r="A1403">
        <v>1973</v>
      </c>
      <c r="B1403">
        <v>55</v>
      </c>
      <c r="C1403" s="1" t="s">
        <v>25</v>
      </c>
      <c r="D1403" s="1" t="s">
        <v>70</v>
      </c>
      <c r="E1403">
        <v>4</v>
      </c>
      <c r="F1403" s="1" t="s">
        <v>12</v>
      </c>
      <c r="G1403">
        <v>4</v>
      </c>
      <c r="H1403" s="1" t="s">
        <v>18</v>
      </c>
      <c r="I1403">
        <v>35</v>
      </c>
      <c r="J1403">
        <v>0</v>
      </c>
      <c r="K1403">
        <v>10</v>
      </c>
      <c r="L1403">
        <v>9</v>
      </c>
      <c r="M1403">
        <v>1</v>
      </c>
      <c r="N1403">
        <v>4</v>
      </c>
      <c r="O1403" s="1" t="s">
        <v>19</v>
      </c>
      <c r="P1403" s="1" t="s">
        <v>135</v>
      </c>
      <c r="Q1403">
        <v>189</v>
      </c>
      <c r="R1403" s="1" t="s">
        <v>12</v>
      </c>
      <c r="S1403">
        <v>26</v>
      </c>
      <c r="T1403">
        <v>1</v>
      </c>
      <c r="U1403">
        <v>3</v>
      </c>
      <c r="V1403">
        <v>71</v>
      </c>
      <c r="W1403">
        <v>4</v>
      </c>
      <c r="X1403">
        <v>5</v>
      </c>
      <c r="Y1403" s="1" t="s">
        <v>9</v>
      </c>
      <c r="Z1403">
        <v>2</v>
      </c>
      <c r="AA1403">
        <v>19636</v>
      </c>
      <c r="AB1403">
        <v>25811</v>
      </c>
      <c r="AC1403" s="1" t="s">
        <v>18</v>
      </c>
      <c r="AD1403">
        <v>18</v>
      </c>
      <c r="AE1403">
        <v>3</v>
      </c>
      <c r="AF1403">
        <v>1</v>
      </c>
      <c r="AG1403">
        <v>80</v>
      </c>
      <c r="AH1403">
        <v>1</v>
      </c>
      <c r="AI1403">
        <v>3</v>
      </c>
      <c r="AJ1403">
        <v>0</v>
      </c>
      <c r="AK1403" s="1" t="s">
        <v>140</v>
      </c>
    </row>
    <row r="1404" spans="1:37" x14ac:dyDescent="0.25">
      <c r="A1404">
        <v>1974</v>
      </c>
      <c r="B1404">
        <v>31</v>
      </c>
      <c r="C1404" s="1" t="s">
        <v>24</v>
      </c>
      <c r="D1404" s="1" t="s">
        <v>69</v>
      </c>
      <c r="E1404">
        <v>1</v>
      </c>
      <c r="F1404" s="1" t="s">
        <v>139</v>
      </c>
      <c r="G1404">
        <v>1</v>
      </c>
      <c r="H1404" s="1" t="s">
        <v>18</v>
      </c>
      <c r="I1404">
        <v>1</v>
      </c>
      <c r="J1404">
        <v>4</v>
      </c>
      <c r="K1404">
        <v>1</v>
      </c>
      <c r="L1404">
        <v>0</v>
      </c>
      <c r="M1404">
        <v>0</v>
      </c>
      <c r="N1404">
        <v>0</v>
      </c>
      <c r="O1404" s="1" t="s">
        <v>19</v>
      </c>
      <c r="P1404" s="1" t="s">
        <v>135</v>
      </c>
      <c r="Q1404">
        <v>1276</v>
      </c>
      <c r="R1404" s="1" t="s">
        <v>63</v>
      </c>
      <c r="S1404">
        <v>2</v>
      </c>
      <c r="T1404">
        <v>1</v>
      </c>
      <c r="U1404">
        <v>4</v>
      </c>
      <c r="V1404">
        <v>59</v>
      </c>
      <c r="W1404">
        <v>1</v>
      </c>
      <c r="X1404">
        <v>1</v>
      </c>
      <c r="Y1404" s="1" t="s">
        <v>6</v>
      </c>
      <c r="Z1404">
        <v>4</v>
      </c>
      <c r="AA1404">
        <v>1129</v>
      </c>
      <c r="AB1404">
        <v>17536</v>
      </c>
      <c r="AC1404" s="1" t="s">
        <v>18</v>
      </c>
      <c r="AD1404">
        <v>11</v>
      </c>
      <c r="AE1404">
        <v>3</v>
      </c>
      <c r="AF1404">
        <v>3</v>
      </c>
      <c r="AG1404">
        <v>80</v>
      </c>
      <c r="AH1404">
        <v>3</v>
      </c>
      <c r="AI1404">
        <v>3</v>
      </c>
      <c r="AJ1404">
        <v>0</v>
      </c>
      <c r="AK1404" s="1" t="s">
        <v>136</v>
      </c>
    </row>
    <row r="1405" spans="1:37" x14ac:dyDescent="0.25">
      <c r="A1405">
        <v>1975</v>
      </c>
      <c r="B1405">
        <v>39</v>
      </c>
      <c r="C1405" s="1" t="s">
        <v>25</v>
      </c>
      <c r="D1405" s="1" t="s">
        <v>71</v>
      </c>
      <c r="E1405">
        <v>4</v>
      </c>
      <c r="F1405" s="1" t="s">
        <v>142</v>
      </c>
      <c r="G1405">
        <v>0</v>
      </c>
      <c r="H1405" s="1" t="s">
        <v>18</v>
      </c>
      <c r="I1405">
        <v>21</v>
      </c>
      <c r="J1405">
        <v>3</v>
      </c>
      <c r="K1405">
        <v>20</v>
      </c>
      <c r="L1405">
        <v>8</v>
      </c>
      <c r="M1405">
        <v>11</v>
      </c>
      <c r="N1405">
        <v>10</v>
      </c>
      <c r="O1405" s="1" t="s">
        <v>19</v>
      </c>
      <c r="P1405" s="1" t="s">
        <v>135</v>
      </c>
      <c r="Q1405">
        <v>119</v>
      </c>
      <c r="R1405" s="1" t="s">
        <v>64</v>
      </c>
      <c r="S1405">
        <v>15</v>
      </c>
      <c r="T1405">
        <v>1</v>
      </c>
      <c r="U1405">
        <v>2</v>
      </c>
      <c r="V1405">
        <v>77</v>
      </c>
      <c r="W1405">
        <v>3</v>
      </c>
      <c r="X1405">
        <v>4</v>
      </c>
      <c r="Y1405" s="1" t="s">
        <v>4</v>
      </c>
      <c r="Z1405">
        <v>1</v>
      </c>
      <c r="AA1405">
        <v>13341</v>
      </c>
      <c r="AB1405">
        <v>25098</v>
      </c>
      <c r="AC1405" s="1" t="s">
        <v>19</v>
      </c>
      <c r="AD1405">
        <v>12</v>
      </c>
      <c r="AE1405">
        <v>3</v>
      </c>
      <c r="AF1405">
        <v>1</v>
      </c>
      <c r="AG1405">
        <v>80</v>
      </c>
      <c r="AH1405">
        <v>0</v>
      </c>
      <c r="AI1405">
        <v>3</v>
      </c>
      <c r="AJ1405">
        <v>0</v>
      </c>
      <c r="AK1405" s="1" t="s">
        <v>136</v>
      </c>
    </row>
    <row r="1406" spans="1:37" x14ac:dyDescent="0.25">
      <c r="A1406">
        <v>1976</v>
      </c>
      <c r="B1406">
        <v>42</v>
      </c>
      <c r="C1406" s="1" t="s">
        <v>25</v>
      </c>
      <c r="D1406" s="1" t="s">
        <v>71</v>
      </c>
      <c r="E1406">
        <v>2</v>
      </c>
      <c r="F1406" s="1" t="s">
        <v>134</v>
      </c>
      <c r="G1406">
        <v>1</v>
      </c>
      <c r="H1406" s="1" t="s">
        <v>18</v>
      </c>
      <c r="I1406">
        <v>20</v>
      </c>
      <c r="J1406">
        <v>2</v>
      </c>
      <c r="K1406">
        <v>20</v>
      </c>
      <c r="L1406">
        <v>9</v>
      </c>
      <c r="M1406">
        <v>3</v>
      </c>
      <c r="N1406">
        <v>7</v>
      </c>
      <c r="O1406" s="1" t="s">
        <v>19</v>
      </c>
      <c r="P1406" s="1" t="s">
        <v>141</v>
      </c>
      <c r="Q1406">
        <v>335</v>
      </c>
      <c r="R1406" s="1" t="s">
        <v>63</v>
      </c>
      <c r="S1406">
        <v>23</v>
      </c>
      <c r="T1406">
        <v>1</v>
      </c>
      <c r="U1406">
        <v>4</v>
      </c>
      <c r="V1406">
        <v>37</v>
      </c>
      <c r="W1406">
        <v>2</v>
      </c>
      <c r="X1406">
        <v>2</v>
      </c>
      <c r="Y1406" s="1" t="s">
        <v>5</v>
      </c>
      <c r="Z1406">
        <v>3</v>
      </c>
      <c r="AA1406">
        <v>4332</v>
      </c>
      <c r="AB1406">
        <v>14811</v>
      </c>
      <c r="AC1406" s="1" t="s">
        <v>19</v>
      </c>
      <c r="AD1406">
        <v>12</v>
      </c>
      <c r="AE1406">
        <v>3</v>
      </c>
      <c r="AF1406">
        <v>4</v>
      </c>
      <c r="AG1406">
        <v>80</v>
      </c>
      <c r="AH1406">
        <v>0</v>
      </c>
      <c r="AI1406">
        <v>3</v>
      </c>
      <c r="AJ1406">
        <v>0</v>
      </c>
      <c r="AK1406" s="1" t="s">
        <v>136</v>
      </c>
    </row>
    <row r="1407" spans="1:37" x14ac:dyDescent="0.25">
      <c r="A1407">
        <v>1979</v>
      </c>
      <c r="B1407">
        <v>31</v>
      </c>
      <c r="C1407" s="1" t="s">
        <v>24</v>
      </c>
      <c r="D1407" s="1" t="s">
        <v>70</v>
      </c>
      <c r="E1407">
        <v>3</v>
      </c>
      <c r="F1407" s="1" t="s">
        <v>139</v>
      </c>
      <c r="G1407">
        <v>4</v>
      </c>
      <c r="H1407" s="1" t="s">
        <v>18</v>
      </c>
      <c r="I1407">
        <v>13</v>
      </c>
      <c r="J1407">
        <v>2</v>
      </c>
      <c r="K1407">
        <v>11</v>
      </c>
      <c r="L1407">
        <v>7</v>
      </c>
      <c r="M1407">
        <v>4</v>
      </c>
      <c r="N1407">
        <v>8</v>
      </c>
      <c r="O1407" s="1" t="s">
        <v>19</v>
      </c>
      <c r="P1407" s="1" t="s">
        <v>141</v>
      </c>
      <c r="Q1407">
        <v>697</v>
      </c>
      <c r="R1407" s="1" t="s">
        <v>63</v>
      </c>
      <c r="S1407">
        <v>10</v>
      </c>
      <c r="T1407">
        <v>1</v>
      </c>
      <c r="U1407">
        <v>3</v>
      </c>
      <c r="V1407">
        <v>40</v>
      </c>
      <c r="W1407">
        <v>3</v>
      </c>
      <c r="X1407">
        <v>3</v>
      </c>
      <c r="Y1407" s="1" t="s">
        <v>11</v>
      </c>
      <c r="Z1407">
        <v>3</v>
      </c>
      <c r="AA1407">
        <v>11031</v>
      </c>
      <c r="AB1407">
        <v>26862</v>
      </c>
      <c r="AC1407" s="1" t="s">
        <v>19</v>
      </c>
      <c r="AD1407">
        <v>20</v>
      </c>
      <c r="AE1407">
        <v>4</v>
      </c>
      <c r="AF1407">
        <v>3</v>
      </c>
      <c r="AG1407">
        <v>80</v>
      </c>
      <c r="AH1407">
        <v>1</v>
      </c>
      <c r="AI1407">
        <v>4</v>
      </c>
      <c r="AJ1407">
        <v>0</v>
      </c>
      <c r="AK1407" s="1" t="s">
        <v>136</v>
      </c>
    </row>
    <row r="1408" spans="1:37" x14ac:dyDescent="0.25">
      <c r="A1408">
        <v>1980</v>
      </c>
      <c r="B1408">
        <v>54</v>
      </c>
      <c r="C1408" s="1" t="s">
        <v>24</v>
      </c>
      <c r="D1408" s="1" t="s">
        <v>71</v>
      </c>
      <c r="E1408">
        <v>3</v>
      </c>
      <c r="F1408" s="1" t="s">
        <v>139</v>
      </c>
      <c r="G1408">
        <v>6</v>
      </c>
      <c r="H1408" s="1" t="s">
        <v>18</v>
      </c>
      <c r="I1408">
        <v>9</v>
      </c>
      <c r="J1408">
        <v>3</v>
      </c>
      <c r="K1408">
        <v>5</v>
      </c>
      <c r="L1408">
        <v>2</v>
      </c>
      <c r="M1408">
        <v>1</v>
      </c>
      <c r="N1408">
        <v>4</v>
      </c>
      <c r="O1408" s="1" t="s">
        <v>19</v>
      </c>
      <c r="P1408" s="1" t="s">
        <v>135</v>
      </c>
      <c r="Q1408">
        <v>157</v>
      </c>
      <c r="R1408" s="1" t="s">
        <v>63</v>
      </c>
      <c r="S1408">
        <v>10</v>
      </c>
      <c r="T1408">
        <v>1</v>
      </c>
      <c r="U1408">
        <v>3</v>
      </c>
      <c r="V1408">
        <v>77</v>
      </c>
      <c r="W1408">
        <v>3</v>
      </c>
      <c r="X1408">
        <v>2</v>
      </c>
      <c r="Y1408" s="1" t="s">
        <v>7</v>
      </c>
      <c r="Z1408">
        <v>1</v>
      </c>
      <c r="AA1408">
        <v>4440</v>
      </c>
      <c r="AB1408">
        <v>25198</v>
      </c>
      <c r="AC1408" s="1" t="s">
        <v>18</v>
      </c>
      <c r="AD1408">
        <v>19</v>
      </c>
      <c r="AE1408">
        <v>3</v>
      </c>
      <c r="AF1408">
        <v>4</v>
      </c>
      <c r="AG1408">
        <v>80</v>
      </c>
      <c r="AH1408">
        <v>0</v>
      </c>
      <c r="AI1408">
        <v>3</v>
      </c>
      <c r="AJ1408">
        <v>0</v>
      </c>
      <c r="AK1408" s="1" t="s">
        <v>140</v>
      </c>
    </row>
    <row r="1409" spans="1:37" x14ac:dyDescent="0.25">
      <c r="A1409">
        <v>1981</v>
      </c>
      <c r="B1409">
        <v>24</v>
      </c>
      <c r="C1409" s="1" t="s">
        <v>25</v>
      </c>
      <c r="D1409" s="1" t="s">
        <v>71</v>
      </c>
      <c r="E1409">
        <v>2</v>
      </c>
      <c r="F1409" s="1" t="s">
        <v>134</v>
      </c>
      <c r="G1409">
        <v>1</v>
      </c>
      <c r="H1409" s="1" t="s">
        <v>18</v>
      </c>
      <c r="I1409">
        <v>4</v>
      </c>
      <c r="J1409">
        <v>2</v>
      </c>
      <c r="K1409">
        <v>4</v>
      </c>
      <c r="L1409">
        <v>3</v>
      </c>
      <c r="M1409">
        <v>1</v>
      </c>
      <c r="N1409">
        <v>2</v>
      </c>
      <c r="O1409" s="1" t="s">
        <v>19</v>
      </c>
      <c r="P1409" s="1" t="s">
        <v>135</v>
      </c>
      <c r="Q1409">
        <v>771</v>
      </c>
      <c r="R1409" s="1" t="s">
        <v>63</v>
      </c>
      <c r="S1409">
        <v>1</v>
      </c>
      <c r="T1409">
        <v>1</v>
      </c>
      <c r="U1409">
        <v>2</v>
      </c>
      <c r="V1409">
        <v>45</v>
      </c>
      <c r="W1409">
        <v>2</v>
      </c>
      <c r="X1409">
        <v>2</v>
      </c>
      <c r="Y1409" s="1" t="s">
        <v>8</v>
      </c>
      <c r="Z1409">
        <v>3</v>
      </c>
      <c r="AA1409">
        <v>4617</v>
      </c>
      <c r="AB1409">
        <v>14120</v>
      </c>
      <c r="AC1409" s="1" t="s">
        <v>19</v>
      </c>
      <c r="AD1409">
        <v>12</v>
      </c>
      <c r="AE1409">
        <v>3</v>
      </c>
      <c r="AF1409">
        <v>2</v>
      </c>
      <c r="AG1409">
        <v>80</v>
      </c>
      <c r="AH1409">
        <v>0</v>
      </c>
      <c r="AI1409">
        <v>2</v>
      </c>
      <c r="AJ1409">
        <v>0</v>
      </c>
      <c r="AK1409" s="1" t="s">
        <v>136</v>
      </c>
    </row>
    <row r="1410" spans="1:37" x14ac:dyDescent="0.25">
      <c r="A1410">
        <v>1982</v>
      </c>
      <c r="B1410">
        <v>23</v>
      </c>
      <c r="C1410" s="1" t="s">
        <v>25</v>
      </c>
      <c r="D1410" s="1" t="s">
        <v>71</v>
      </c>
      <c r="E1410">
        <v>2</v>
      </c>
      <c r="F1410" s="1" t="s">
        <v>138</v>
      </c>
      <c r="G1410">
        <v>1</v>
      </c>
      <c r="H1410" s="1" t="s">
        <v>18</v>
      </c>
      <c r="I1410">
        <v>5</v>
      </c>
      <c r="J1410">
        <v>6</v>
      </c>
      <c r="K1410">
        <v>5</v>
      </c>
      <c r="L1410">
        <v>2</v>
      </c>
      <c r="M1410">
        <v>1</v>
      </c>
      <c r="N1410">
        <v>4</v>
      </c>
      <c r="O1410" s="1" t="s">
        <v>19</v>
      </c>
      <c r="P1410" s="1" t="s">
        <v>135</v>
      </c>
      <c r="Q1410">
        <v>571</v>
      </c>
      <c r="R1410" s="1" t="s">
        <v>63</v>
      </c>
      <c r="S1410">
        <v>12</v>
      </c>
      <c r="T1410">
        <v>1</v>
      </c>
      <c r="U1410">
        <v>4</v>
      </c>
      <c r="V1410">
        <v>78</v>
      </c>
      <c r="W1410">
        <v>3</v>
      </c>
      <c r="X1410">
        <v>1</v>
      </c>
      <c r="Y1410" s="1" t="s">
        <v>6</v>
      </c>
      <c r="Z1410">
        <v>4</v>
      </c>
      <c r="AA1410">
        <v>2647</v>
      </c>
      <c r="AB1410">
        <v>13672</v>
      </c>
      <c r="AC1410" s="1" t="s">
        <v>19</v>
      </c>
      <c r="AD1410">
        <v>13</v>
      </c>
      <c r="AE1410">
        <v>3</v>
      </c>
      <c r="AF1410">
        <v>3</v>
      </c>
      <c r="AG1410">
        <v>80</v>
      </c>
      <c r="AH1410">
        <v>0</v>
      </c>
      <c r="AI1410">
        <v>4</v>
      </c>
      <c r="AJ1410">
        <v>0</v>
      </c>
      <c r="AK1410" s="1" t="s">
        <v>136</v>
      </c>
    </row>
    <row r="1411" spans="1:37" x14ac:dyDescent="0.25">
      <c r="A1411">
        <v>1985</v>
      </c>
      <c r="B1411">
        <v>40</v>
      </c>
      <c r="C1411" s="1" t="s">
        <v>24</v>
      </c>
      <c r="D1411" s="1" t="s">
        <v>70</v>
      </c>
      <c r="E1411">
        <v>3</v>
      </c>
      <c r="F1411" s="1" t="s">
        <v>143</v>
      </c>
      <c r="G1411">
        <v>1</v>
      </c>
      <c r="H1411" s="1" t="s">
        <v>18</v>
      </c>
      <c r="I1411">
        <v>10</v>
      </c>
      <c r="J1411">
        <v>2</v>
      </c>
      <c r="K1411">
        <v>10</v>
      </c>
      <c r="L1411">
        <v>9</v>
      </c>
      <c r="M1411">
        <v>9</v>
      </c>
      <c r="N1411">
        <v>4</v>
      </c>
      <c r="O1411" s="1" t="s">
        <v>19</v>
      </c>
      <c r="P1411" s="1" t="s">
        <v>137</v>
      </c>
      <c r="Q1411">
        <v>692</v>
      </c>
      <c r="R1411" s="1" t="s">
        <v>63</v>
      </c>
      <c r="S1411">
        <v>11</v>
      </c>
      <c r="T1411">
        <v>1</v>
      </c>
      <c r="U1411">
        <v>4</v>
      </c>
      <c r="V1411">
        <v>73</v>
      </c>
      <c r="W1411">
        <v>3</v>
      </c>
      <c r="X1411">
        <v>2</v>
      </c>
      <c r="Y1411" s="1" t="s">
        <v>6</v>
      </c>
      <c r="Z1411">
        <v>3</v>
      </c>
      <c r="AA1411">
        <v>6323</v>
      </c>
      <c r="AB1411">
        <v>26849</v>
      </c>
      <c r="AC1411" s="1" t="s">
        <v>19</v>
      </c>
      <c r="AD1411">
        <v>11</v>
      </c>
      <c r="AE1411">
        <v>3</v>
      </c>
      <c r="AF1411">
        <v>1</v>
      </c>
      <c r="AG1411">
        <v>80</v>
      </c>
      <c r="AH1411">
        <v>1</v>
      </c>
      <c r="AI1411">
        <v>4</v>
      </c>
      <c r="AJ1411">
        <v>0</v>
      </c>
      <c r="AK1411" s="1" t="s">
        <v>136</v>
      </c>
    </row>
    <row r="1412" spans="1:37" x14ac:dyDescent="0.25">
      <c r="A1412">
        <v>1986</v>
      </c>
      <c r="B1412">
        <v>40</v>
      </c>
      <c r="C1412" s="1" t="s">
        <v>24</v>
      </c>
      <c r="D1412" s="1" t="s">
        <v>70</v>
      </c>
      <c r="E1412">
        <v>2</v>
      </c>
      <c r="F1412" s="1" t="s">
        <v>142</v>
      </c>
      <c r="G1412">
        <v>3</v>
      </c>
      <c r="H1412" s="1" t="s">
        <v>18</v>
      </c>
      <c r="I1412">
        <v>15</v>
      </c>
      <c r="J1412">
        <v>4</v>
      </c>
      <c r="K1412">
        <v>11</v>
      </c>
      <c r="L1412">
        <v>8</v>
      </c>
      <c r="M1412">
        <v>5</v>
      </c>
      <c r="N1412">
        <v>10</v>
      </c>
      <c r="O1412" s="1" t="s">
        <v>19</v>
      </c>
      <c r="P1412" s="1" t="s">
        <v>135</v>
      </c>
      <c r="Q1412">
        <v>444</v>
      </c>
      <c r="R1412" s="1" t="s">
        <v>64</v>
      </c>
      <c r="S1412">
        <v>2</v>
      </c>
      <c r="T1412">
        <v>1</v>
      </c>
      <c r="U1412">
        <v>2</v>
      </c>
      <c r="V1412">
        <v>92</v>
      </c>
      <c r="W1412">
        <v>3</v>
      </c>
      <c r="X1412">
        <v>2</v>
      </c>
      <c r="Y1412" s="1" t="s">
        <v>4</v>
      </c>
      <c r="Z1412">
        <v>2</v>
      </c>
      <c r="AA1412">
        <v>5677</v>
      </c>
      <c r="AB1412">
        <v>4258</v>
      </c>
      <c r="AC1412" s="1" t="s">
        <v>19</v>
      </c>
      <c r="AD1412">
        <v>14</v>
      </c>
      <c r="AE1412">
        <v>3</v>
      </c>
      <c r="AF1412">
        <v>3</v>
      </c>
      <c r="AG1412">
        <v>80</v>
      </c>
      <c r="AH1412">
        <v>1</v>
      </c>
      <c r="AI1412">
        <v>3</v>
      </c>
      <c r="AJ1412">
        <v>0</v>
      </c>
      <c r="AK1412" s="1" t="s">
        <v>136</v>
      </c>
    </row>
    <row r="1413" spans="1:37" x14ac:dyDescent="0.25">
      <c r="A1413">
        <v>1987</v>
      </c>
      <c r="B1413">
        <v>25</v>
      </c>
      <c r="C1413" s="1" t="s">
        <v>24</v>
      </c>
      <c r="D1413" s="1" t="s">
        <v>70</v>
      </c>
      <c r="E1413">
        <v>3</v>
      </c>
      <c r="F1413" s="1" t="s">
        <v>12</v>
      </c>
      <c r="G1413">
        <v>4</v>
      </c>
      <c r="H1413" s="1" t="s">
        <v>18</v>
      </c>
      <c r="I1413">
        <v>6</v>
      </c>
      <c r="J1413">
        <v>3</v>
      </c>
      <c r="K1413">
        <v>2</v>
      </c>
      <c r="L1413">
        <v>0</v>
      </c>
      <c r="M1413">
        <v>1</v>
      </c>
      <c r="N1413">
        <v>2</v>
      </c>
      <c r="O1413" s="1" t="s">
        <v>19</v>
      </c>
      <c r="P1413" s="1" t="s">
        <v>135</v>
      </c>
      <c r="Q1413">
        <v>309</v>
      </c>
      <c r="R1413" s="1" t="s">
        <v>12</v>
      </c>
      <c r="S1413">
        <v>2</v>
      </c>
      <c r="T1413">
        <v>1</v>
      </c>
      <c r="U1413">
        <v>3</v>
      </c>
      <c r="V1413">
        <v>82</v>
      </c>
      <c r="W1413">
        <v>3</v>
      </c>
      <c r="X1413">
        <v>1</v>
      </c>
      <c r="Y1413" s="1" t="s">
        <v>12</v>
      </c>
      <c r="Z1413">
        <v>2</v>
      </c>
      <c r="AA1413">
        <v>2187</v>
      </c>
      <c r="AB1413">
        <v>19655</v>
      </c>
      <c r="AC1413" s="1" t="s">
        <v>19</v>
      </c>
      <c r="AD1413">
        <v>14</v>
      </c>
      <c r="AE1413">
        <v>3</v>
      </c>
      <c r="AF1413">
        <v>3</v>
      </c>
      <c r="AG1413">
        <v>80</v>
      </c>
      <c r="AH1413">
        <v>0</v>
      </c>
      <c r="AI1413">
        <v>3</v>
      </c>
      <c r="AJ1413">
        <v>0</v>
      </c>
      <c r="AK1413" s="1" t="s">
        <v>136</v>
      </c>
    </row>
    <row r="1414" spans="1:37" x14ac:dyDescent="0.25">
      <c r="A1414">
        <v>1989</v>
      </c>
      <c r="B1414">
        <v>30</v>
      </c>
      <c r="C1414" s="1" t="s">
        <v>25</v>
      </c>
      <c r="D1414" s="1" t="s">
        <v>70</v>
      </c>
      <c r="E1414">
        <v>2</v>
      </c>
      <c r="F1414" s="1" t="s">
        <v>139</v>
      </c>
      <c r="G1414">
        <v>1</v>
      </c>
      <c r="H1414" s="1" t="s">
        <v>18</v>
      </c>
      <c r="I1414">
        <v>12</v>
      </c>
      <c r="J1414">
        <v>6</v>
      </c>
      <c r="K1414">
        <v>12</v>
      </c>
      <c r="L1414">
        <v>8</v>
      </c>
      <c r="M1414">
        <v>1</v>
      </c>
      <c r="N1414">
        <v>7</v>
      </c>
      <c r="O1414" s="1" t="s">
        <v>19</v>
      </c>
      <c r="P1414" s="1" t="s">
        <v>135</v>
      </c>
      <c r="Q1414">
        <v>911</v>
      </c>
      <c r="R1414" s="1" t="s">
        <v>63</v>
      </c>
      <c r="S1414">
        <v>1</v>
      </c>
      <c r="T1414">
        <v>1</v>
      </c>
      <c r="U1414">
        <v>4</v>
      </c>
      <c r="V1414">
        <v>76</v>
      </c>
      <c r="W1414">
        <v>3</v>
      </c>
      <c r="X1414">
        <v>1</v>
      </c>
      <c r="Y1414" s="1" t="s">
        <v>6</v>
      </c>
      <c r="Z1414">
        <v>2</v>
      </c>
      <c r="AA1414">
        <v>3748</v>
      </c>
      <c r="AB1414">
        <v>4077</v>
      </c>
      <c r="AC1414" s="1" t="s">
        <v>19</v>
      </c>
      <c r="AD1414">
        <v>13</v>
      </c>
      <c r="AE1414">
        <v>3</v>
      </c>
      <c r="AF1414">
        <v>3</v>
      </c>
      <c r="AG1414">
        <v>80</v>
      </c>
      <c r="AH1414">
        <v>0</v>
      </c>
      <c r="AI1414">
        <v>2</v>
      </c>
      <c r="AJ1414">
        <v>0</v>
      </c>
      <c r="AK1414" s="1" t="s">
        <v>136</v>
      </c>
    </row>
    <row r="1415" spans="1:37" x14ac:dyDescent="0.25">
      <c r="A1415">
        <v>1992</v>
      </c>
      <c r="B1415">
        <v>25</v>
      </c>
      <c r="C1415" s="1" t="s">
        <v>25</v>
      </c>
      <c r="D1415" s="1" t="s">
        <v>69</v>
      </c>
      <c r="E1415">
        <v>1</v>
      </c>
      <c r="F1415" s="1" t="s">
        <v>138</v>
      </c>
      <c r="G1415">
        <v>6</v>
      </c>
      <c r="H1415" s="1" t="s">
        <v>18</v>
      </c>
      <c r="I1415">
        <v>7</v>
      </c>
      <c r="J1415">
        <v>2</v>
      </c>
      <c r="K1415">
        <v>2</v>
      </c>
      <c r="L1415">
        <v>2</v>
      </c>
      <c r="M1415">
        <v>0</v>
      </c>
      <c r="N1415">
        <v>2</v>
      </c>
      <c r="O1415" s="1" t="s">
        <v>19</v>
      </c>
      <c r="P1415" s="1" t="s">
        <v>135</v>
      </c>
      <c r="Q1415">
        <v>977</v>
      </c>
      <c r="R1415" s="1" t="s">
        <v>63</v>
      </c>
      <c r="S1415">
        <v>2</v>
      </c>
      <c r="T1415">
        <v>1</v>
      </c>
      <c r="U1415">
        <v>4</v>
      </c>
      <c r="V1415">
        <v>57</v>
      </c>
      <c r="W1415">
        <v>3</v>
      </c>
      <c r="X1415">
        <v>1</v>
      </c>
      <c r="Y1415" s="1" t="s">
        <v>6</v>
      </c>
      <c r="Z1415">
        <v>3</v>
      </c>
      <c r="AA1415">
        <v>3977</v>
      </c>
      <c r="AB1415">
        <v>7298</v>
      </c>
      <c r="AC1415" s="1" t="s">
        <v>18</v>
      </c>
      <c r="AD1415">
        <v>19</v>
      </c>
      <c r="AE1415">
        <v>3</v>
      </c>
      <c r="AF1415">
        <v>3</v>
      </c>
      <c r="AG1415">
        <v>80</v>
      </c>
      <c r="AH1415">
        <v>1</v>
      </c>
      <c r="AI1415">
        <v>2</v>
      </c>
      <c r="AJ1415">
        <v>0</v>
      </c>
      <c r="AK1415" s="1" t="s">
        <v>136</v>
      </c>
    </row>
    <row r="1416" spans="1:37" x14ac:dyDescent="0.25">
      <c r="A1416">
        <v>1993</v>
      </c>
      <c r="B1416">
        <v>47</v>
      </c>
      <c r="C1416" s="1" t="s">
        <v>25</v>
      </c>
      <c r="D1416" s="1" t="s">
        <v>71</v>
      </c>
      <c r="E1416">
        <v>3</v>
      </c>
      <c r="F1416" s="1" t="s">
        <v>139</v>
      </c>
      <c r="G1416">
        <v>2</v>
      </c>
      <c r="H1416" s="1" t="s">
        <v>18</v>
      </c>
      <c r="I1416">
        <v>25</v>
      </c>
      <c r="J1416">
        <v>3</v>
      </c>
      <c r="K1416">
        <v>17</v>
      </c>
      <c r="L1416">
        <v>14</v>
      </c>
      <c r="M1416">
        <v>12</v>
      </c>
      <c r="N1416">
        <v>11</v>
      </c>
      <c r="O1416" s="1" t="s">
        <v>19</v>
      </c>
      <c r="P1416" s="1" t="s">
        <v>135</v>
      </c>
      <c r="Q1416">
        <v>1180</v>
      </c>
      <c r="R1416" s="1" t="s">
        <v>63</v>
      </c>
      <c r="S1416">
        <v>25</v>
      </c>
      <c r="T1416">
        <v>1</v>
      </c>
      <c r="U1416">
        <v>1</v>
      </c>
      <c r="V1416">
        <v>84</v>
      </c>
      <c r="W1416">
        <v>3</v>
      </c>
      <c r="X1416">
        <v>3</v>
      </c>
      <c r="Y1416" s="1" t="s">
        <v>8</v>
      </c>
      <c r="Z1416">
        <v>3</v>
      </c>
      <c r="AA1416">
        <v>8633</v>
      </c>
      <c r="AB1416">
        <v>13084</v>
      </c>
      <c r="AC1416" s="1" t="s">
        <v>19</v>
      </c>
      <c r="AD1416">
        <v>23</v>
      </c>
      <c r="AE1416">
        <v>4</v>
      </c>
      <c r="AF1416">
        <v>2</v>
      </c>
      <c r="AG1416">
        <v>80</v>
      </c>
      <c r="AH1416">
        <v>0</v>
      </c>
      <c r="AI1416">
        <v>3</v>
      </c>
      <c r="AJ1416">
        <v>0</v>
      </c>
      <c r="AK1416" s="1" t="s">
        <v>136</v>
      </c>
    </row>
    <row r="1417" spans="1:37" x14ac:dyDescent="0.25">
      <c r="A1417">
        <v>1994</v>
      </c>
      <c r="B1417">
        <v>33</v>
      </c>
      <c r="C1417" s="1" t="s">
        <v>25</v>
      </c>
      <c r="D1417" s="1" t="s">
        <v>69</v>
      </c>
      <c r="E1417">
        <v>2</v>
      </c>
      <c r="F1417" s="1" t="s">
        <v>139</v>
      </c>
      <c r="G1417">
        <v>1</v>
      </c>
      <c r="H1417" s="1" t="s">
        <v>18</v>
      </c>
      <c r="I1417">
        <v>1</v>
      </c>
      <c r="J1417">
        <v>2</v>
      </c>
      <c r="K1417">
        <v>1</v>
      </c>
      <c r="L1417">
        <v>1</v>
      </c>
      <c r="M1417">
        <v>0</v>
      </c>
      <c r="N1417">
        <v>0</v>
      </c>
      <c r="O1417" s="1" t="s">
        <v>19</v>
      </c>
      <c r="P1417" s="1" t="s">
        <v>141</v>
      </c>
      <c r="Q1417">
        <v>1313</v>
      </c>
      <c r="R1417" s="1" t="s">
        <v>63</v>
      </c>
      <c r="S1417">
        <v>1</v>
      </c>
      <c r="T1417">
        <v>1</v>
      </c>
      <c r="U1417">
        <v>2</v>
      </c>
      <c r="V1417">
        <v>59</v>
      </c>
      <c r="W1417">
        <v>2</v>
      </c>
      <c r="X1417">
        <v>1</v>
      </c>
      <c r="Y1417" s="1" t="s">
        <v>6</v>
      </c>
      <c r="Z1417">
        <v>3</v>
      </c>
      <c r="AA1417">
        <v>2008</v>
      </c>
      <c r="AB1417">
        <v>20439</v>
      </c>
      <c r="AC1417" s="1" t="s">
        <v>19</v>
      </c>
      <c r="AD1417">
        <v>12</v>
      </c>
      <c r="AE1417">
        <v>3</v>
      </c>
      <c r="AF1417">
        <v>3</v>
      </c>
      <c r="AG1417">
        <v>80</v>
      </c>
      <c r="AH1417">
        <v>3</v>
      </c>
      <c r="AI1417">
        <v>2</v>
      </c>
      <c r="AJ1417">
        <v>0</v>
      </c>
      <c r="AK1417" s="1" t="s">
        <v>136</v>
      </c>
    </row>
    <row r="1418" spans="1:37" x14ac:dyDescent="0.25">
      <c r="A1418">
        <v>1995</v>
      </c>
      <c r="B1418">
        <v>38</v>
      </c>
      <c r="C1418" s="1" t="s">
        <v>25</v>
      </c>
      <c r="D1418" s="1" t="s">
        <v>70</v>
      </c>
      <c r="E1418">
        <v>4</v>
      </c>
      <c r="F1418" s="1" t="s">
        <v>134</v>
      </c>
      <c r="G1418">
        <v>0</v>
      </c>
      <c r="H1418" s="1" t="s">
        <v>18</v>
      </c>
      <c r="I1418">
        <v>16</v>
      </c>
      <c r="J1418">
        <v>3</v>
      </c>
      <c r="K1418">
        <v>15</v>
      </c>
      <c r="L1418">
        <v>13</v>
      </c>
      <c r="M1418">
        <v>5</v>
      </c>
      <c r="N1418">
        <v>8</v>
      </c>
      <c r="O1418" s="1" t="s">
        <v>19</v>
      </c>
      <c r="P1418" s="1" t="s">
        <v>135</v>
      </c>
      <c r="Q1418">
        <v>1321</v>
      </c>
      <c r="R1418" s="1" t="s">
        <v>64</v>
      </c>
      <c r="S1418">
        <v>1</v>
      </c>
      <c r="T1418">
        <v>1</v>
      </c>
      <c r="U1418">
        <v>4</v>
      </c>
      <c r="V1418">
        <v>86</v>
      </c>
      <c r="W1418">
        <v>3</v>
      </c>
      <c r="X1418">
        <v>2</v>
      </c>
      <c r="Y1418" s="1" t="s">
        <v>4</v>
      </c>
      <c r="Z1418">
        <v>2</v>
      </c>
      <c r="AA1418">
        <v>4440</v>
      </c>
      <c r="AB1418">
        <v>7636</v>
      </c>
      <c r="AC1418" s="1" t="s">
        <v>19</v>
      </c>
      <c r="AD1418">
        <v>15</v>
      </c>
      <c r="AE1418">
        <v>3</v>
      </c>
      <c r="AF1418">
        <v>1</v>
      </c>
      <c r="AG1418">
        <v>80</v>
      </c>
      <c r="AH1418">
        <v>2</v>
      </c>
      <c r="AI1418">
        <v>3</v>
      </c>
      <c r="AJ1418">
        <v>0</v>
      </c>
      <c r="AK1418" s="1" t="s">
        <v>136</v>
      </c>
    </row>
    <row r="1419" spans="1:37" x14ac:dyDescent="0.25">
      <c r="A1419">
        <v>1996</v>
      </c>
      <c r="B1419">
        <v>31</v>
      </c>
      <c r="C1419" s="1" t="s">
        <v>25</v>
      </c>
      <c r="D1419" s="1" t="s">
        <v>70</v>
      </c>
      <c r="E1419">
        <v>2</v>
      </c>
      <c r="F1419" s="1" t="s">
        <v>134</v>
      </c>
      <c r="G1419">
        <v>0</v>
      </c>
      <c r="H1419" s="1" t="s">
        <v>18</v>
      </c>
      <c r="I1419">
        <v>3</v>
      </c>
      <c r="J1419">
        <v>1</v>
      </c>
      <c r="K1419">
        <v>2</v>
      </c>
      <c r="L1419">
        <v>2</v>
      </c>
      <c r="M1419">
        <v>1</v>
      </c>
      <c r="N1419">
        <v>2</v>
      </c>
      <c r="O1419" s="1" t="s">
        <v>19</v>
      </c>
      <c r="P1419" s="1" t="s">
        <v>135</v>
      </c>
      <c r="Q1419">
        <v>1154</v>
      </c>
      <c r="R1419" s="1" t="s">
        <v>64</v>
      </c>
      <c r="S1419">
        <v>2</v>
      </c>
      <c r="T1419">
        <v>1</v>
      </c>
      <c r="U1419">
        <v>1</v>
      </c>
      <c r="V1419">
        <v>54</v>
      </c>
      <c r="W1419">
        <v>3</v>
      </c>
      <c r="X1419">
        <v>1</v>
      </c>
      <c r="Y1419" s="1" t="s">
        <v>10</v>
      </c>
      <c r="Z1419">
        <v>3</v>
      </c>
      <c r="AA1419">
        <v>3067</v>
      </c>
      <c r="AB1419">
        <v>6393</v>
      </c>
      <c r="AC1419" s="1" t="s">
        <v>19</v>
      </c>
      <c r="AD1419">
        <v>19</v>
      </c>
      <c r="AE1419">
        <v>3</v>
      </c>
      <c r="AF1419">
        <v>3</v>
      </c>
      <c r="AG1419">
        <v>80</v>
      </c>
      <c r="AH1419">
        <v>1</v>
      </c>
      <c r="AI1419">
        <v>3</v>
      </c>
      <c r="AJ1419">
        <v>0</v>
      </c>
      <c r="AK1419" s="1" t="s">
        <v>136</v>
      </c>
    </row>
    <row r="1420" spans="1:37" x14ac:dyDescent="0.25">
      <c r="A1420">
        <v>1997</v>
      </c>
      <c r="B1420">
        <v>38</v>
      </c>
      <c r="C1420" s="1" t="s">
        <v>25</v>
      </c>
      <c r="D1420" s="1" t="s">
        <v>70</v>
      </c>
      <c r="E1420">
        <v>4</v>
      </c>
      <c r="F1420" s="1" t="s">
        <v>134</v>
      </c>
      <c r="G1420">
        <v>2</v>
      </c>
      <c r="H1420" s="1" t="s">
        <v>18</v>
      </c>
      <c r="I1420">
        <v>10</v>
      </c>
      <c r="J1420">
        <v>1</v>
      </c>
      <c r="K1420">
        <v>8</v>
      </c>
      <c r="L1420">
        <v>3</v>
      </c>
      <c r="M1420">
        <v>7</v>
      </c>
      <c r="N1420">
        <v>7</v>
      </c>
      <c r="O1420" s="1" t="s">
        <v>19</v>
      </c>
      <c r="P1420" s="1" t="s">
        <v>137</v>
      </c>
      <c r="Q1420">
        <v>508</v>
      </c>
      <c r="R1420" s="1" t="s">
        <v>63</v>
      </c>
      <c r="S1420">
        <v>6</v>
      </c>
      <c r="T1420">
        <v>1</v>
      </c>
      <c r="U1420">
        <v>1</v>
      </c>
      <c r="V1420">
        <v>72</v>
      </c>
      <c r="W1420">
        <v>2</v>
      </c>
      <c r="X1420">
        <v>2</v>
      </c>
      <c r="Y1420" s="1" t="s">
        <v>7</v>
      </c>
      <c r="Z1420">
        <v>3</v>
      </c>
      <c r="AA1420">
        <v>5321</v>
      </c>
      <c r="AB1420">
        <v>14284</v>
      </c>
      <c r="AC1420" s="1" t="s">
        <v>19</v>
      </c>
      <c r="AD1420">
        <v>11</v>
      </c>
      <c r="AE1420">
        <v>3</v>
      </c>
      <c r="AF1420">
        <v>4</v>
      </c>
      <c r="AG1420">
        <v>80</v>
      </c>
      <c r="AH1420">
        <v>1</v>
      </c>
      <c r="AI1420">
        <v>3</v>
      </c>
      <c r="AJ1420">
        <v>0</v>
      </c>
      <c r="AK1420" s="1" t="s">
        <v>136</v>
      </c>
    </row>
    <row r="1421" spans="1:37" x14ac:dyDescent="0.25">
      <c r="A1421">
        <v>1998</v>
      </c>
      <c r="B1421">
        <v>42</v>
      </c>
      <c r="C1421" s="1" t="s">
        <v>25</v>
      </c>
      <c r="D1421" s="1" t="s">
        <v>69</v>
      </c>
      <c r="E1421">
        <v>4</v>
      </c>
      <c r="F1421" s="1" t="s">
        <v>134</v>
      </c>
      <c r="G1421">
        <v>6</v>
      </c>
      <c r="H1421" s="1" t="s">
        <v>18</v>
      </c>
      <c r="I1421">
        <v>9</v>
      </c>
      <c r="J1421">
        <v>3</v>
      </c>
      <c r="K1421">
        <v>4</v>
      </c>
      <c r="L1421">
        <v>3</v>
      </c>
      <c r="M1421">
        <v>1</v>
      </c>
      <c r="N1421">
        <v>2</v>
      </c>
      <c r="O1421" s="1" t="s">
        <v>19</v>
      </c>
      <c r="P1421" s="1" t="s">
        <v>135</v>
      </c>
      <c r="Q1421">
        <v>557</v>
      </c>
      <c r="R1421" s="1" t="s">
        <v>63</v>
      </c>
      <c r="S1421">
        <v>18</v>
      </c>
      <c r="T1421">
        <v>1</v>
      </c>
      <c r="U1421">
        <v>4</v>
      </c>
      <c r="V1421">
        <v>35</v>
      </c>
      <c r="W1421">
        <v>3</v>
      </c>
      <c r="X1421">
        <v>2</v>
      </c>
      <c r="Y1421" s="1" t="s">
        <v>5</v>
      </c>
      <c r="Z1421">
        <v>1</v>
      </c>
      <c r="AA1421">
        <v>5410</v>
      </c>
      <c r="AB1421">
        <v>11189</v>
      </c>
      <c r="AC1421" s="1" t="s">
        <v>18</v>
      </c>
      <c r="AD1421">
        <v>17</v>
      </c>
      <c r="AE1421">
        <v>3</v>
      </c>
      <c r="AF1421">
        <v>3</v>
      </c>
      <c r="AG1421">
        <v>80</v>
      </c>
      <c r="AH1421">
        <v>1</v>
      </c>
      <c r="AI1421">
        <v>2</v>
      </c>
      <c r="AJ1421">
        <v>0</v>
      </c>
      <c r="AK1421" s="1" t="s">
        <v>136</v>
      </c>
    </row>
    <row r="1422" spans="1:37" x14ac:dyDescent="0.25">
      <c r="A1422">
        <v>1999</v>
      </c>
      <c r="B1422">
        <v>41</v>
      </c>
      <c r="C1422" s="1" t="s">
        <v>25</v>
      </c>
      <c r="D1422" s="1" t="s">
        <v>70</v>
      </c>
      <c r="E1422">
        <v>3</v>
      </c>
      <c r="F1422" s="1" t="s">
        <v>134</v>
      </c>
      <c r="G1422">
        <v>3</v>
      </c>
      <c r="H1422" s="1" t="s">
        <v>18</v>
      </c>
      <c r="I1422">
        <v>12</v>
      </c>
      <c r="J1422">
        <v>3</v>
      </c>
      <c r="K1422">
        <v>5</v>
      </c>
      <c r="L1422">
        <v>3</v>
      </c>
      <c r="M1422">
        <v>1</v>
      </c>
      <c r="N1422">
        <v>0</v>
      </c>
      <c r="O1422" s="1" t="s">
        <v>19</v>
      </c>
      <c r="P1422" s="1" t="s">
        <v>135</v>
      </c>
      <c r="Q1422">
        <v>642</v>
      </c>
      <c r="R1422" s="1" t="s">
        <v>63</v>
      </c>
      <c r="S1422">
        <v>1</v>
      </c>
      <c r="T1422">
        <v>1</v>
      </c>
      <c r="U1422">
        <v>4</v>
      </c>
      <c r="V1422">
        <v>76</v>
      </c>
      <c r="W1422">
        <v>3</v>
      </c>
      <c r="X1422">
        <v>1</v>
      </c>
      <c r="Y1422" s="1" t="s">
        <v>5</v>
      </c>
      <c r="Z1422">
        <v>4</v>
      </c>
      <c r="AA1422">
        <v>2782</v>
      </c>
      <c r="AB1422">
        <v>21412</v>
      </c>
      <c r="AC1422" s="1" t="s">
        <v>19</v>
      </c>
      <c r="AD1422">
        <v>22</v>
      </c>
      <c r="AE1422">
        <v>4</v>
      </c>
      <c r="AF1422">
        <v>1</v>
      </c>
      <c r="AG1422">
        <v>80</v>
      </c>
      <c r="AH1422">
        <v>1</v>
      </c>
      <c r="AI1422">
        <v>3</v>
      </c>
      <c r="AJ1422">
        <v>0</v>
      </c>
      <c r="AK1422" s="1" t="s">
        <v>136</v>
      </c>
    </row>
    <row r="1423" spans="1:37" x14ac:dyDescent="0.25">
      <c r="A1423">
        <v>2000</v>
      </c>
      <c r="B1423">
        <v>47</v>
      </c>
      <c r="C1423" s="1" t="s">
        <v>24</v>
      </c>
      <c r="D1423" s="1" t="s">
        <v>70</v>
      </c>
      <c r="E1423">
        <v>1</v>
      </c>
      <c r="F1423" s="1" t="s">
        <v>139</v>
      </c>
      <c r="G1423">
        <v>0</v>
      </c>
      <c r="H1423" s="1" t="s">
        <v>18</v>
      </c>
      <c r="I1423">
        <v>14</v>
      </c>
      <c r="J1423">
        <v>3</v>
      </c>
      <c r="K1423">
        <v>13</v>
      </c>
      <c r="L1423">
        <v>8</v>
      </c>
      <c r="M1423">
        <v>5</v>
      </c>
      <c r="N1423">
        <v>12</v>
      </c>
      <c r="O1423" s="1" t="s">
        <v>19</v>
      </c>
      <c r="P1423" s="1" t="s">
        <v>141</v>
      </c>
      <c r="Q1423">
        <v>1162</v>
      </c>
      <c r="R1423" s="1" t="s">
        <v>63</v>
      </c>
      <c r="S1423">
        <v>1</v>
      </c>
      <c r="T1423">
        <v>1</v>
      </c>
      <c r="U1423">
        <v>3</v>
      </c>
      <c r="V1423">
        <v>98</v>
      </c>
      <c r="W1423">
        <v>3</v>
      </c>
      <c r="X1423">
        <v>3</v>
      </c>
      <c r="Y1423" s="1" t="s">
        <v>11</v>
      </c>
      <c r="Z1423">
        <v>2</v>
      </c>
      <c r="AA1423">
        <v>11957</v>
      </c>
      <c r="AB1423">
        <v>17231</v>
      </c>
      <c r="AC1423" s="1" t="s">
        <v>19</v>
      </c>
      <c r="AD1423">
        <v>18</v>
      </c>
      <c r="AE1423">
        <v>3</v>
      </c>
      <c r="AF1423">
        <v>1</v>
      </c>
      <c r="AG1423">
        <v>80</v>
      </c>
      <c r="AH1423">
        <v>2</v>
      </c>
      <c r="AI1423">
        <v>1</v>
      </c>
      <c r="AJ1423">
        <v>0</v>
      </c>
      <c r="AK1423" s="1" t="s">
        <v>136</v>
      </c>
    </row>
    <row r="1424" spans="1:37" x14ac:dyDescent="0.25">
      <c r="A1424">
        <v>2003</v>
      </c>
      <c r="B1424">
        <v>35</v>
      </c>
      <c r="C1424" s="1" t="s">
        <v>25</v>
      </c>
      <c r="D1424" s="1" t="s">
        <v>70</v>
      </c>
      <c r="E1424">
        <v>4</v>
      </c>
      <c r="F1424" s="1" t="s">
        <v>139</v>
      </c>
      <c r="G1424">
        <v>7</v>
      </c>
      <c r="H1424" s="1" t="s">
        <v>18</v>
      </c>
      <c r="I1424">
        <v>5</v>
      </c>
      <c r="J1424">
        <v>3</v>
      </c>
      <c r="K1424">
        <v>2</v>
      </c>
      <c r="L1424">
        <v>2</v>
      </c>
      <c r="M1424">
        <v>2</v>
      </c>
      <c r="N1424">
        <v>2</v>
      </c>
      <c r="O1424" s="1" t="s">
        <v>19</v>
      </c>
      <c r="P1424" s="1" t="s">
        <v>135</v>
      </c>
      <c r="Q1424">
        <v>1490</v>
      </c>
      <c r="R1424" s="1" t="s">
        <v>63</v>
      </c>
      <c r="S1424">
        <v>11</v>
      </c>
      <c r="T1424">
        <v>1</v>
      </c>
      <c r="U1424">
        <v>4</v>
      </c>
      <c r="V1424">
        <v>43</v>
      </c>
      <c r="W1424">
        <v>3</v>
      </c>
      <c r="X1424">
        <v>1</v>
      </c>
      <c r="Y1424" s="1" t="s">
        <v>6</v>
      </c>
      <c r="Z1424">
        <v>3</v>
      </c>
      <c r="AA1424">
        <v>2660</v>
      </c>
      <c r="AB1424">
        <v>20232</v>
      </c>
      <c r="AC1424" s="1" t="s">
        <v>18</v>
      </c>
      <c r="AD1424">
        <v>11</v>
      </c>
      <c r="AE1424">
        <v>3</v>
      </c>
      <c r="AF1424">
        <v>3</v>
      </c>
      <c r="AG1424">
        <v>80</v>
      </c>
      <c r="AH1424">
        <v>1</v>
      </c>
      <c r="AI1424">
        <v>3</v>
      </c>
      <c r="AJ1424">
        <v>0</v>
      </c>
      <c r="AK1424" s="1" t="s">
        <v>136</v>
      </c>
    </row>
    <row r="1425" spans="1:37" x14ac:dyDescent="0.25">
      <c r="A1425">
        <v>2007</v>
      </c>
      <c r="B1425">
        <v>22</v>
      </c>
      <c r="C1425" s="1" t="s">
        <v>25</v>
      </c>
      <c r="D1425" s="1" t="s">
        <v>71</v>
      </c>
      <c r="E1425">
        <v>2</v>
      </c>
      <c r="F1425" s="1" t="s">
        <v>134</v>
      </c>
      <c r="G1425">
        <v>0</v>
      </c>
      <c r="H1425" s="1" t="s">
        <v>18</v>
      </c>
      <c r="I1425">
        <v>4</v>
      </c>
      <c r="J1425">
        <v>2</v>
      </c>
      <c r="K1425">
        <v>3</v>
      </c>
      <c r="L1425">
        <v>2</v>
      </c>
      <c r="M1425">
        <v>1</v>
      </c>
      <c r="N1425">
        <v>2</v>
      </c>
      <c r="O1425" s="1" t="s">
        <v>19</v>
      </c>
      <c r="P1425" s="1" t="s">
        <v>135</v>
      </c>
      <c r="Q1425">
        <v>581</v>
      </c>
      <c r="R1425" s="1" t="s">
        <v>63</v>
      </c>
      <c r="S1425">
        <v>1</v>
      </c>
      <c r="T1425">
        <v>1</v>
      </c>
      <c r="U1425">
        <v>4</v>
      </c>
      <c r="V1425">
        <v>63</v>
      </c>
      <c r="W1425">
        <v>3</v>
      </c>
      <c r="X1425">
        <v>1</v>
      </c>
      <c r="Y1425" s="1" t="s">
        <v>5</v>
      </c>
      <c r="Z1425">
        <v>3</v>
      </c>
      <c r="AA1425">
        <v>3375</v>
      </c>
      <c r="AB1425">
        <v>17624</v>
      </c>
      <c r="AC1425" s="1" t="s">
        <v>19</v>
      </c>
      <c r="AD1425">
        <v>12</v>
      </c>
      <c r="AE1425">
        <v>3</v>
      </c>
      <c r="AF1425">
        <v>4</v>
      </c>
      <c r="AG1425">
        <v>80</v>
      </c>
      <c r="AH1425">
        <v>0</v>
      </c>
      <c r="AI1425">
        <v>4</v>
      </c>
      <c r="AJ1425">
        <v>0</v>
      </c>
      <c r="AK1425" s="1" t="s">
        <v>136</v>
      </c>
    </row>
    <row r="1426" spans="1:37" x14ac:dyDescent="0.25">
      <c r="A1426">
        <v>2008</v>
      </c>
      <c r="B1426">
        <v>35</v>
      </c>
      <c r="C1426" s="1" t="s">
        <v>25</v>
      </c>
      <c r="D1426" s="1" t="s">
        <v>71</v>
      </c>
      <c r="E1426">
        <v>4</v>
      </c>
      <c r="F1426" s="1" t="s">
        <v>139</v>
      </c>
      <c r="G1426">
        <v>1</v>
      </c>
      <c r="H1426" s="1" t="s">
        <v>18</v>
      </c>
      <c r="I1426">
        <v>10</v>
      </c>
      <c r="J1426">
        <v>5</v>
      </c>
      <c r="K1426">
        <v>10</v>
      </c>
      <c r="L1426">
        <v>7</v>
      </c>
      <c r="M1426">
        <v>0</v>
      </c>
      <c r="N1426">
        <v>8</v>
      </c>
      <c r="O1426" s="1" t="s">
        <v>19</v>
      </c>
      <c r="P1426" s="1" t="s">
        <v>135</v>
      </c>
      <c r="Q1426">
        <v>1395</v>
      </c>
      <c r="R1426" s="1" t="s">
        <v>63</v>
      </c>
      <c r="S1426">
        <v>9</v>
      </c>
      <c r="T1426">
        <v>1</v>
      </c>
      <c r="U1426">
        <v>2</v>
      </c>
      <c r="V1426">
        <v>48</v>
      </c>
      <c r="W1426">
        <v>3</v>
      </c>
      <c r="X1426">
        <v>2</v>
      </c>
      <c r="Y1426" s="1" t="s">
        <v>5</v>
      </c>
      <c r="Z1426">
        <v>3</v>
      </c>
      <c r="AA1426">
        <v>5098</v>
      </c>
      <c r="AB1426">
        <v>18698</v>
      </c>
      <c r="AC1426" s="1" t="s">
        <v>19</v>
      </c>
      <c r="AD1426">
        <v>19</v>
      </c>
      <c r="AE1426">
        <v>3</v>
      </c>
      <c r="AF1426">
        <v>2</v>
      </c>
      <c r="AG1426">
        <v>80</v>
      </c>
      <c r="AH1426">
        <v>0</v>
      </c>
      <c r="AI1426">
        <v>3</v>
      </c>
      <c r="AJ1426">
        <v>0</v>
      </c>
      <c r="AK1426" s="1" t="s">
        <v>136</v>
      </c>
    </row>
    <row r="1427" spans="1:37" x14ac:dyDescent="0.25">
      <c r="A1427">
        <v>2009</v>
      </c>
      <c r="B1427">
        <v>33</v>
      </c>
      <c r="C1427" s="1" t="s">
        <v>24</v>
      </c>
      <c r="D1427" s="1" t="s">
        <v>70</v>
      </c>
      <c r="E1427">
        <v>2</v>
      </c>
      <c r="F1427" s="1" t="s">
        <v>139</v>
      </c>
      <c r="G1427">
        <v>0</v>
      </c>
      <c r="H1427" s="1" t="s">
        <v>18</v>
      </c>
      <c r="I1427">
        <v>10</v>
      </c>
      <c r="J1427">
        <v>6</v>
      </c>
      <c r="K1427">
        <v>9</v>
      </c>
      <c r="L1427">
        <v>7</v>
      </c>
      <c r="M1427">
        <v>8</v>
      </c>
      <c r="N1427">
        <v>1</v>
      </c>
      <c r="O1427" s="1" t="s">
        <v>19</v>
      </c>
      <c r="P1427" s="1" t="s">
        <v>135</v>
      </c>
      <c r="Q1427">
        <v>501</v>
      </c>
      <c r="R1427" s="1" t="s">
        <v>63</v>
      </c>
      <c r="S1427">
        <v>15</v>
      </c>
      <c r="T1427">
        <v>1</v>
      </c>
      <c r="U1427">
        <v>2</v>
      </c>
      <c r="V1427">
        <v>95</v>
      </c>
      <c r="W1427">
        <v>3</v>
      </c>
      <c r="X1427">
        <v>2</v>
      </c>
      <c r="Y1427" s="1" t="s">
        <v>8</v>
      </c>
      <c r="Z1427">
        <v>4</v>
      </c>
      <c r="AA1427">
        <v>4878</v>
      </c>
      <c r="AB1427">
        <v>21653</v>
      </c>
      <c r="AC1427" s="1" t="s">
        <v>18</v>
      </c>
      <c r="AD1427">
        <v>13</v>
      </c>
      <c r="AE1427">
        <v>3</v>
      </c>
      <c r="AF1427">
        <v>1</v>
      </c>
      <c r="AG1427">
        <v>80</v>
      </c>
      <c r="AH1427">
        <v>1</v>
      </c>
      <c r="AI1427">
        <v>3</v>
      </c>
      <c r="AJ1427">
        <v>0</v>
      </c>
      <c r="AK1427" s="1" t="s">
        <v>136</v>
      </c>
    </row>
    <row r="1428" spans="1:37" x14ac:dyDescent="0.25">
      <c r="A1428">
        <v>2010</v>
      </c>
      <c r="B1428">
        <v>32</v>
      </c>
      <c r="C1428" s="1" t="s">
        <v>24</v>
      </c>
      <c r="D1428" s="1" t="s">
        <v>71</v>
      </c>
      <c r="E1428">
        <v>4</v>
      </c>
      <c r="F1428" s="1" t="s">
        <v>134</v>
      </c>
      <c r="G1428">
        <v>1</v>
      </c>
      <c r="H1428" s="1" t="s">
        <v>18</v>
      </c>
      <c r="I1428">
        <v>6</v>
      </c>
      <c r="J1428">
        <v>3</v>
      </c>
      <c r="K1428">
        <v>6</v>
      </c>
      <c r="L1428">
        <v>2</v>
      </c>
      <c r="M1428">
        <v>4</v>
      </c>
      <c r="N1428">
        <v>1</v>
      </c>
      <c r="O1428" s="1" t="s">
        <v>19</v>
      </c>
      <c r="P1428" s="1" t="s">
        <v>135</v>
      </c>
      <c r="Q1428">
        <v>267</v>
      </c>
      <c r="R1428" s="1" t="s">
        <v>63</v>
      </c>
      <c r="S1428">
        <v>29</v>
      </c>
      <c r="T1428">
        <v>1</v>
      </c>
      <c r="U1428">
        <v>3</v>
      </c>
      <c r="V1428">
        <v>49</v>
      </c>
      <c r="W1428">
        <v>2</v>
      </c>
      <c r="X1428">
        <v>1</v>
      </c>
      <c r="Y1428" s="1" t="s">
        <v>6</v>
      </c>
      <c r="Z1428">
        <v>2</v>
      </c>
      <c r="AA1428">
        <v>2837</v>
      </c>
      <c r="AB1428">
        <v>15919</v>
      </c>
      <c r="AC1428" s="1" t="s">
        <v>19</v>
      </c>
      <c r="AD1428">
        <v>13</v>
      </c>
      <c r="AE1428">
        <v>3</v>
      </c>
      <c r="AF1428">
        <v>3</v>
      </c>
      <c r="AG1428">
        <v>80</v>
      </c>
      <c r="AH1428">
        <v>0</v>
      </c>
      <c r="AI1428">
        <v>3</v>
      </c>
      <c r="AJ1428">
        <v>0</v>
      </c>
      <c r="AK1428" s="1" t="s">
        <v>136</v>
      </c>
    </row>
    <row r="1429" spans="1:37" x14ac:dyDescent="0.25">
      <c r="A1429">
        <v>2012</v>
      </c>
      <c r="B1429">
        <v>40</v>
      </c>
      <c r="C1429" s="1" t="s">
        <v>25</v>
      </c>
      <c r="D1429" s="1" t="s">
        <v>70</v>
      </c>
      <c r="E1429">
        <v>4</v>
      </c>
      <c r="F1429" s="1" t="s">
        <v>134</v>
      </c>
      <c r="G1429">
        <v>8</v>
      </c>
      <c r="H1429" s="1" t="s">
        <v>18</v>
      </c>
      <c r="I1429">
        <v>8</v>
      </c>
      <c r="J1429">
        <v>3</v>
      </c>
      <c r="K1429">
        <v>1</v>
      </c>
      <c r="L1429">
        <v>0</v>
      </c>
      <c r="M1429">
        <v>0</v>
      </c>
      <c r="N1429">
        <v>0</v>
      </c>
      <c r="O1429" s="1" t="s">
        <v>19</v>
      </c>
      <c r="P1429" s="1" t="s">
        <v>135</v>
      </c>
      <c r="Q1429">
        <v>543</v>
      </c>
      <c r="R1429" s="1" t="s">
        <v>63</v>
      </c>
      <c r="S1429">
        <v>1</v>
      </c>
      <c r="T1429">
        <v>1</v>
      </c>
      <c r="U1429">
        <v>1</v>
      </c>
      <c r="V1429">
        <v>83</v>
      </c>
      <c r="W1429">
        <v>3</v>
      </c>
      <c r="X1429">
        <v>1</v>
      </c>
      <c r="Y1429" s="1" t="s">
        <v>6</v>
      </c>
      <c r="Z1429">
        <v>4</v>
      </c>
      <c r="AA1429">
        <v>2406</v>
      </c>
      <c r="AB1429">
        <v>4060</v>
      </c>
      <c r="AC1429" s="1" t="s">
        <v>19</v>
      </c>
      <c r="AD1429">
        <v>19</v>
      </c>
      <c r="AE1429">
        <v>3</v>
      </c>
      <c r="AF1429">
        <v>3</v>
      </c>
      <c r="AG1429">
        <v>80</v>
      </c>
      <c r="AH1429">
        <v>2</v>
      </c>
      <c r="AI1429">
        <v>2</v>
      </c>
      <c r="AJ1429">
        <v>0</v>
      </c>
      <c r="AK1429" s="1" t="s">
        <v>136</v>
      </c>
    </row>
    <row r="1430" spans="1:37" x14ac:dyDescent="0.25">
      <c r="A1430">
        <v>2013</v>
      </c>
      <c r="B1430">
        <v>32</v>
      </c>
      <c r="C1430" s="1" t="s">
        <v>25</v>
      </c>
      <c r="D1430" s="1" t="s">
        <v>70</v>
      </c>
      <c r="E1430">
        <v>4</v>
      </c>
      <c r="F1430" s="1" t="s">
        <v>139</v>
      </c>
      <c r="G1430">
        <v>0</v>
      </c>
      <c r="H1430" s="1" t="s">
        <v>18</v>
      </c>
      <c r="I1430">
        <v>3</v>
      </c>
      <c r="J1430">
        <v>2</v>
      </c>
      <c r="K1430">
        <v>2</v>
      </c>
      <c r="L1430">
        <v>2</v>
      </c>
      <c r="M1430">
        <v>2</v>
      </c>
      <c r="N1430">
        <v>2</v>
      </c>
      <c r="O1430" s="1" t="s">
        <v>19</v>
      </c>
      <c r="P1430" s="1" t="s">
        <v>135</v>
      </c>
      <c r="Q1430">
        <v>234</v>
      </c>
      <c r="R1430" s="1" t="s">
        <v>64</v>
      </c>
      <c r="S1430">
        <v>1</v>
      </c>
      <c r="T1430">
        <v>1</v>
      </c>
      <c r="U1430">
        <v>2</v>
      </c>
      <c r="V1430">
        <v>68</v>
      </c>
      <c r="W1430">
        <v>2</v>
      </c>
      <c r="X1430">
        <v>1</v>
      </c>
      <c r="Y1430" s="1" t="s">
        <v>10</v>
      </c>
      <c r="Z1430">
        <v>2</v>
      </c>
      <c r="AA1430">
        <v>2269</v>
      </c>
      <c r="AB1430">
        <v>18024</v>
      </c>
      <c r="AC1430" s="1" t="s">
        <v>19</v>
      </c>
      <c r="AD1430">
        <v>14</v>
      </c>
      <c r="AE1430">
        <v>3</v>
      </c>
      <c r="AF1430">
        <v>2</v>
      </c>
      <c r="AG1430">
        <v>80</v>
      </c>
      <c r="AH1430">
        <v>1</v>
      </c>
      <c r="AI1430">
        <v>3</v>
      </c>
      <c r="AJ1430">
        <v>0</v>
      </c>
      <c r="AK1430" s="1" t="s">
        <v>136</v>
      </c>
    </row>
    <row r="1431" spans="1:37" x14ac:dyDescent="0.25">
      <c r="A1431">
        <v>2014</v>
      </c>
      <c r="B1431">
        <v>39</v>
      </c>
      <c r="C1431" s="1" t="s">
        <v>25</v>
      </c>
      <c r="D1431" s="1" t="s">
        <v>71</v>
      </c>
      <c r="E1431">
        <v>1</v>
      </c>
      <c r="F1431" s="1" t="s">
        <v>134</v>
      </c>
      <c r="G1431">
        <v>7</v>
      </c>
      <c r="H1431" s="1" t="s">
        <v>18</v>
      </c>
      <c r="I1431">
        <v>18</v>
      </c>
      <c r="J1431">
        <v>2</v>
      </c>
      <c r="K1431">
        <v>7</v>
      </c>
      <c r="L1431">
        <v>7</v>
      </c>
      <c r="M1431">
        <v>1</v>
      </c>
      <c r="N1431">
        <v>7</v>
      </c>
      <c r="O1431" s="1" t="s">
        <v>19</v>
      </c>
      <c r="P1431" s="1" t="s">
        <v>135</v>
      </c>
      <c r="Q1431">
        <v>116</v>
      </c>
      <c r="R1431" s="1" t="s">
        <v>63</v>
      </c>
      <c r="S1431">
        <v>24</v>
      </c>
      <c r="T1431">
        <v>1</v>
      </c>
      <c r="U1431">
        <v>1</v>
      </c>
      <c r="V1431">
        <v>52</v>
      </c>
      <c r="W1431">
        <v>3</v>
      </c>
      <c r="X1431">
        <v>2</v>
      </c>
      <c r="Y1431" s="1" t="s">
        <v>5</v>
      </c>
      <c r="Z1431">
        <v>4</v>
      </c>
      <c r="AA1431">
        <v>4108</v>
      </c>
      <c r="AB1431">
        <v>5340</v>
      </c>
      <c r="AC1431" s="1" t="s">
        <v>19</v>
      </c>
      <c r="AD1431">
        <v>13</v>
      </c>
      <c r="AE1431">
        <v>3</v>
      </c>
      <c r="AF1431">
        <v>1</v>
      </c>
      <c r="AG1431">
        <v>80</v>
      </c>
      <c r="AH1431">
        <v>0</v>
      </c>
      <c r="AI1431">
        <v>3</v>
      </c>
      <c r="AJ1431">
        <v>0</v>
      </c>
      <c r="AK1431" s="1" t="s">
        <v>136</v>
      </c>
    </row>
    <row r="1432" spans="1:37" x14ac:dyDescent="0.25">
      <c r="A1432">
        <v>2015</v>
      </c>
      <c r="B1432">
        <v>38</v>
      </c>
      <c r="C1432" s="1" t="s">
        <v>24</v>
      </c>
      <c r="D1432" s="1" t="s">
        <v>70</v>
      </c>
      <c r="E1432">
        <v>3</v>
      </c>
      <c r="F1432" s="1" t="s">
        <v>139</v>
      </c>
      <c r="G1432">
        <v>3</v>
      </c>
      <c r="H1432" s="1" t="s">
        <v>18</v>
      </c>
      <c r="I1432">
        <v>20</v>
      </c>
      <c r="J1432">
        <v>3</v>
      </c>
      <c r="K1432">
        <v>18</v>
      </c>
      <c r="L1432">
        <v>16</v>
      </c>
      <c r="M1432">
        <v>1</v>
      </c>
      <c r="N1432">
        <v>11</v>
      </c>
      <c r="O1432" s="1" t="s">
        <v>19</v>
      </c>
      <c r="P1432" s="1" t="s">
        <v>135</v>
      </c>
      <c r="Q1432">
        <v>201</v>
      </c>
      <c r="R1432" s="1" t="s">
        <v>63</v>
      </c>
      <c r="S1432">
        <v>10</v>
      </c>
      <c r="T1432">
        <v>1</v>
      </c>
      <c r="U1432">
        <v>2</v>
      </c>
      <c r="V1432">
        <v>99</v>
      </c>
      <c r="W1432">
        <v>1</v>
      </c>
      <c r="X1432">
        <v>3</v>
      </c>
      <c r="Y1432" s="1" t="s">
        <v>11</v>
      </c>
      <c r="Z1432">
        <v>3</v>
      </c>
      <c r="AA1432">
        <v>13206</v>
      </c>
      <c r="AB1432">
        <v>3376</v>
      </c>
      <c r="AC1432" s="1" t="s">
        <v>19</v>
      </c>
      <c r="AD1432">
        <v>12</v>
      </c>
      <c r="AE1432">
        <v>3</v>
      </c>
      <c r="AF1432">
        <v>1</v>
      </c>
      <c r="AG1432">
        <v>80</v>
      </c>
      <c r="AH1432">
        <v>1</v>
      </c>
      <c r="AI1432">
        <v>3</v>
      </c>
      <c r="AJ1432">
        <v>0</v>
      </c>
      <c r="AK1432" s="1" t="s">
        <v>136</v>
      </c>
    </row>
    <row r="1433" spans="1:37" x14ac:dyDescent="0.25">
      <c r="A1433">
        <v>2016</v>
      </c>
      <c r="B1433">
        <v>32</v>
      </c>
      <c r="C1433" s="1" t="s">
        <v>24</v>
      </c>
      <c r="D1433" s="1" t="s">
        <v>70</v>
      </c>
      <c r="E1433">
        <v>4</v>
      </c>
      <c r="F1433" s="1" t="s">
        <v>142</v>
      </c>
      <c r="G1433">
        <v>1</v>
      </c>
      <c r="H1433" s="1" t="s">
        <v>18</v>
      </c>
      <c r="I1433">
        <v>14</v>
      </c>
      <c r="J1433">
        <v>3</v>
      </c>
      <c r="K1433">
        <v>14</v>
      </c>
      <c r="L1433">
        <v>10</v>
      </c>
      <c r="M1433">
        <v>5</v>
      </c>
      <c r="N1433">
        <v>7</v>
      </c>
      <c r="O1433" s="1" t="s">
        <v>19</v>
      </c>
      <c r="P1433" s="1" t="s">
        <v>135</v>
      </c>
      <c r="Q1433">
        <v>801</v>
      </c>
      <c r="R1433" s="1" t="s">
        <v>64</v>
      </c>
      <c r="S1433">
        <v>1</v>
      </c>
      <c r="T1433">
        <v>1</v>
      </c>
      <c r="U1433">
        <v>3</v>
      </c>
      <c r="V1433">
        <v>48</v>
      </c>
      <c r="W1433">
        <v>3</v>
      </c>
      <c r="X1433">
        <v>3</v>
      </c>
      <c r="Y1433" s="1" t="s">
        <v>4</v>
      </c>
      <c r="Z1433">
        <v>4</v>
      </c>
      <c r="AA1433">
        <v>10422</v>
      </c>
      <c r="AB1433">
        <v>24032</v>
      </c>
      <c r="AC1433" s="1" t="s">
        <v>19</v>
      </c>
      <c r="AD1433">
        <v>19</v>
      </c>
      <c r="AE1433">
        <v>3</v>
      </c>
      <c r="AF1433">
        <v>3</v>
      </c>
      <c r="AG1433">
        <v>80</v>
      </c>
      <c r="AH1433">
        <v>2</v>
      </c>
      <c r="AI1433">
        <v>3</v>
      </c>
      <c r="AJ1433">
        <v>0</v>
      </c>
      <c r="AK1433" s="1" t="s">
        <v>136</v>
      </c>
    </row>
    <row r="1434" spans="1:37" x14ac:dyDescent="0.25">
      <c r="A1434">
        <v>2017</v>
      </c>
      <c r="B1434">
        <v>37</v>
      </c>
      <c r="C1434" s="1" t="s">
        <v>24</v>
      </c>
      <c r="D1434" s="1" t="s">
        <v>70</v>
      </c>
      <c r="E1434">
        <v>3</v>
      </c>
      <c r="F1434" s="1" t="s">
        <v>134</v>
      </c>
      <c r="G1434">
        <v>1</v>
      </c>
      <c r="H1434" s="1" t="s">
        <v>18</v>
      </c>
      <c r="I1434">
        <v>16</v>
      </c>
      <c r="J1434">
        <v>2</v>
      </c>
      <c r="K1434">
        <v>16</v>
      </c>
      <c r="L1434">
        <v>11</v>
      </c>
      <c r="M1434">
        <v>6</v>
      </c>
      <c r="N1434">
        <v>8</v>
      </c>
      <c r="O1434" s="1" t="s">
        <v>19</v>
      </c>
      <c r="P1434" s="1" t="s">
        <v>135</v>
      </c>
      <c r="Q1434">
        <v>161</v>
      </c>
      <c r="R1434" s="1" t="s">
        <v>63</v>
      </c>
      <c r="S1434">
        <v>10</v>
      </c>
      <c r="T1434">
        <v>1</v>
      </c>
      <c r="U1434">
        <v>3</v>
      </c>
      <c r="V1434">
        <v>42</v>
      </c>
      <c r="W1434">
        <v>4</v>
      </c>
      <c r="X1434">
        <v>3</v>
      </c>
      <c r="Y1434" s="1" t="s">
        <v>11</v>
      </c>
      <c r="Z1434">
        <v>4</v>
      </c>
      <c r="AA1434">
        <v>13744</v>
      </c>
      <c r="AB1434">
        <v>15471</v>
      </c>
      <c r="AC1434" s="1" t="s">
        <v>18</v>
      </c>
      <c r="AD1434">
        <v>25</v>
      </c>
      <c r="AE1434">
        <v>4</v>
      </c>
      <c r="AF1434">
        <v>1</v>
      </c>
      <c r="AG1434">
        <v>80</v>
      </c>
      <c r="AH1434">
        <v>1</v>
      </c>
      <c r="AI1434">
        <v>3</v>
      </c>
      <c r="AJ1434">
        <v>0</v>
      </c>
      <c r="AK1434" s="1" t="s">
        <v>136</v>
      </c>
    </row>
    <row r="1435" spans="1:37" x14ac:dyDescent="0.25">
      <c r="A1435">
        <v>2018</v>
      </c>
      <c r="B1435">
        <v>25</v>
      </c>
      <c r="C1435" s="1" t="s">
        <v>24</v>
      </c>
      <c r="D1435" s="1" t="s">
        <v>69</v>
      </c>
      <c r="E1435">
        <v>2</v>
      </c>
      <c r="F1435" s="1" t="s">
        <v>138</v>
      </c>
      <c r="G1435">
        <v>0</v>
      </c>
      <c r="H1435" s="1" t="s">
        <v>18</v>
      </c>
      <c r="I1435">
        <v>6</v>
      </c>
      <c r="J1435">
        <v>3</v>
      </c>
      <c r="K1435">
        <v>5</v>
      </c>
      <c r="L1435">
        <v>3</v>
      </c>
      <c r="M1435">
        <v>0</v>
      </c>
      <c r="N1435">
        <v>4</v>
      </c>
      <c r="O1435" s="1" t="s">
        <v>19</v>
      </c>
      <c r="P1435" s="1" t="s">
        <v>135</v>
      </c>
      <c r="Q1435">
        <v>1382</v>
      </c>
      <c r="R1435" s="1" t="s">
        <v>64</v>
      </c>
      <c r="S1435">
        <v>8</v>
      </c>
      <c r="T1435">
        <v>1</v>
      </c>
      <c r="U1435">
        <v>1</v>
      </c>
      <c r="V1435">
        <v>85</v>
      </c>
      <c r="W1435">
        <v>3</v>
      </c>
      <c r="X1435">
        <v>2</v>
      </c>
      <c r="Y1435" s="1" t="s">
        <v>4</v>
      </c>
      <c r="Z1435">
        <v>3</v>
      </c>
      <c r="AA1435">
        <v>4907</v>
      </c>
      <c r="AB1435">
        <v>13684</v>
      </c>
      <c r="AC1435" s="1" t="s">
        <v>18</v>
      </c>
      <c r="AD1435">
        <v>22</v>
      </c>
      <c r="AE1435">
        <v>4</v>
      </c>
      <c r="AF1435">
        <v>2</v>
      </c>
      <c r="AG1435">
        <v>80</v>
      </c>
      <c r="AH1435">
        <v>1</v>
      </c>
      <c r="AI1435">
        <v>2</v>
      </c>
      <c r="AJ1435">
        <v>0</v>
      </c>
      <c r="AK1435" s="1" t="s">
        <v>136</v>
      </c>
    </row>
    <row r="1436" spans="1:37" x14ac:dyDescent="0.25">
      <c r="A1436">
        <v>2019</v>
      </c>
      <c r="B1436">
        <v>52</v>
      </c>
      <c r="C1436" s="1" t="s">
        <v>25</v>
      </c>
      <c r="D1436" s="1" t="s">
        <v>69</v>
      </c>
      <c r="E1436">
        <v>4</v>
      </c>
      <c r="F1436" s="1" t="s">
        <v>134</v>
      </c>
      <c r="G1436">
        <v>2</v>
      </c>
      <c r="H1436" s="1" t="s">
        <v>18</v>
      </c>
      <c r="I1436">
        <v>16</v>
      </c>
      <c r="J1436">
        <v>3</v>
      </c>
      <c r="K1436">
        <v>9</v>
      </c>
      <c r="L1436">
        <v>8</v>
      </c>
      <c r="M1436">
        <v>0</v>
      </c>
      <c r="N1436">
        <v>0</v>
      </c>
      <c r="O1436" s="1" t="s">
        <v>19</v>
      </c>
      <c r="P1436" s="1" t="s">
        <v>141</v>
      </c>
      <c r="Q1436">
        <v>585</v>
      </c>
      <c r="R1436" s="1" t="s">
        <v>64</v>
      </c>
      <c r="S1436">
        <v>29</v>
      </c>
      <c r="T1436">
        <v>1</v>
      </c>
      <c r="U1436">
        <v>1</v>
      </c>
      <c r="V1436">
        <v>40</v>
      </c>
      <c r="W1436">
        <v>3</v>
      </c>
      <c r="X1436">
        <v>1</v>
      </c>
      <c r="Y1436" s="1" t="s">
        <v>10</v>
      </c>
      <c r="Z1436">
        <v>4</v>
      </c>
      <c r="AA1436">
        <v>3482</v>
      </c>
      <c r="AB1436">
        <v>19788</v>
      </c>
      <c r="AC1436" s="1" t="s">
        <v>19</v>
      </c>
      <c r="AD1436">
        <v>15</v>
      </c>
      <c r="AE1436">
        <v>3</v>
      </c>
      <c r="AF1436">
        <v>2</v>
      </c>
      <c r="AG1436">
        <v>80</v>
      </c>
      <c r="AH1436">
        <v>2</v>
      </c>
      <c r="AI1436">
        <v>2</v>
      </c>
      <c r="AJ1436">
        <v>0</v>
      </c>
      <c r="AK1436" s="1" t="s">
        <v>140</v>
      </c>
    </row>
    <row r="1437" spans="1:37" x14ac:dyDescent="0.25">
      <c r="A1437">
        <v>2020</v>
      </c>
      <c r="B1437">
        <v>44</v>
      </c>
      <c r="C1437" s="1" t="s">
        <v>25</v>
      </c>
      <c r="D1437" s="1" t="s">
        <v>71</v>
      </c>
      <c r="E1437">
        <v>3</v>
      </c>
      <c r="F1437" s="1" t="s">
        <v>139</v>
      </c>
      <c r="G1437">
        <v>6</v>
      </c>
      <c r="H1437" s="1" t="s">
        <v>18</v>
      </c>
      <c r="I1437">
        <v>6</v>
      </c>
      <c r="J1437">
        <v>2</v>
      </c>
      <c r="K1437">
        <v>4</v>
      </c>
      <c r="L1437">
        <v>3</v>
      </c>
      <c r="M1437">
        <v>1</v>
      </c>
      <c r="N1437">
        <v>2</v>
      </c>
      <c r="O1437" s="1" t="s">
        <v>19</v>
      </c>
      <c r="P1437" s="1" t="s">
        <v>135</v>
      </c>
      <c r="Q1437">
        <v>1037</v>
      </c>
      <c r="R1437" s="1" t="s">
        <v>63</v>
      </c>
      <c r="S1437">
        <v>1</v>
      </c>
      <c r="T1437">
        <v>1</v>
      </c>
      <c r="U1437">
        <v>2</v>
      </c>
      <c r="V1437">
        <v>42</v>
      </c>
      <c r="W1437">
        <v>3</v>
      </c>
      <c r="X1437">
        <v>1</v>
      </c>
      <c r="Y1437" s="1" t="s">
        <v>5</v>
      </c>
      <c r="Z1437">
        <v>4</v>
      </c>
      <c r="AA1437">
        <v>2436</v>
      </c>
      <c r="AB1437">
        <v>13422</v>
      </c>
      <c r="AC1437" s="1" t="s">
        <v>18</v>
      </c>
      <c r="AD1437">
        <v>12</v>
      </c>
      <c r="AE1437">
        <v>3</v>
      </c>
      <c r="AF1437">
        <v>3</v>
      </c>
      <c r="AG1437">
        <v>80</v>
      </c>
      <c r="AH1437">
        <v>0</v>
      </c>
      <c r="AI1437">
        <v>3</v>
      </c>
      <c r="AJ1437">
        <v>0</v>
      </c>
      <c r="AK1437" s="1" t="s">
        <v>136</v>
      </c>
    </row>
    <row r="1438" spans="1:37" x14ac:dyDescent="0.25">
      <c r="A1438">
        <v>2021</v>
      </c>
      <c r="B1438">
        <v>21</v>
      </c>
      <c r="C1438" s="1" t="s">
        <v>25</v>
      </c>
      <c r="D1438" s="1" t="s">
        <v>71</v>
      </c>
      <c r="E1438">
        <v>1</v>
      </c>
      <c r="F1438" s="1" t="s">
        <v>139</v>
      </c>
      <c r="G1438">
        <v>1</v>
      </c>
      <c r="H1438" s="1" t="s">
        <v>18</v>
      </c>
      <c r="I1438">
        <v>2</v>
      </c>
      <c r="J1438">
        <v>6</v>
      </c>
      <c r="K1438">
        <v>2</v>
      </c>
      <c r="L1438">
        <v>2</v>
      </c>
      <c r="M1438">
        <v>1</v>
      </c>
      <c r="N1438">
        <v>2</v>
      </c>
      <c r="O1438" s="1" t="s">
        <v>19</v>
      </c>
      <c r="P1438" s="1" t="s">
        <v>135</v>
      </c>
      <c r="Q1438">
        <v>501</v>
      </c>
      <c r="R1438" s="1" t="s">
        <v>64</v>
      </c>
      <c r="S1438">
        <v>5</v>
      </c>
      <c r="T1438">
        <v>1</v>
      </c>
      <c r="U1438">
        <v>3</v>
      </c>
      <c r="V1438">
        <v>58</v>
      </c>
      <c r="W1438">
        <v>3</v>
      </c>
      <c r="X1438">
        <v>1</v>
      </c>
      <c r="Y1438" s="1" t="s">
        <v>10</v>
      </c>
      <c r="Z1438">
        <v>1</v>
      </c>
      <c r="AA1438">
        <v>2380</v>
      </c>
      <c r="AB1438">
        <v>25479</v>
      </c>
      <c r="AC1438" s="1" t="s">
        <v>18</v>
      </c>
      <c r="AD1438">
        <v>11</v>
      </c>
      <c r="AE1438">
        <v>3</v>
      </c>
      <c r="AF1438">
        <v>4</v>
      </c>
      <c r="AG1438">
        <v>80</v>
      </c>
      <c r="AH1438">
        <v>0</v>
      </c>
      <c r="AI1438">
        <v>3</v>
      </c>
      <c r="AJ1438">
        <v>0</v>
      </c>
      <c r="AK1438" s="1" t="s">
        <v>136</v>
      </c>
    </row>
    <row r="1439" spans="1:37" x14ac:dyDescent="0.25">
      <c r="A1439">
        <v>2022</v>
      </c>
      <c r="B1439">
        <v>39</v>
      </c>
      <c r="C1439" s="1" t="s">
        <v>25</v>
      </c>
      <c r="D1439" s="1" t="s">
        <v>71</v>
      </c>
      <c r="E1439">
        <v>3</v>
      </c>
      <c r="F1439" s="1" t="s">
        <v>134</v>
      </c>
      <c r="G1439">
        <v>2</v>
      </c>
      <c r="H1439" s="1" t="s">
        <v>18</v>
      </c>
      <c r="I1439">
        <v>21</v>
      </c>
      <c r="J1439">
        <v>3</v>
      </c>
      <c r="K1439">
        <v>6</v>
      </c>
      <c r="L1439">
        <v>0</v>
      </c>
      <c r="M1439">
        <v>1</v>
      </c>
      <c r="N1439">
        <v>3</v>
      </c>
      <c r="O1439" s="1" t="s">
        <v>19</v>
      </c>
      <c r="P1439" s="1" t="s">
        <v>141</v>
      </c>
      <c r="Q1439">
        <v>105</v>
      </c>
      <c r="R1439" s="1" t="s">
        <v>63</v>
      </c>
      <c r="S1439">
        <v>9</v>
      </c>
      <c r="T1439">
        <v>1</v>
      </c>
      <c r="U1439">
        <v>4</v>
      </c>
      <c r="V1439">
        <v>87</v>
      </c>
      <c r="W1439">
        <v>3</v>
      </c>
      <c r="X1439">
        <v>5</v>
      </c>
      <c r="Y1439" s="1" t="s">
        <v>9</v>
      </c>
      <c r="Z1439">
        <v>4</v>
      </c>
      <c r="AA1439">
        <v>19431</v>
      </c>
      <c r="AB1439">
        <v>15302</v>
      </c>
      <c r="AC1439" s="1" t="s">
        <v>19</v>
      </c>
      <c r="AD1439">
        <v>13</v>
      </c>
      <c r="AE1439">
        <v>3</v>
      </c>
      <c r="AF1439">
        <v>3</v>
      </c>
      <c r="AG1439">
        <v>80</v>
      </c>
      <c r="AH1439">
        <v>0</v>
      </c>
      <c r="AI1439">
        <v>2</v>
      </c>
      <c r="AJ1439">
        <v>0</v>
      </c>
      <c r="AK1439" s="1" t="s">
        <v>136</v>
      </c>
    </row>
    <row r="1440" spans="1:37" x14ac:dyDescent="0.25">
      <c r="A1440">
        <v>2023</v>
      </c>
      <c r="B1440">
        <v>23</v>
      </c>
      <c r="C1440" s="1" t="s">
        <v>25</v>
      </c>
      <c r="D1440" s="1" t="s">
        <v>70</v>
      </c>
      <c r="E1440">
        <v>3</v>
      </c>
      <c r="F1440" s="1" t="s">
        <v>142</v>
      </c>
      <c r="G1440">
        <v>1</v>
      </c>
      <c r="H1440" s="1" t="s">
        <v>18</v>
      </c>
      <c r="I1440">
        <v>1</v>
      </c>
      <c r="J1440">
        <v>3</v>
      </c>
      <c r="K1440">
        <v>1</v>
      </c>
      <c r="L1440">
        <v>0</v>
      </c>
      <c r="M1440">
        <v>1</v>
      </c>
      <c r="N1440">
        <v>0</v>
      </c>
      <c r="O1440" s="1" t="s">
        <v>18</v>
      </c>
      <c r="P1440" s="1" t="s">
        <v>137</v>
      </c>
      <c r="Q1440">
        <v>638</v>
      </c>
      <c r="R1440" s="1" t="s">
        <v>64</v>
      </c>
      <c r="S1440">
        <v>9</v>
      </c>
      <c r="T1440">
        <v>1</v>
      </c>
      <c r="U1440">
        <v>4</v>
      </c>
      <c r="V1440">
        <v>33</v>
      </c>
      <c r="W1440">
        <v>3</v>
      </c>
      <c r="X1440">
        <v>1</v>
      </c>
      <c r="Y1440" s="1" t="s">
        <v>10</v>
      </c>
      <c r="Z1440">
        <v>1</v>
      </c>
      <c r="AA1440">
        <v>1790</v>
      </c>
      <c r="AB1440">
        <v>26956</v>
      </c>
      <c r="AC1440" s="1" t="s">
        <v>19</v>
      </c>
      <c r="AD1440">
        <v>19</v>
      </c>
      <c r="AE1440">
        <v>3</v>
      </c>
      <c r="AF1440">
        <v>1</v>
      </c>
      <c r="AG1440">
        <v>80</v>
      </c>
      <c r="AH1440">
        <v>1</v>
      </c>
      <c r="AI1440">
        <v>2</v>
      </c>
      <c r="AJ1440">
        <v>1</v>
      </c>
      <c r="AK1440" s="1" t="s">
        <v>136</v>
      </c>
    </row>
    <row r="1441" spans="1:37" x14ac:dyDescent="0.25">
      <c r="A1441">
        <v>2024</v>
      </c>
      <c r="B1441">
        <v>36</v>
      </c>
      <c r="C1441" s="1" t="s">
        <v>24</v>
      </c>
      <c r="D1441" s="1" t="s">
        <v>70</v>
      </c>
      <c r="E1441">
        <v>3</v>
      </c>
      <c r="F1441" s="1" t="s">
        <v>139</v>
      </c>
      <c r="G1441">
        <v>0</v>
      </c>
      <c r="H1441" s="1" t="s">
        <v>18</v>
      </c>
      <c r="I1441">
        <v>10</v>
      </c>
      <c r="J1441">
        <v>2</v>
      </c>
      <c r="K1441">
        <v>9</v>
      </c>
      <c r="L1441">
        <v>7</v>
      </c>
      <c r="M1441">
        <v>3</v>
      </c>
      <c r="N1441">
        <v>4</v>
      </c>
      <c r="O1441" s="1" t="s">
        <v>19</v>
      </c>
      <c r="P1441" s="1" t="s">
        <v>135</v>
      </c>
      <c r="Q1441">
        <v>557</v>
      </c>
      <c r="R1441" s="1" t="s">
        <v>64</v>
      </c>
      <c r="S1441">
        <v>3</v>
      </c>
      <c r="T1441">
        <v>1</v>
      </c>
      <c r="U1441">
        <v>1</v>
      </c>
      <c r="V1441">
        <v>94</v>
      </c>
      <c r="W1441">
        <v>2</v>
      </c>
      <c r="X1441">
        <v>3</v>
      </c>
      <c r="Y1441" s="1" t="s">
        <v>4</v>
      </c>
      <c r="Z1441">
        <v>4</v>
      </c>
      <c r="AA1441">
        <v>7644</v>
      </c>
      <c r="AB1441">
        <v>12695</v>
      </c>
      <c r="AC1441" s="1" t="s">
        <v>19</v>
      </c>
      <c r="AD1441">
        <v>19</v>
      </c>
      <c r="AE1441">
        <v>3</v>
      </c>
      <c r="AF1441">
        <v>3</v>
      </c>
      <c r="AG1441">
        <v>80</v>
      </c>
      <c r="AH1441">
        <v>2</v>
      </c>
      <c r="AI1441">
        <v>3</v>
      </c>
      <c r="AJ1441">
        <v>0</v>
      </c>
      <c r="AK1441" s="1" t="s">
        <v>136</v>
      </c>
    </row>
    <row r="1442" spans="1:37" x14ac:dyDescent="0.25">
      <c r="A1442">
        <v>2025</v>
      </c>
      <c r="B1442">
        <v>36</v>
      </c>
      <c r="C1442" s="1" t="s">
        <v>24</v>
      </c>
      <c r="D1442" s="1" t="s">
        <v>69</v>
      </c>
      <c r="E1442">
        <v>2</v>
      </c>
      <c r="F1442" s="1" t="s">
        <v>134</v>
      </c>
      <c r="G1442">
        <v>7</v>
      </c>
      <c r="H1442" s="1" t="s">
        <v>18</v>
      </c>
      <c r="I1442">
        <v>18</v>
      </c>
      <c r="J1442">
        <v>3</v>
      </c>
      <c r="K1442">
        <v>4</v>
      </c>
      <c r="L1442">
        <v>2</v>
      </c>
      <c r="M1442">
        <v>0</v>
      </c>
      <c r="N1442">
        <v>2</v>
      </c>
      <c r="O1442" s="1" t="s">
        <v>19</v>
      </c>
      <c r="P1442" s="1" t="s">
        <v>137</v>
      </c>
      <c r="Q1442">
        <v>688</v>
      </c>
      <c r="R1442" s="1" t="s">
        <v>63</v>
      </c>
      <c r="S1442">
        <v>4</v>
      </c>
      <c r="T1442">
        <v>1</v>
      </c>
      <c r="U1442">
        <v>4</v>
      </c>
      <c r="V1442">
        <v>97</v>
      </c>
      <c r="W1442">
        <v>3</v>
      </c>
      <c r="X1442">
        <v>2</v>
      </c>
      <c r="Y1442" s="1" t="s">
        <v>7</v>
      </c>
      <c r="Z1442">
        <v>2</v>
      </c>
      <c r="AA1442">
        <v>5131</v>
      </c>
      <c r="AB1442">
        <v>9192</v>
      </c>
      <c r="AC1442" s="1" t="s">
        <v>19</v>
      </c>
      <c r="AD1442">
        <v>13</v>
      </c>
      <c r="AE1442">
        <v>3</v>
      </c>
      <c r="AF1442">
        <v>2</v>
      </c>
      <c r="AG1442">
        <v>80</v>
      </c>
      <c r="AH1442">
        <v>3</v>
      </c>
      <c r="AI1442">
        <v>3</v>
      </c>
      <c r="AJ1442">
        <v>0</v>
      </c>
      <c r="AK1442" s="1" t="s">
        <v>136</v>
      </c>
    </row>
    <row r="1443" spans="1:37" x14ac:dyDescent="0.25">
      <c r="A1443">
        <v>2026</v>
      </c>
      <c r="B1443">
        <v>56</v>
      </c>
      <c r="C1443" s="1" t="s">
        <v>25</v>
      </c>
      <c r="D1443" s="1" t="s">
        <v>69</v>
      </c>
      <c r="E1443">
        <v>4</v>
      </c>
      <c r="F1443" s="1" t="s">
        <v>134</v>
      </c>
      <c r="G1443">
        <v>1</v>
      </c>
      <c r="H1443" s="1" t="s">
        <v>18</v>
      </c>
      <c r="I1443">
        <v>13</v>
      </c>
      <c r="J1443">
        <v>2</v>
      </c>
      <c r="K1443">
        <v>13</v>
      </c>
      <c r="L1443">
        <v>12</v>
      </c>
      <c r="M1443">
        <v>1</v>
      </c>
      <c r="N1443">
        <v>9</v>
      </c>
      <c r="O1443" s="1" t="s">
        <v>19</v>
      </c>
      <c r="P1443" s="1" t="s">
        <v>141</v>
      </c>
      <c r="Q1443">
        <v>667</v>
      </c>
      <c r="R1443" s="1" t="s">
        <v>63</v>
      </c>
      <c r="S1443">
        <v>1</v>
      </c>
      <c r="T1443">
        <v>1</v>
      </c>
      <c r="U1443">
        <v>3</v>
      </c>
      <c r="V1443">
        <v>57</v>
      </c>
      <c r="W1443">
        <v>3</v>
      </c>
      <c r="X1443">
        <v>2</v>
      </c>
      <c r="Y1443" s="1" t="s">
        <v>8</v>
      </c>
      <c r="Z1443">
        <v>3</v>
      </c>
      <c r="AA1443">
        <v>6306</v>
      </c>
      <c r="AB1443">
        <v>26236</v>
      </c>
      <c r="AC1443" s="1" t="s">
        <v>19</v>
      </c>
      <c r="AD1443">
        <v>21</v>
      </c>
      <c r="AE1443">
        <v>4</v>
      </c>
      <c r="AF1443">
        <v>1</v>
      </c>
      <c r="AG1443">
        <v>80</v>
      </c>
      <c r="AH1443">
        <v>1</v>
      </c>
      <c r="AI1443">
        <v>2</v>
      </c>
      <c r="AJ1443">
        <v>0</v>
      </c>
      <c r="AK1443" s="1" t="s">
        <v>140</v>
      </c>
    </row>
    <row r="1444" spans="1:37" x14ac:dyDescent="0.25">
      <c r="A1444">
        <v>2027</v>
      </c>
      <c r="B1444">
        <v>29</v>
      </c>
      <c r="C1444" s="1" t="s">
        <v>25</v>
      </c>
      <c r="D1444" s="1" t="s">
        <v>70</v>
      </c>
      <c r="E1444">
        <v>4</v>
      </c>
      <c r="F1444" s="1" t="s">
        <v>139</v>
      </c>
      <c r="G1444">
        <v>9</v>
      </c>
      <c r="H1444" s="1" t="s">
        <v>18</v>
      </c>
      <c r="I1444">
        <v>4</v>
      </c>
      <c r="J1444">
        <v>3</v>
      </c>
      <c r="K1444">
        <v>2</v>
      </c>
      <c r="L1444">
        <v>2</v>
      </c>
      <c r="M1444">
        <v>2</v>
      </c>
      <c r="N1444">
        <v>2</v>
      </c>
      <c r="O1444" s="1" t="s">
        <v>18</v>
      </c>
      <c r="P1444" s="1" t="s">
        <v>135</v>
      </c>
      <c r="Q1444">
        <v>1092</v>
      </c>
      <c r="R1444" s="1" t="s">
        <v>63</v>
      </c>
      <c r="S1444">
        <v>1</v>
      </c>
      <c r="T1444">
        <v>1</v>
      </c>
      <c r="U1444">
        <v>1</v>
      </c>
      <c r="V1444">
        <v>36</v>
      </c>
      <c r="W1444">
        <v>3</v>
      </c>
      <c r="X1444">
        <v>1</v>
      </c>
      <c r="Y1444" s="1" t="s">
        <v>5</v>
      </c>
      <c r="Z1444">
        <v>4</v>
      </c>
      <c r="AA1444">
        <v>4787</v>
      </c>
      <c r="AB1444">
        <v>26124</v>
      </c>
      <c r="AC1444" s="1" t="s">
        <v>18</v>
      </c>
      <c r="AD1444">
        <v>14</v>
      </c>
      <c r="AE1444">
        <v>3</v>
      </c>
      <c r="AF1444">
        <v>2</v>
      </c>
      <c r="AG1444">
        <v>80</v>
      </c>
      <c r="AH1444">
        <v>3</v>
      </c>
      <c r="AI1444">
        <v>4</v>
      </c>
      <c r="AJ1444">
        <v>1</v>
      </c>
      <c r="AK1444" s="1" t="s">
        <v>136</v>
      </c>
    </row>
    <row r="1445" spans="1:37" x14ac:dyDescent="0.25">
      <c r="A1445">
        <v>2031</v>
      </c>
      <c r="B1445">
        <v>42</v>
      </c>
      <c r="C1445" s="1" t="s">
        <v>25</v>
      </c>
      <c r="D1445" s="1" t="s">
        <v>70</v>
      </c>
      <c r="E1445">
        <v>3</v>
      </c>
      <c r="F1445" s="1" t="s">
        <v>134</v>
      </c>
      <c r="G1445">
        <v>5</v>
      </c>
      <c r="H1445" s="1" t="s">
        <v>18</v>
      </c>
      <c r="I1445">
        <v>24</v>
      </c>
      <c r="J1445">
        <v>2</v>
      </c>
      <c r="K1445">
        <v>22</v>
      </c>
      <c r="L1445">
        <v>6</v>
      </c>
      <c r="M1445">
        <v>4</v>
      </c>
      <c r="N1445">
        <v>14</v>
      </c>
      <c r="O1445" s="1" t="s">
        <v>19</v>
      </c>
      <c r="P1445" s="1" t="s">
        <v>135</v>
      </c>
      <c r="Q1445">
        <v>300</v>
      </c>
      <c r="R1445" s="1" t="s">
        <v>63</v>
      </c>
      <c r="S1445">
        <v>2</v>
      </c>
      <c r="T1445">
        <v>1</v>
      </c>
      <c r="U1445">
        <v>1</v>
      </c>
      <c r="V1445">
        <v>56</v>
      </c>
      <c r="W1445">
        <v>3</v>
      </c>
      <c r="X1445">
        <v>5</v>
      </c>
      <c r="Y1445" s="1" t="s">
        <v>9</v>
      </c>
      <c r="Z1445">
        <v>3</v>
      </c>
      <c r="AA1445">
        <v>18880</v>
      </c>
      <c r="AB1445">
        <v>17312</v>
      </c>
      <c r="AC1445" s="1" t="s">
        <v>19</v>
      </c>
      <c r="AD1445">
        <v>11</v>
      </c>
      <c r="AE1445">
        <v>3</v>
      </c>
      <c r="AF1445">
        <v>1</v>
      </c>
      <c r="AG1445">
        <v>80</v>
      </c>
      <c r="AH1445">
        <v>0</v>
      </c>
      <c r="AI1445">
        <v>2</v>
      </c>
      <c r="AJ1445">
        <v>0</v>
      </c>
      <c r="AK1445" s="1" t="s">
        <v>136</v>
      </c>
    </row>
    <row r="1446" spans="1:37" x14ac:dyDescent="0.25">
      <c r="A1446">
        <v>2032</v>
      </c>
      <c r="B1446">
        <v>56</v>
      </c>
      <c r="C1446" s="1" t="s">
        <v>25</v>
      </c>
      <c r="D1446" s="1" t="s">
        <v>70</v>
      </c>
      <c r="E1446">
        <v>2</v>
      </c>
      <c r="F1446" s="1" t="s">
        <v>143</v>
      </c>
      <c r="G1446">
        <v>8</v>
      </c>
      <c r="H1446" s="1" t="s">
        <v>18</v>
      </c>
      <c r="I1446">
        <v>14</v>
      </c>
      <c r="J1446">
        <v>4</v>
      </c>
      <c r="K1446">
        <v>10</v>
      </c>
      <c r="L1446">
        <v>9</v>
      </c>
      <c r="M1446">
        <v>9</v>
      </c>
      <c r="N1446">
        <v>8</v>
      </c>
      <c r="O1446" s="1" t="s">
        <v>18</v>
      </c>
      <c r="P1446" s="1" t="s">
        <v>135</v>
      </c>
      <c r="Q1446">
        <v>310</v>
      </c>
      <c r="R1446" s="1" t="s">
        <v>63</v>
      </c>
      <c r="S1446">
        <v>7</v>
      </c>
      <c r="T1446">
        <v>1</v>
      </c>
      <c r="U1446">
        <v>4</v>
      </c>
      <c r="V1446">
        <v>72</v>
      </c>
      <c r="W1446">
        <v>3</v>
      </c>
      <c r="X1446">
        <v>1</v>
      </c>
      <c r="Y1446" s="1" t="s">
        <v>6</v>
      </c>
      <c r="Z1446">
        <v>3</v>
      </c>
      <c r="AA1446">
        <v>2339</v>
      </c>
      <c r="AB1446">
        <v>3666</v>
      </c>
      <c r="AC1446" s="1" t="s">
        <v>19</v>
      </c>
      <c r="AD1446">
        <v>11</v>
      </c>
      <c r="AE1446">
        <v>3</v>
      </c>
      <c r="AF1446">
        <v>4</v>
      </c>
      <c r="AG1446">
        <v>80</v>
      </c>
      <c r="AH1446">
        <v>1</v>
      </c>
      <c r="AI1446">
        <v>1</v>
      </c>
      <c r="AJ1446">
        <v>1</v>
      </c>
      <c r="AK1446" s="1" t="s">
        <v>140</v>
      </c>
    </row>
    <row r="1447" spans="1:37" x14ac:dyDescent="0.25">
      <c r="A1447">
        <v>2034</v>
      </c>
      <c r="B1447">
        <v>41</v>
      </c>
      <c r="C1447" s="1" t="s">
        <v>24</v>
      </c>
      <c r="D1447" s="1" t="s">
        <v>70</v>
      </c>
      <c r="E1447">
        <v>4</v>
      </c>
      <c r="F1447" s="1" t="s">
        <v>134</v>
      </c>
      <c r="G1447">
        <v>0</v>
      </c>
      <c r="H1447" s="1" t="s">
        <v>18</v>
      </c>
      <c r="I1447">
        <v>21</v>
      </c>
      <c r="J1447">
        <v>3</v>
      </c>
      <c r="K1447">
        <v>20</v>
      </c>
      <c r="L1447">
        <v>7</v>
      </c>
      <c r="M1447">
        <v>0</v>
      </c>
      <c r="N1447">
        <v>10</v>
      </c>
      <c r="O1447" s="1" t="s">
        <v>19</v>
      </c>
      <c r="P1447" s="1" t="s">
        <v>135</v>
      </c>
      <c r="Q1447">
        <v>582</v>
      </c>
      <c r="R1447" s="1" t="s">
        <v>63</v>
      </c>
      <c r="S1447">
        <v>28</v>
      </c>
      <c r="T1447">
        <v>1</v>
      </c>
      <c r="U1447">
        <v>1</v>
      </c>
      <c r="V1447">
        <v>60</v>
      </c>
      <c r="W1447">
        <v>2</v>
      </c>
      <c r="X1447">
        <v>4</v>
      </c>
      <c r="Y1447" s="1" t="s">
        <v>7</v>
      </c>
      <c r="Z1447">
        <v>2</v>
      </c>
      <c r="AA1447">
        <v>13570</v>
      </c>
      <c r="AB1447">
        <v>5640</v>
      </c>
      <c r="AC1447" s="1" t="s">
        <v>19</v>
      </c>
      <c r="AD1447">
        <v>23</v>
      </c>
      <c r="AE1447">
        <v>4</v>
      </c>
      <c r="AF1447">
        <v>3</v>
      </c>
      <c r="AG1447">
        <v>80</v>
      </c>
      <c r="AH1447">
        <v>1</v>
      </c>
      <c r="AI1447">
        <v>3</v>
      </c>
      <c r="AJ1447">
        <v>0</v>
      </c>
      <c r="AK1447" s="1" t="s">
        <v>136</v>
      </c>
    </row>
    <row r="1448" spans="1:37" x14ac:dyDescent="0.25">
      <c r="A1448">
        <v>2035</v>
      </c>
      <c r="B1448">
        <v>34</v>
      </c>
      <c r="C1448" s="1" t="s">
        <v>24</v>
      </c>
      <c r="D1448" s="1" t="s">
        <v>70</v>
      </c>
      <c r="E1448">
        <v>3</v>
      </c>
      <c r="F1448" s="1" t="s">
        <v>142</v>
      </c>
      <c r="G1448">
        <v>1</v>
      </c>
      <c r="H1448" s="1" t="s">
        <v>18</v>
      </c>
      <c r="I1448">
        <v>8</v>
      </c>
      <c r="J1448">
        <v>2</v>
      </c>
      <c r="K1448">
        <v>8</v>
      </c>
      <c r="L1448">
        <v>7</v>
      </c>
      <c r="M1448">
        <v>1</v>
      </c>
      <c r="N1448">
        <v>7</v>
      </c>
      <c r="O1448" s="1" t="s">
        <v>19</v>
      </c>
      <c r="P1448" s="1" t="s">
        <v>135</v>
      </c>
      <c r="Q1448">
        <v>704</v>
      </c>
      <c r="R1448" s="1" t="s">
        <v>64</v>
      </c>
      <c r="S1448">
        <v>28</v>
      </c>
      <c r="T1448">
        <v>1</v>
      </c>
      <c r="U1448">
        <v>4</v>
      </c>
      <c r="V1448">
        <v>95</v>
      </c>
      <c r="W1448">
        <v>2</v>
      </c>
      <c r="X1448">
        <v>2</v>
      </c>
      <c r="Y1448" s="1" t="s">
        <v>4</v>
      </c>
      <c r="Z1448">
        <v>3</v>
      </c>
      <c r="AA1448">
        <v>6712</v>
      </c>
      <c r="AB1448">
        <v>8978</v>
      </c>
      <c r="AC1448" s="1" t="s">
        <v>19</v>
      </c>
      <c r="AD1448">
        <v>21</v>
      </c>
      <c r="AE1448">
        <v>4</v>
      </c>
      <c r="AF1448">
        <v>4</v>
      </c>
      <c r="AG1448">
        <v>80</v>
      </c>
      <c r="AH1448">
        <v>2</v>
      </c>
      <c r="AI1448">
        <v>3</v>
      </c>
      <c r="AJ1448">
        <v>0</v>
      </c>
      <c r="AK1448" s="1" t="s">
        <v>136</v>
      </c>
    </row>
    <row r="1449" spans="1:37" x14ac:dyDescent="0.25">
      <c r="A1449">
        <v>2036</v>
      </c>
      <c r="B1449">
        <v>36</v>
      </c>
      <c r="C1449" s="1" t="s">
        <v>25</v>
      </c>
      <c r="D1449" s="1" t="s">
        <v>69</v>
      </c>
      <c r="E1449">
        <v>4</v>
      </c>
      <c r="F1449" s="1" t="s">
        <v>142</v>
      </c>
      <c r="G1449">
        <v>1</v>
      </c>
      <c r="H1449" s="1" t="s">
        <v>18</v>
      </c>
      <c r="I1449">
        <v>15</v>
      </c>
      <c r="J1449">
        <v>4</v>
      </c>
      <c r="K1449">
        <v>15</v>
      </c>
      <c r="L1449">
        <v>12</v>
      </c>
      <c r="M1449">
        <v>11</v>
      </c>
      <c r="N1449">
        <v>11</v>
      </c>
      <c r="O1449" s="1" t="s">
        <v>19</v>
      </c>
      <c r="P1449" s="1" t="s">
        <v>141</v>
      </c>
      <c r="Q1449">
        <v>301</v>
      </c>
      <c r="R1449" s="1" t="s">
        <v>64</v>
      </c>
      <c r="S1449">
        <v>15</v>
      </c>
      <c r="T1449">
        <v>1</v>
      </c>
      <c r="U1449">
        <v>4</v>
      </c>
      <c r="V1449">
        <v>88</v>
      </c>
      <c r="W1449">
        <v>1</v>
      </c>
      <c r="X1449">
        <v>2</v>
      </c>
      <c r="Y1449" s="1" t="s">
        <v>4</v>
      </c>
      <c r="Z1449">
        <v>4</v>
      </c>
      <c r="AA1449">
        <v>5406</v>
      </c>
      <c r="AB1449">
        <v>10436</v>
      </c>
      <c r="AC1449" s="1" t="s">
        <v>19</v>
      </c>
      <c r="AD1449">
        <v>24</v>
      </c>
      <c r="AE1449">
        <v>4</v>
      </c>
      <c r="AF1449">
        <v>1</v>
      </c>
      <c r="AG1449">
        <v>80</v>
      </c>
      <c r="AH1449">
        <v>1</v>
      </c>
      <c r="AI1449">
        <v>2</v>
      </c>
      <c r="AJ1449">
        <v>0</v>
      </c>
      <c r="AK1449" s="1" t="s">
        <v>136</v>
      </c>
    </row>
    <row r="1450" spans="1:37" x14ac:dyDescent="0.25">
      <c r="A1450">
        <v>2037</v>
      </c>
      <c r="B1450">
        <v>41</v>
      </c>
      <c r="C1450" s="1" t="s">
        <v>25</v>
      </c>
      <c r="D1450" s="1" t="s">
        <v>69</v>
      </c>
      <c r="E1450">
        <v>3</v>
      </c>
      <c r="F1450" s="1" t="s">
        <v>134</v>
      </c>
      <c r="G1450">
        <v>2</v>
      </c>
      <c r="H1450" s="1" t="s">
        <v>18</v>
      </c>
      <c r="I1450">
        <v>14</v>
      </c>
      <c r="J1450">
        <v>5</v>
      </c>
      <c r="K1450">
        <v>5</v>
      </c>
      <c r="L1450">
        <v>4</v>
      </c>
      <c r="M1450">
        <v>0</v>
      </c>
      <c r="N1450">
        <v>4</v>
      </c>
      <c r="O1450" s="1" t="s">
        <v>19</v>
      </c>
      <c r="P1450" s="1" t="s">
        <v>135</v>
      </c>
      <c r="Q1450">
        <v>930</v>
      </c>
      <c r="R1450" s="1" t="s">
        <v>64</v>
      </c>
      <c r="S1450">
        <v>3</v>
      </c>
      <c r="T1450">
        <v>1</v>
      </c>
      <c r="U1450">
        <v>3</v>
      </c>
      <c r="V1450">
        <v>57</v>
      </c>
      <c r="W1450">
        <v>2</v>
      </c>
      <c r="X1450">
        <v>2</v>
      </c>
      <c r="Y1450" s="1" t="s">
        <v>4</v>
      </c>
      <c r="Z1450">
        <v>2</v>
      </c>
      <c r="AA1450">
        <v>8938</v>
      </c>
      <c r="AB1450">
        <v>12227</v>
      </c>
      <c r="AC1450" s="1" t="s">
        <v>19</v>
      </c>
      <c r="AD1450">
        <v>11</v>
      </c>
      <c r="AE1450">
        <v>3</v>
      </c>
      <c r="AF1450">
        <v>3</v>
      </c>
      <c r="AG1450">
        <v>80</v>
      </c>
      <c r="AH1450">
        <v>1</v>
      </c>
      <c r="AI1450">
        <v>3</v>
      </c>
      <c r="AJ1450">
        <v>0</v>
      </c>
      <c r="AK1450" s="1" t="s">
        <v>136</v>
      </c>
    </row>
    <row r="1451" spans="1:37" x14ac:dyDescent="0.25">
      <c r="A1451">
        <v>2038</v>
      </c>
      <c r="B1451">
        <v>32</v>
      </c>
      <c r="C1451" s="1" t="s">
        <v>25</v>
      </c>
      <c r="D1451" s="1" t="s">
        <v>71</v>
      </c>
      <c r="E1451">
        <v>3</v>
      </c>
      <c r="F1451" s="1" t="s">
        <v>143</v>
      </c>
      <c r="G1451">
        <v>1</v>
      </c>
      <c r="H1451" s="1" t="s">
        <v>18</v>
      </c>
      <c r="I1451">
        <v>4</v>
      </c>
      <c r="J1451">
        <v>4</v>
      </c>
      <c r="K1451">
        <v>4</v>
      </c>
      <c r="L1451">
        <v>2</v>
      </c>
      <c r="M1451">
        <v>1</v>
      </c>
      <c r="N1451">
        <v>2</v>
      </c>
      <c r="O1451" s="1" t="s">
        <v>19</v>
      </c>
      <c r="P1451" s="1" t="s">
        <v>135</v>
      </c>
      <c r="Q1451">
        <v>529</v>
      </c>
      <c r="R1451" s="1" t="s">
        <v>63</v>
      </c>
      <c r="S1451">
        <v>2</v>
      </c>
      <c r="T1451">
        <v>1</v>
      </c>
      <c r="U1451">
        <v>4</v>
      </c>
      <c r="V1451">
        <v>78</v>
      </c>
      <c r="W1451">
        <v>3</v>
      </c>
      <c r="X1451">
        <v>1</v>
      </c>
      <c r="Y1451" s="1" t="s">
        <v>5</v>
      </c>
      <c r="Z1451">
        <v>1</v>
      </c>
      <c r="AA1451">
        <v>2439</v>
      </c>
      <c r="AB1451">
        <v>11288</v>
      </c>
      <c r="AC1451" s="1" t="s">
        <v>19</v>
      </c>
      <c r="AD1451">
        <v>14</v>
      </c>
      <c r="AE1451">
        <v>3</v>
      </c>
      <c r="AF1451">
        <v>4</v>
      </c>
      <c r="AG1451">
        <v>80</v>
      </c>
      <c r="AH1451">
        <v>0</v>
      </c>
      <c r="AI1451">
        <v>3</v>
      </c>
      <c r="AJ1451">
        <v>0</v>
      </c>
      <c r="AK1451" s="1" t="s">
        <v>136</v>
      </c>
    </row>
    <row r="1452" spans="1:37" x14ac:dyDescent="0.25">
      <c r="A1452">
        <v>2040</v>
      </c>
      <c r="B1452">
        <v>35</v>
      </c>
      <c r="C1452" s="1" t="s">
        <v>24</v>
      </c>
      <c r="D1452" s="1" t="s">
        <v>71</v>
      </c>
      <c r="E1452">
        <v>4</v>
      </c>
      <c r="F1452" s="1" t="s">
        <v>134</v>
      </c>
      <c r="G1452">
        <v>1</v>
      </c>
      <c r="H1452" s="1" t="s">
        <v>18</v>
      </c>
      <c r="I1452">
        <v>9</v>
      </c>
      <c r="J1452">
        <v>2</v>
      </c>
      <c r="K1452">
        <v>9</v>
      </c>
      <c r="L1452">
        <v>0</v>
      </c>
      <c r="M1452">
        <v>1</v>
      </c>
      <c r="N1452">
        <v>7</v>
      </c>
      <c r="O1452" s="1" t="s">
        <v>19</v>
      </c>
      <c r="P1452" s="1" t="s">
        <v>135</v>
      </c>
      <c r="Q1452">
        <v>1146</v>
      </c>
      <c r="R1452" s="1" t="s">
        <v>12</v>
      </c>
      <c r="S1452">
        <v>26</v>
      </c>
      <c r="T1452">
        <v>1</v>
      </c>
      <c r="U1452">
        <v>3</v>
      </c>
      <c r="V1452">
        <v>31</v>
      </c>
      <c r="W1452">
        <v>3</v>
      </c>
      <c r="X1452">
        <v>3</v>
      </c>
      <c r="Y1452" s="1" t="s">
        <v>12</v>
      </c>
      <c r="Z1452">
        <v>4</v>
      </c>
      <c r="AA1452">
        <v>8837</v>
      </c>
      <c r="AB1452">
        <v>16642</v>
      </c>
      <c r="AC1452" s="1" t="s">
        <v>18</v>
      </c>
      <c r="AD1452">
        <v>16</v>
      </c>
      <c r="AE1452">
        <v>3</v>
      </c>
      <c r="AF1452">
        <v>3</v>
      </c>
      <c r="AG1452">
        <v>80</v>
      </c>
      <c r="AH1452">
        <v>0</v>
      </c>
      <c r="AI1452">
        <v>3</v>
      </c>
      <c r="AJ1452">
        <v>0</v>
      </c>
      <c r="AK1452" s="1" t="s">
        <v>136</v>
      </c>
    </row>
    <row r="1453" spans="1:37" x14ac:dyDescent="0.25">
      <c r="A1453">
        <v>2041</v>
      </c>
      <c r="B1453">
        <v>38</v>
      </c>
      <c r="C1453" s="1" t="s">
        <v>24</v>
      </c>
      <c r="D1453" s="1" t="s">
        <v>70</v>
      </c>
      <c r="E1453">
        <v>2</v>
      </c>
      <c r="F1453" s="1" t="s">
        <v>134</v>
      </c>
      <c r="G1453">
        <v>1</v>
      </c>
      <c r="H1453" s="1" t="s">
        <v>18</v>
      </c>
      <c r="I1453">
        <v>10</v>
      </c>
      <c r="J1453">
        <v>1</v>
      </c>
      <c r="K1453">
        <v>10</v>
      </c>
      <c r="L1453">
        <v>7</v>
      </c>
      <c r="M1453">
        <v>1</v>
      </c>
      <c r="N1453">
        <v>9</v>
      </c>
      <c r="O1453" s="1" t="s">
        <v>19</v>
      </c>
      <c r="P1453" s="1" t="s">
        <v>135</v>
      </c>
      <c r="Q1453">
        <v>345</v>
      </c>
      <c r="R1453" s="1" t="s">
        <v>64</v>
      </c>
      <c r="S1453">
        <v>10</v>
      </c>
      <c r="T1453">
        <v>1</v>
      </c>
      <c r="U1453">
        <v>1</v>
      </c>
      <c r="V1453">
        <v>100</v>
      </c>
      <c r="W1453">
        <v>3</v>
      </c>
      <c r="X1453">
        <v>2</v>
      </c>
      <c r="Y1453" s="1" t="s">
        <v>4</v>
      </c>
      <c r="Z1453">
        <v>4</v>
      </c>
      <c r="AA1453">
        <v>5343</v>
      </c>
      <c r="AB1453">
        <v>5982</v>
      </c>
      <c r="AC1453" s="1" t="s">
        <v>19</v>
      </c>
      <c r="AD1453">
        <v>11</v>
      </c>
      <c r="AE1453">
        <v>3</v>
      </c>
      <c r="AF1453">
        <v>3</v>
      </c>
      <c r="AG1453">
        <v>80</v>
      </c>
      <c r="AH1453">
        <v>1</v>
      </c>
      <c r="AI1453">
        <v>3</v>
      </c>
      <c r="AJ1453">
        <v>0</v>
      </c>
      <c r="AK1453" s="1" t="s">
        <v>136</v>
      </c>
    </row>
    <row r="1454" spans="1:37" x14ac:dyDescent="0.25">
      <c r="A1454">
        <v>2044</v>
      </c>
      <c r="B1454">
        <v>50</v>
      </c>
      <c r="C1454" s="1" t="s">
        <v>25</v>
      </c>
      <c r="D1454" s="1" t="s">
        <v>69</v>
      </c>
      <c r="E1454">
        <v>4</v>
      </c>
      <c r="F1454" s="1" t="s">
        <v>134</v>
      </c>
      <c r="G1454">
        <v>7</v>
      </c>
      <c r="H1454" s="1" t="s">
        <v>18</v>
      </c>
      <c r="I1454">
        <v>12</v>
      </c>
      <c r="J1454">
        <v>3</v>
      </c>
      <c r="K1454">
        <v>6</v>
      </c>
      <c r="L1454">
        <v>3</v>
      </c>
      <c r="M1454">
        <v>0</v>
      </c>
      <c r="N1454">
        <v>1</v>
      </c>
      <c r="O1454" s="1" t="s">
        <v>18</v>
      </c>
      <c r="P1454" s="1" t="s">
        <v>137</v>
      </c>
      <c r="Q1454">
        <v>878</v>
      </c>
      <c r="R1454" s="1" t="s">
        <v>64</v>
      </c>
      <c r="S1454">
        <v>1</v>
      </c>
      <c r="T1454">
        <v>1</v>
      </c>
      <c r="U1454">
        <v>2</v>
      </c>
      <c r="V1454">
        <v>94</v>
      </c>
      <c r="W1454">
        <v>3</v>
      </c>
      <c r="X1454">
        <v>2</v>
      </c>
      <c r="Y1454" s="1" t="s">
        <v>4</v>
      </c>
      <c r="Z1454">
        <v>3</v>
      </c>
      <c r="AA1454">
        <v>6728</v>
      </c>
      <c r="AB1454">
        <v>14255</v>
      </c>
      <c r="AC1454" s="1" t="s">
        <v>19</v>
      </c>
      <c r="AD1454">
        <v>12</v>
      </c>
      <c r="AE1454">
        <v>3</v>
      </c>
      <c r="AF1454">
        <v>4</v>
      </c>
      <c r="AG1454">
        <v>80</v>
      </c>
      <c r="AH1454">
        <v>2</v>
      </c>
      <c r="AI1454">
        <v>3</v>
      </c>
      <c r="AJ1454">
        <v>1</v>
      </c>
      <c r="AK1454" s="1" t="s">
        <v>140</v>
      </c>
    </row>
    <row r="1455" spans="1:37" x14ac:dyDescent="0.25">
      <c r="A1455">
        <v>2045</v>
      </c>
      <c r="B1455">
        <v>36</v>
      </c>
      <c r="C1455" s="1" t="s">
        <v>24</v>
      </c>
      <c r="D1455" s="1" t="s">
        <v>70</v>
      </c>
      <c r="E1455">
        <v>4</v>
      </c>
      <c r="F1455" s="1" t="s">
        <v>142</v>
      </c>
      <c r="G1455">
        <v>4</v>
      </c>
      <c r="H1455" s="1" t="s">
        <v>18</v>
      </c>
      <c r="I1455">
        <v>8</v>
      </c>
      <c r="J1455">
        <v>2</v>
      </c>
      <c r="K1455">
        <v>6</v>
      </c>
      <c r="L1455">
        <v>3</v>
      </c>
      <c r="M1455">
        <v>0</v>
      </c>
      <c r="N1455">
        <v>0</v>
      </c>
      <c r="O1455" s="1" t="s">
        <v>19</v>
      </c>
      <c r="P1455" s="1" t="s">
        <v>135</v>
      </c>
      <c r="Q1455">
        <v>1120</v>
      </c>
      <c r="R1455" s="1" t="s">
        <v>64</v>
      </c>
      <c r="S1455">
        <v>11</v>
      </c>
      <c r="T1455">
        <v>1</v>
      </c>
      <c r="U1455">
        <v>2</v>
      </c>
      <c r="V1455">
        <v>100</v>
      </c>
      <c r="W1455">
        <v>2</v>
      </c>
      <c r="X1455">
        <v>2</v>
      </c>
      <c r="Y1455" s="1" t="s">
        <v>4</v>
      </c>
      <c r="Z1455">
        <v>4</v>
      </c>
      <c r="AA1455">
        <v>6652</v>
      </c>
      <c r="AB1455">
        <v>14369</v>
      </c>
      <c r="AC1455" s="1" t="s">
        <v>19</v>
      </c>
      <c r="AD1455">
        <v>13</v>
      </c>
      <c r="AE1455">
        <v>3</v>
      </c>
      <c r="AF1455">
        <v>1</v>
      </c>
      <c r="AG1455">
        <v>80</v>
      </c>
      <c r="AH1455">
        <v>1</v>
      </c>
      <c r="AI1455">
        <v>2</v>
      </c>
      <c r="AJ1455">
        <v>0</v>
      </c>
      <c r="AK1455" s="1" t="s">
        <v>136</v>
      </c>
    </row>
    <row r="1456" spans="1:37" x14ac:dyDescent="0.25">
      <c r="A1456">
        <v>2046</v>
      </c>
      <c r="B1456">
        <v>45</v>
      </c>
      <c r="C1456" s="1" t="s">
        <v>24</v>
      </c>
      <c r="D1456" s="1" t="s">
        <v>71</v>
      </c>
      <c r="E1456">
        <v>3</v>
      </c>
      <c r="F1456" s="1" t="s">
        <v>134</v>
      </c>
      <c r="G1456">
        <v>8</v>
      </c>
      <c r="H1456" s="1" t="s">
        <v>18</v>
      </c>
      <c r="I1456">
        <v>8</v>
      </c>
      <c r="J1456">
        <v>3</v>
      </c>
      <c r="K1456">
        <v>5</v>
      </c>
      <c r="L1456">
        <v>3</v>
      </c>
      <c r="M1456">
        <v>0</v>
      </c>
      <c r="N1456">
        <v>1</v>
      </c>
      <c r="O1456" s="1" t="s">
        <v>19</v>
      </c>
      <c r="P1456" s="1" t="s">
        <v>135</v>
      </c>
      <c r="Q1456">
        <v>374</v>
      </c>
      <c r="R1456" s="1" t="s">
        <v>64</v>
      </c>
      <c r="S1456">
        <v>20</v>
      </c>
      <c r="T1456">
        <v>1</v>
      </c>
      <c r="U1456">
        <v>4</v>
      </c>
      <c r="V1456">
        <v>50</v>
      </c>
      <c r="W1456">
        <v>3</v>
      </c>
      <c r="X1456">
        <v>2</v>
      </c>
      <c r="Y1456" s="1" t="s">
        <v>4</v>
      </c>
      <c r="Z1456">
        <v>3</v>
      </c>
      <c r="AA1456">
        <v>4850</v>
      </c>
      <c r="AB1456">
        <v>23333</v>
      </c>
      <c r="AC1456" s="1" t="s">
        <v>19</v>
      </c>
      <c r="AD1456">
        <v>15</v>
      </c>
      <c r="AE1456">
        <v>3</v>
      </c>
      <c r="AF1456">
        <v>3</v>
      </c>
      <c r="AG1456">
        <v>80</v>
      </c>
      <c r="AH1456">
        <v>0</v>
      </c>
      <c r="AI1456">
        <v>3</v>
      </c>
      <c r="AJ1456">
        <v>0</v>
      </c>
      <c r="AK1456" s="1" t="s">
        <v>136</v>
      </c>
    </row>
    <row r="1457" spans="1:37" x14ac:dyDescent="0.25">
      <c r="A1457">
        <v>2048</v>
      </c>
      <c r="B1457">
        <v>40</v>
      </c>
      <c r="C1457" s="1" t="s">
        <v>25</v>
      </c>
      <c r="D1457" s="1" t="s">
        <v>71</v>
      </c>
      <c r="E1457">
        <v>4</v>
      </c>
      <c r="F1457" s="1" t="s">
        <v>134</v>
      </c>
      <c r="G1457">
        <v>2</v>
      </c>
      <c r="H1457" s="1" t="s">
        <v>18</v>
      </c>
      <c r="I1457">
        <v>8</v>
      </c>
      <c r="J1457">
        <v>2</v>
      </c>
      <c r="K1457">
        <v>2</v>
      </c>
      <c r="L1457">
        <v>2</v>
      </c>
      <c r="M1457">
        <v>2</v>
      </c>
      <c r="N1457">
        <v>2</v>
      </c>
      <c r="O1457" s="1" t="s">
        <v>19</v>
      </c>
      <c r="P1457" s="1" t="s">
        <v>135</v>
      </c>
      <c r="Q1457">
        <v>1322</v>
      </c>
      <c r="R1457" s="1" t="s">
        <v>63</v>
      </c>
      <c r="S1457">
        <v>2</v>
      </c>
      <c r="T1457">
        <v>1</v>
      </c>
      <c r="U1457">
        <v>3</v>
      </c>
      <c r="V1457">
        <v>52</v>
      </c>
      <c r="W1457">
        <v>2</v>
      </c>
      <c r="X1457">
        <v>1</v>
      </c>
      <c r="Y1457" s="1" t="s">
        <v>5</v>
      </c>
      <c r="Z1457">
        <v>3</v>
      </c>
      <c r="AA1457">
        <v>2809</v>
      </c>
      <c r="AB1457">
        <v>2725</v>
      </c>
      <c r="AC1457" s="1" t="s">
        <v>19</v>
      </c>
      <c r="AD1457">
        <v>14</v>
      </c>
      <c r="AE1457">
        <v>3</v>
      </c>
      <c r="AF1457">
        <v>4</v>
      </c>
      <c r="AG1457">
        <v>80</v>
      </c>
      <c r="AH1457">
        <v>0</v>
      </c>
      <c r="AI1457">
        <v>3</v>
      </c>
      <c r="AJ1457">
        <v>0</v>
      </c>
      <c r="AK1457" s="1" t="s">
        <v>136</v>
      </c>
    </row>
    <row r="1458" spans="1:37" x14ac:dyDescent="0.25">
      <c r="A1458">
        <v>2049</v>
      </c>
      <c r="B1458">
        <v>35</v>
      </c>
      <c r="C1458" s="1" t="s">
        <v>25</v>
      </c>
      <c r="D1458" s="1" t="s">
        <v>70</v>
      </c>
      <c r="E1458">
        <v>4</v>
      </c>
      <c r="F1458" s="1" t="s">
        <v>134</v>
      </c>
      <c r="G1458">
        <v>1</v>
      </c>
      <c r="H1458" s="1" t="s">
        <v>18</v>
      </c>
      <c r="I1458">
        <v>10</v>
      </c>
      <c r="J1458">
        <v>2</v>
      </c>
      <c r="K1458">
        <v>10</v>
      </c>
      <c r="L1458">
        <v>2</v>
      </c>
      <c r="M1458">
        <v>0</v>
      </c>
      <c r="N1458">
        <v>2</v>
      </c>
      <c r="O1458" s="1" t="s">
        <v>19</v>
      </c>
      <c r="P1458" s="1" t="s">
        <v>137</v>
      </c>
      <c r="Q1458">
        <v>1199</v>
      </c>
      <c r="R1458" s="1" t="s">
        <v>63</v>
      </c>
      <c r="S1458">
        <v>18</v>
      </c>
      <c r="T1458">
        <v>1</v>
      </c>
      <c r="U1458">
        <v>3</v>
      </c>
      <c r="V1458">
        <v>80</v>
      </c>
      <c r="W1458">
        <v>3</v>
      </c>
      <c r="X1458">
        <v>2</v>
      </c>
      <c r="Y1458" s="1" t="s">
        <v>8</v>
      </c>
      <c r="Z1458">
        <v>3</v>
      </c>
      <c r="AA1458">
        <v>5689</v>
      </c>
      <c r="AB1458">
        <v>24594</v>
      </c>
      <c r="AC1458" s="1" t="s">
        <v>18</v>
      </c>
      <c r="AD1458">
        <v>14</v>
      </c>
      <c r="AE1458">
        <v>3</v>
      </c>
      <c r="AF1458">
        <v>4</v>
      </c>
      <c r="AG1458">
        <v>80</v>
      </c>
      <c r="AH1458">
        <v>2</v>
      </c>
      <c r="AI1458">
        <v>4</v>
      </c>
      <c r="AJ1458">
        <v>0</v>
      </c>
      <c r="AK1458" s="1" t="s">
        <v>136</v>
      </c>
    </row>
    <row r="1459" spans="1:37" x14ac:dyDescent="0.25">
      <c r="A1459">
        <v>2051</v>
      </c>
      <c r="B1459">
        <v>40</v>
      </c>
      <c r="C1459" s="1" t="s">
        <v>24</v>
      </c>
      <c r="D1459" s="1" t="s">
        <v>70</v>
      </c>
      <c r="E1459">
        <v>4</v>
      </c>
      <c r="F1459" s="1" t="s">
        <v>139</v>
      </c>
      <c r="G1459">
        <v>2</v>
      </c>
      <c r="H1459" s="1" t="s">
        <v>18</v>
      </c>
      <c r="I1459">
        <v>20</v>
      </c>
      <c r="J1459">
        <v>2</v>
      </c>
      <c r="K1459">
        <v>5</v>
      </c>
      <c r="L1459">
        <v>3</v>
      </c>
      <c r="M1459">
        <v>0</v>
      </c>
      <c r="N1459">
        <v>2</v>
      </c>
      <c r="O1459" s="1" t="s">
        <v>19</v>
      </c>
      <c r="P1459" s="1" t="s">
        <v>135</v>
      </c>
      <c r="Q1459">
        <v>1194</v>
      </c>
      <c r="R1459" s="1" t="s">
        <v>63</v>
      </c>
      <c r="S1459">
        <v>2</v>
      </c>
      <c r="T1459">
        <v>1</v>
      </c>
      <c r="U1459">
        <v>3</v>
      </c>
      <c r="V1459">
        <v>98</v>
      </c>
      <c r="W1459">
        <v>3</v>
      </c>
      <c r="X1459">
        <v>1</v>
      </c>
      <c r="Y1459" s="1" t="s">
        <v>5</v>
      </c>
      <c r="Z1459">
        <v>3</v>
      </c>
      <c r="AA1459">
        <v>2001</v>
      </c>
      <c r="AB1459">
        <v>12549</v>
      </c>
      <c r="AC1459" s="1" t="s">
        <v>19</v>
      </c>
      <c r="AD1459">
        <v>14</v>
      </c>
      <c r="AE1459">
        <v>3</v>
      </c>
      <c r="AF1459">
        <v>2</v>
      </c>
      <c r="AG1459">
        <v>80</v>
      </c>
      <c r="AH1459">
        <v>3</v>
      </c>
      <c r="AI1459">
        <v>3</v>
      </c>
      <c r="AJ1459">
        <v>0</v>
      </c>
      <c r="AK1459" s="1" t="s">
        <v>136</v>
      </c>
    </row>
    <row r="1460" spans="1:37" x14ac:dyDescent="0.25">
      <c r="A1460">
        <v>2052</v>
      </c>
      <c r="B1460">
        <v>35</v>
      </c>
      <c r="C1460" s="1" t="s">
        <v>24</v>
      </c>
      <c r="D1460" s="1" t="s">
        <v>70</v>
      </c>
      <c r="E1460">
        <v>4</v>
      </c>
      <c r="F1460" s="1" t="s">
        <v>134</v>
      </c>
      <c r="G1460">
        <v>1</v>
      </c>
      <c r="H1460" s="1" t="s">
        <v>18</v>
      </c>
      <c r="I1460">
        <v>4</v>
      </c>
      <c r="J1460">
        <v>5</v>
      </c>
      <c r="K1460">
        <v>4</v>
      </c>
      <c r="L1460">
        <v>3</v>
      </c>
      <c r="M1460">
        <v>1</v>
      </c>
      <c r="N1460">
        <v>1</v>
      </c>
      <c r="O1460" s="1" t="s">
        <v>19</v>
      </c>
      <c r="P1460" s="1" t="s">
        <v>135</v>
      </c>
      <c r="Q1460">
        <v>287</v>
      </c>
      <c r="R1460" s="1" t="s">
        <v>63</v>
      </c>
      <c r="S1460">
        <v>1</v>
      </c>
      <c r="T1460">
        <v>1</v>
      </c>
      <c r="U1460">
        <v>3</v>
      </c>
      <c r="V1460">
        <v>62</v>
      </c>
      <c r="W1460">
        <v>1</v>
      </c>
      <c r="X1460">
        <v>1</v>
      </c>
      <c r="Y1460" s="1" t="s">
        <v>5</v>
      </c>
      <c r="Z1460">
        <v>4</v>
      </c>
      <c r="AA1460">
        <v>2977</v>
      </c>
      <c r="AB1460">
        <v>8952</v>
      </c>
      <c r="AC1460" s="1" t="s">
        <v>19</v>
      </c>
      <c r="AD1460">
        <v>12</v>
      </c>
      <c r="AE1460">
        <v>3</v>
      </c>
      <c r="AF1460">
        <v>4</v>
      </c>
      <c r="AG1460">
        <v>80</v>
      </c>
      <c r="AH1460">
        <v>1</v>
      </c>
      <c r="AI1460">
        <v>3</v>
      </c>
      <c r="AJ1460">
        <v>0</v>
      </c>
      <c r="AK1460" s="1" t="s">
        <v>136</v>
      </c>
    </row>
    <row r="1461" spans="1:37" x14ac:dyDescent="0.25">
      <c r="A1461">
        <v>2053</v>
      </c>
      <c r="B1461">
        <v>29</v>
      </c>
      <c r="C1461" s="1" t="s">
        <v>25</v>
      </c>
      <c r="D1461" s="1" t="s">
        <v>70</v>
      </c>
      <c r="E1461">
        <v>2</v>
      </c>
      <c r="F1461" s="1" t="s">
        <v>138</v>
      </c>
      <c r="G1461">
        <v>4</v>
      </c>
      <c r="H1461" s="1" t="s">
        <v>18</v>
      </c>
      <c r="I1461">
        <v>10</v>
      </c>
      <c r="J1461">
        <v>2</v>
      </c>
      <c r="K1461">
        <v>4</v>
      </c>
      <c r="L1461">
        <v>3</v>
      </c>
      <c r="M1461">
        <v>0</v>
      </c>
      <c r="N1461">
        <v>3</v>
      </c>
      <c r="O1461" s="1" t="s">
        <v>19</v>
      </c>
      <c r="P1461" s="1" t="s">
        <v>135</v>
      </c>
      <c r="Q1461">
        <v>1378</v>
      </c>
      <c r="R1461" s="1" t="s">
        <v>63</v>
      </c>
      <c r="S1461">
        <v>13</v>
      </c>
      <c r="T1461">
        <v>1</v>
      </c>
      <c r="U1461">
        <v>4</v>
      </c>
      <c r="V1461">
        <v>46</v>
      </c>
      <c r="W1461">
        <v>2</v>
      </c>
      <c r="X1461">
        <v>2</v>
      </c>
      <c r="Y1461" s="1" t="s">
        <v>6</v>
      </c>
      <c r="Z1461">
        <v>2</v>
      </c>
      <c r="AA1461">
        <v>4025</v>
      </c>
      <c r="AB1461">
        <v>23679</v>
      </c>
      <c r="AC1461" s="1" t="s">
        <v>18</v>
      </c>
      <c r="AD1461">
        <v>13</v>
      </c>
      <c r="AE1461">
        <v>3</v>
      </c>
      <c r="AF1461">
        <v>1</v>
      </c>
      <c r="AG1461">
        <v>80</v>
      </c>
      <c r="AH1461">
        <v>1</v>
      </c>
      <c r="AI1461">
        <v>3</v>
      </c>
      <c r="AJ1461">
        <v>0</v>
      </c>
      <c r="AK1461" s="1" t="s">
        <v>136</v>
      </c>
    </row>
    <row r="1462" spans="1:37" x14ac:dyDescent="0.25">
      <c r="A1462">
        <v>2054</v>
      </c>
      <c r="B1462">
        <v>29</v>
      </c>
      <c r="C1462" s="1" t="s">
        <v>24</v>
      </c>
      <c r="D1462" s="1" t="s">
        <v>71</v>
      </c>
      <c r="E1462">
        <v>4</v>
      </c>
      <c r="F1462" s="1" t="s">
        <v>139</v>
      </c>
      <c r="G1462">
        <v>1</v>
      </c>
      <c r="H1462" s="1" t="s">
        <v>18</v>
      </c>
      <c r="I1462">
        <v>5</v>
      </c>
      <c r="J1462">
        <v>3</v>
      </c>
      <c r="K1462">
        <v>5</v>
      </c>
      <c r="L1462">
        <v>4</v>
      </c>
      <c r="M1462">
        <v>0</v>
      </c>
      <c r="N1462">
        <v>4</v>
      </c>
      <c r="O1462" s="1" t="s">
        <v>19</v>
      </c>
      <c r="P1462" s="1" t="s">
        <v>135</v>
      </c>
      <c r="Q1462">
        <v>468</v>
      </c>
      <c r="R1462" s="1" t="s">
        <v>63</v>
      </c>
      <c r="S1462">
        <v>28</v>
      </c>
      <c r="T1462">
        <v>1</v>
      </c>
      <c r="U1462">
        <v>4</v>
      </c>
      <c r="V1462">
        <v>73</v>
      </c>
      <c r="W1462">
        <v>2</v>
      </c>
      <c r="X1462">
        <v>1</v>
      </c>
      <c r="Y1462" s="1" t="s">
        <v>5</v>
      </c>
      <c r="Z1462">
        <v>1</v>
      </c>
      <c r="AA1462">
        <v>3785</v>
      </c>
      <c r="AB1462">
        <v>8489</v>
      </c>
      <c r="AC1462" s="1" t="s">
        <v>19</v>
      </c>
      <c r="AD1462">
        <v>14</v>
      </c>
      <c r="AE1462">
        <v>3</v>
      </c>
      <c r="AF1462">
        <v>2</v>
      </c>
      <c r="AG1462">
        <v>80</v>
      </c>
      <c r="AH1462">
        <v>0</v>
      </c>
      <c r="AI1462">
        <v>1</v>
      </c>
      <c r="AJ1462">
        <v>0</v>
      </c>
      <c r="AK1462" s="1" t="s">
        <v>136</v>
      </c>
    </row>
    <row r="1463" spans="1:37" x14ac:dyDescent="0.25">
      <c r="A1463">
        <v>2055</v>
      </c>
      <c r="B1463">
        <v>50</v>
      </c>
      <c r="C1463" s="1" t="s">
        <v>25</v>
      </c>
      <c r="D1463" s="1" t="s">
        <v>69</v>
      </c>
      <c r="E1463">
        <v>3</v>
      </c>
      <c r="F1463" s="1" t="s">
        <v>142</v>
      </c>
      <c r="G1463">
        <v>4</v>
      </c>
      <c r="H1463" s="1" t="s">
        <v>18</v>
      </c>
      <c r="I1463">
        <v>20</v>
      </c>
      <c r="J1463">
        <v>3</v>
      </c>
      <c r="K1463">
        <v>3</v>
      </c>
      <c r="L1463">
        <v>2</v>
      </c>
      <c r="M1463">
        <v>2</v>
      </c>
      <c r="N1463">
        <v>0</v>
      </c>
      <c r="O1463" s="1" t="s">
        <v>18</v>
      </c>
      <c r="P1463" s="1" t="s">
        <v>135</v>
      </c>
      <c r="Q1463">
        <v>410</v>
      </c>
      <c r="R1463" s="1" t="s">
        <v>64</v>
      </c>
      <c r="S1463">
        <v>28</v>
      </c>
      <c r="T1463">
        <v>1</v>
      </c>
      <c r="U1463">
        <v>4</v>
      </c>
      <c r="V1463">
        <v>39</v>
      </c>
      <c r="W1463">
        <v>2</v>
      </c>
      <c r="X1463">
        <v>3</v>
      </c>
      <c r="Y1463" s="1" t="s">
        <v>4</v>
      </c>
      <c r="Z1463">
        <v>1</v>
      </c>
      <c r="AA1463">
        <v>10854</v>
      </c>
      <c r="AB1463">
        <v>16586</v>
      </c>
      <c r="AC1463" s="1" t="s">
        <v>18</v>
      </c>
      <c r="AD1463">
        <v>13</v>
      </c>
      <c r="AE1463">
        <v>3</v>
      </c>
      <c r="AF1463">
        <v>2</v>
      </c>
      <c r="AG1463">
        <v>80</v>
      </c>
      <c r="AH1463">
        <v>1</v>
      </c>
      <c r="AI1463">
        <v>3</v>
      </c>
      <c r="AJ1463">
        <v>1</v>
      </c>
      <c r="AK1463" s="1" t="s">
        <v>140</v>
      </c>
    </row>
    <row r="1464" spans="1:37" x14ac:dyDescent="0.25">
      <c r="A1464">
        <v>2056</v>
      </c>
      <c r="B1464">
        <v>39</v>
      </c>
      <c r="C1464" s="1" t="s">
        <v>24</v>
      </c>
      <c r="D1464" s="1" t="s">
        <v>70</v>
      </c>
      <c r="E1464">
        <v>1</v>
      </c>
      <c r="F1464" s="1" t="s">
        <v>142</v>
      </c>
      <c r="G1464">
        <v>0</v>
      </c>
      <c r="H1464" s="1" t="s">
        <v>18</v>
      </c>
      <c r="I1464">
        <v>21</v>
      </c>
      <c r="J1464">
        <v>2</v>
      </c>
      <c r="K1464">
        <v>20</v>
      </c>
      <c r="L1464">
        <v>9</v>
      </c>
      <c r="M1464">
        <v>9</v>
      </c>
      <c r="N1464">
        <v>6</v>
      </c>
      <c r="O1464" s="1" t="s">
        <v>19</v>
      </c>
      <c r="P1464" s="1" t="s">
        <v>135</v>
      </c>
      <c r="Q1464">
        <v>722</v>
      </c>
      <c r="R1464" s="1" t="s">
        <v>64</v>
      </c>
      <c r="S1464">
        <v>24</v>
      </c>
      <c r="T1464">
        <v>1</v>
      </c>
      <c r="U1464">
        <v>2</v>
      </c>
      <c r="V1464">
        <v>60</v>
      </c>
      <c r="W1464">
        <v>2</v>
      </c>
      <c r="X1464">
        <v>4</v>
      </c>
      <c r="Y1464" s="1" t="s">
        <v>4</v>
      </c>
      <c r="Z1464">
        <v>4</v>
      </c>
      <c r="AA1464">
        <v>12031</v>
      </c>
      <c r="AB1464">
        <v>8828</v>
      </c>
      <c r="AC1464" s="1" t="s">
        <v>19</v>
      </c>
      <c r="AD1464">
        <v>11</v>
      </c>
      <c r="AE1464">
        <v>3</v>
      </c>
      <c r="AF1464">
        <v>1</v>
      </c>
      <c r="AG1464">
        <v>80</v>
      </c>
      <c r="AH1464">
        <v>1</v>
      </c>
      <c r="AI1464">
        <v>2</v>
      </c>
      <c r="AJ1464">
        <v>0</v>
      </c>
      <c r="AK1464" s="1" t="s">
        <v>136</v>
      </c>
    </row>
    <row r="1465" spans="1:37" x14ac:dyDescent="0.25">
      <c r="A1465">
        <v>2057</v>
      </c>
      <c r="B1465">
        <v>31</v>
      </c>
      <c r="C1465" s="1" t="s">
        <v>25</v>
      </c>
      <c r="D1465" s="1" t="s">
        <v>71</v>
      </c>
      <c r="E1465">
        <v>3</v>
      </c>
      <c r="F1465" s="1" t="s">
        <v>139</v>
      </c>
      <c r="G1465">
        <v>0</v>
      </c>
      <c r="H1465" s="1" t="s">
        <v>18</v>
      </c>
      <c r="I1465">
        <v>10</v>
      </c>
      <c r="J1465">
        <v>2</v>
      </c>
      <c r="K1465">
        <v>9</v>
      </c>
      <c r="L1465">
        <v>4</v>
      </c>
      <c r="M1465">
        <v>1</v>
      </c>
      <c r="N1465">
        <v>7</v>
      </c>
      <c r="O1465" s="1" t="s">
        <v>19</v>
      </c>
      <c r="P1465" s="1" t="s">
        <v>141</v>
      </c>
      <c r="Q1465">
        <v>325</v>
      </c>
      <c r="R1465" s="1" t="s">
        <v>63</v>
      </c>
      <c r="S1465">
        <v>5</v>
      </c>
      <c r="T1465">
        <v>1</v>
      </c>
      <c r="U1465">
        <v>2</v>
      </c>
      <c r="V1465">
        <v>74</v>
      </c>
      <c r="W1465">
        <v>3</v>
      </c>
      <c r="X1465">
        <v>2</v>
      </c>
      <c r="Y1465" s="1" t="s">
        <v>7</v>
      </c>
      <c r="Z1465">
        <v>1</v>
      </c>
      <c r="AA1465">
        <v>9936</v>
      </c>
      <c r="AB1465">
        <v>3787</v>
      </c>
      <c r="AC1465" s="1" t="s">
        <v>19</v>
      </c>
      <c r="AD1465">
        <v>19</v>
      </c>
      <c r="AE1465">
        <v>3</v>
      </c>
      <c r="AF1465">
        <v>2</v>
      </c>
      <c r="AG1465">
        <v>80</v>
      </c>
      <c r="AH1465">
        <v>0</v>
      </c>
      <c r="AI1465">
        <v>3</v>
      </c>
      <c r="AJ1465">
        <v>0</v>
      </c>
      <c r="AK1465" s="1" t="s">
        <v>136</v>
      </c>
    </row>
    <row r="1466" spans="1:37" x14ac:dyDescent="0.25">
      <c r="A1466">
        <v>2060</v>
      </c>
      <c r="B1466">
        <v>26</v>
      </c>
      <c r="C1466" s="1" t="s">
        <v>24</v>
      </c>
      <c r="D1466" s="1" t="s">
        <v>71</v>
      </c>
      <c r="E1466">
        <v>3</v>
      </c>
      <c r="F1466" s="1" t="s">
        <v>138</v>
      </c>
      <c r="G1466">
        <v>0</v>
      </c>
      <c r="H1466" s="1" t="s">
        <v>18</v>
      </c>
      <c r="I1466">
        <v>5</v>
      </c>
      <c r="J1466">
        <v>2</v>
      </c>
      <c r="K1466">
        <v>4</v>
      </c>
      <c r="L1466">
        <v>2</v>
      </c>
      <c r="M1466">
        <v>0</v>
      </c>
      <c r="N1466">
        <v>0</v>
      </c>
      <c r="O1466" s="1" t="s">
        <v>19</v>
      </c>
      <c r="P1466" s="1" t="s">
        <v>135</v>
      </c>
      <c r="Q1466">
        <v>1167</v>
      </c>
      <c r="R1466" s="1" t="s">
        <v>64</v>
      </c>
      <c r="S1466">
        <v>5</v>
      </c>
      <c r="T1466">
        <v>1</v>
      </c>
      <c r="U1466">
        <v>4</v>
      </c>
      <c r="V1466">
        <v>30</v>
      </c>
      <c r="W1466">
        <v>2</v>
      </c>
      <c r="X1466">
        <v>1</v>
      </c>
      <c r="Y1466" s="1" t="s">
        <v>10</v>
      </c>
      <c r="Z1466">
        <v>3</v>
      </c>
      <c r="AA1466">
        <v>2966</v>
      </c>
      <c r="AB1466">
        <v>21378</v>
      </c>
      <c r="AC1466" s="1" t="s">
        <v>19</v>
      </c>
      <c r="AD1466">
        <v>18</v>
      </c>
      <c r="AE1466">
        <v>3</v>
      </c>
      <c r="AF1466">
        <v>4</v>
      </c>
      <c r="AG1466">
        <v>80</v>
      </c>
      <c r="AH1466">
        <v>0</v>
      </c>
      <c r="AI1466">
        <v>3</v>
      </c>
      <c r="AJ1466">
        <v>0</v>
      </c>
      <c r="AK1466" s="1" t="s">
        <v>136</v>
      </c>
    </row>
    <row r="1467" spans="1:37" x14ac:dyDescent="0.25">
      <c r="A1467">
        <v>2061</v>
      </c>
      <c r="B1467">
        <v>36</v>
      </c>
      <c r="C1467" s="1" t="s">
        <v>25</v>
      </c>
      <c r="D1467" s="1" t="s">
        <v>70</v>
      </c>
      <c r="E1467">
        <v>2</v>
      </c>
      <c r="F1467" s="1" t="s">
        <v>139</v>
      </c>
      <c r="G1467">
        <v>4</v>
      </c>
      <c r="H1467" s="1" t="s">
        <v>18</v>
      </c>
      <c r="I1467">
        <v>17</v>
      </c>
      <c r="J1467">
        <v>3</v>
      </c>
      <c r="K1467">
        <v>5</v>
      </c>
      <c r="L1467">
        <v>2</v>
      </c>
      <c r="M1467">
        <v>0</v>
      </c>
      <c r="N1467">
        <v>3</v>
      </c>
      <c r="O1467" s="1" t="s">
        <v>19</v>
      </c>
      <c r="P1467" s="1" t="s">
        <v>137</v>
      </c>
      <c r="Q1467">
        <v>884</v>
      </c>
      <c r="R1467" s="1" t="s">
        <v>63</v>
      </c>
      <c r="S1467">
        <v>23</v>
      </c>
      <c r="T1467">
        <v>1</v>
      </c>
      <c r="U1467">
        <v>3</v>
      </c>
      <c r="V1467">
        <v>41</v>
      </c>
      <c r="W1467">
        <v>4</v>
      </c>
      <c r="X1467">
        <v>2</v>
      </c>
      <c r="Y1467" s="1" t="s">
        <v>6</v>
      </c>
      <c r="Z1467">
        <v>4</v>
      </c>
      <c r="AA1467">
        <v>2571</v>
      </c>
      <c r="AB1467">
        <v>12290</v>
      </c>
      <c r="AC1467" s="1" t="s">
        <v>19</v>
      </c>
      <c r="AD1467">
        <v>17</v>
      </c>
      <c r="AE1467">
        <v>3</v>
      </c>
      <c r="AF1467">
        <v>3</v>
      </c>
      <c r="AG1467">
        <v>80</v>
      </c>
      <c r="AH1467">
        <v>1</v>
      </c>
      <c r="AI1467">
        <v>3</v>
      </c>
      <c r="AJ1467">
        <v>0</v>
      </c>
      <c r="AK1467" s="1" t="s">
        <v>136</v>
      </c>
    </row>
    <row r="1468" spans="1:37" x14ac:dyDescent="0.25">
      <c r="A1468">
        <v>2062</v>
      </c>
      <c r="B1468">
        <v>39</v>
      </c>
      <c r="C1468" s="1" t="s">
        <v>25</v>
      </c>
      <c r="D1468" s="1" t="s">
        <v>70</v>
      </c>
      <c r="E1468">
        <v>1</v>
      </c>
      <c r="F1468" s="1" t="s">
        <v>139</v>
      </c>
      <c r="G1468">
        <v>4</v>
      </c>
      <c r="H1468" s="1" t="s">
        <v>18</v>
      </c>
      <c r="I1468">
        <v>9</v>
      </c>
      <c r="J1468">
        <v>5</v>
      </c>
      <c r="K1468">
        <v>7</v>
      </c>
      <c r="L1468">
        <v>7</v>
      </c>
      <c r="M1468">
        <v>1</v>
      </c>
      <c r="N1468">
        <v>7</v>
      </c>
      <c r="O1468" s="1" t="s">
        <v>19</v>
      </c>
      <c r="P1468" s="1" t="s">
        <v>135</v>
      </c>
      <c r="Q1468">
        <v>613</v>
      </c>
      <c r="R1468" s="1" t="s">
        <v>63</v>
      </c>
      <c r="S1468">
        <v>6</v>
      </c>
      <c r="T1468">
        <v>1</v>
      </c>
      <c r="U1468">
        <v>4</v>
      </c>
      <c r="V1468">
        <v>42</v>
      </c>
      <c r="W1468">
        <v>2</v>
      </c>
      <c r="X1468">
        <v>3</v>
      </c>
      <c r="Y1468" s="1" t="s">
        <v>8</v>
      </c>
      <c r="Z1468">
        <v>1</v>
      </c>
      <c r="AA1468">
        <v>9991</v>
      </c>
      <c r="AB1468">
        <v>21457</v>
      </c>
      <c r="AC1468" s="1" t="s">
        <v>19</v>
      </c>
      <c r="AD1468">
        <v>15</v>
      </c>
      <c r="AE1468">
        <v>3</v>
      </c>
      <c r="AF1468">
        <v>1</v>
      </c>
      <c r="AG1468">
        <v>80</v>
      </c>
      <c r="AH1468">
        <v>1</v>
      </c>
      <c r="AI1468">
        <v>3</v>
      </c>
      <c r="AJ1468">
        <v>0</v>
      </c>
      <c r="AK1468" s="1" t="s">
        <v>136</v>
      </c>
    </row>
    <row r="1469" spans="1:37" x14ac:dyDescent="0.25">
      <c r="A1469">
        <v>2064</v>
      </c>
      <c r="B1469">
        <v>27</v>
      </c>
      <c r="C1469" s="1" t="s">
        <v>25</v>
      </c>
      <c r="D1469" s="1" t="s">
        <v>70</v>
      </c>
      <c r="E1469">
        <v>3</v>
      </c>
      <c r="F1469" s="1" t="s">
        <v>134</v>
      </c>
      <c r="G1469">
        <v>1</v>
      </c>
      <c r="H1469" s="1" t="s">
        <v>18</v>
      </c>
      <c r="I1469">
        <v>6</v>
      </c>
      <c r="J1469">
        <v>0</v>
      </c>
      <c r="K1469">
        <v>6</v>
      </c>
      <c r="L1469">
        <v>2</v>
      </c>
      <c r="M1469">
        <v>0</v>
      </c>
      <c r="N1469">
        <v>3</v>
      </c>
      <c r="O1469" s="1" t="s">
        <v>19</v>
      </c>
      <c r="P1469" s="1" t="s">
        <v>135</v>
      </c>
      <c r="Q1469">
        <v>155</v>
      </c>
      <c r="R1469" s="1" t="s">
        <v>63</v>
      </c>
      <c r="S1469">
        <v>4</v>
      </c>
      <c r="T1469">
        <v>1</v>
      </c>
      <c r="U1469">
        <v>2</v>
      </c>
      <c r="V1469">
        <v>87</v>
      </c>
      <c r="W1469">
        <v>4</v>
      </c>
      <c r="X1469">
        <v>2</v>
      </c>
      <c r="Y1469" s="1" t="s">
        <v>7</v>
      </c>
      <c r="Z1469">
        <v>2</v>
      </c>
      <c r="AA1469">
        <v>6142</v>
      </c>
      <c r="AB1469">
        <v>5174</v>
      </c>
      <c r="AC1469" s="1" t="s">
        <v>18</v>
      </c>
      <c r="AD1469">
        <v>20</v>
      </c>
      <c r="AE1469">
        <v>4</v>
      </c>
      <c r="AF1469">
        <v>2</v>
      </c>
      <c r="AG1469">
        <v>80</v>
      </c>
      <c r="AH1469">
        <v>1</v>
      </c>
      <c r="AI1469">
        <v>3</v>
      </c>
      <c r="AJ1469">
        <v>0</v>
      </c>
      <c r="AK1469" s="1" t="s">
        <v>136</v>
      </c>
    </row>
    <row r="1470" spans="1:37" x14ac:dyDescent="0.25">
      <c r="A1470">
        <v>2065</v>
      </c>
      <c r="B1470">
        <v>49</v>
      </c>
      <c r="C1470" s="1" t="s">
        <v>25</v>
      </c>
      <c r="D1470" s="1" t="s">
        <v>70</v>
      </c>
      <c r="E1470">
        <v>3</v>
      </c>
      <c r="F1470" s="1" t="s">
        <v>139</v>
      </c>
      <c r="G1470">
        <v>2</v>
      </c>
      <c r="H1470" s="1" t="s">
        <v>18</v>
      </c>
      <c r="I1470">
        <v>17</v>
      </c>
      <c r="J1470">
        <v>3</v>
      </c>
      <c r="K1470">
        <v>9</v>
      </c>
      <c r="L1470">
        <v>6</v>
      </c>
      <c r="M1470">
        <v>0</v>
      </c>
      <c r="N1470">
        <v>8</v>
      </c>
      <c r="O1470" s="1" t="s">
        <v>19</v>
      </c>
      <c r="P1470" s="1" t="s">
        <v>137</v>
      </c>
      <c r="Q1470">
        <v>1023</v>
      </c>
      <c r="R1470" s="1" t="s">
        <v>64</v>
      </c>
      <c r="S1470">
        <v>2</v>
      </c>
      <c r="T1470">
        <v>1</v>
      </c>
      <c r="U1470">
        <v>4</v>
      </c>
      <c r="V1470">
        <v>63</v>
      </c>
      <c r="W1470">
        <v>2</v>
      </c>
      <c r="X1470">
        <v>2</v>
      </c>
      <c r="Y1470" s="1" t="s">
        <v>4</v>
      </c>
      <c r="Z1470">
        <v>2</v>
      </c>
      <c r="AA1470">
        <v>5390</v>
      </c>
      <c r="AB1470">
        <v>13243</v>
      </c>
      <c r="AC1470" s="1" t="s">
        <v>19</v>
      </c>
      <c r="AD1470">
        <v>14</v>
      </c>
      <c r="AE1470">
        <v>3</v>
      </c>
      <c r="AF1470">
        <v>4</v>
      </c>
      <c r="AG1470">
        <v>80</v>
      </c>
      <c r="AH1470">
        <v>0</v>
      </c>
      <c r="AI1470">
        <v>2</v>
      </c>
      <c r="AJ1470">
        <v>0</v>
      </c>
      <c r="AK1470" s="1" t="s">
        <v>136</v>
      </c>
    </row>
    <row r="1471" spans="1:37" x14ac:dyDescent="0.25">
      <c r="A1471">
        <v>2068</v>
      </c>
      <c r="B1471">
        <v>34</v>
      </c>
      <c r="C1471" s="1" t="s">
        <v>25</v>
      </c>
      <c r="D1471" s="1" t="s">
        <v>70</v>
      </c>
      <c r="E1471">
        <v>3</v>
      </c>
      <c r="F1471" s="1" t="s">
        <v>139</v>
      </c>
      <c r="G1471">
        <v>2</v>
      </c>
      <c r="H1471" s="1" t="s">
        <v>18</v>
      </c>
      <c r="I1471">
        <v>6</v>
      </c>
      <c r="J1471">
        <v>3</v>
      </c>
      <c r="K1471">
        <v>4</v>
      </c>
      <c r="L1471">
        <v>3</v>
      </c>
      <c r="M1471">
        <v>1</v>
      </c>
      <c r="N1471">
        <v>2</v>
      </c>
      <c r="O1471" s="1" t="s">
        <v>19</v>
      </c>
      <c r="P1471" s="1" t="s">
        <v>135</v>
      </c>
      <c r="Q1471">
        <v>628</v>
      </c>
      <c r="R1471" s="1" t="s">
        <v>63</v>
      </c>
      <c r="S1471">
        <v>8</v>
      </c>
      <c r="T1471">
        <v>1</v>
      </c>
      <c r="U1471">
        <v>2</v>
      </c>
      <c r="V1471">
        <v>82</v>
      </c>
      <c r="W1471">
        <v>4</v>
      </c>
      <c r="X1471">
        <v>2</v>
      </c>
      <c r="Y1471" s="1" t="s">
        <v>6</v>
      </c>
      <c r="Z1471">
        <v>3</v>
      </c>
      <c r="AA1471">
        <v>4404</v>
      </c>
      <c r="AB1471">
        <v>10228</v>
      </c>
      <c r="AC1471" s="1" t="s">
        <v>19</v>
      </c>
      <c r="AD1471">
        <v>12</v>
      </c>
      <c r="AE1471">
        <v>3</v>
      </c>
      <c r="AF1471">
        <v>1</v>
      </c>
      <c r="AG1471">
        <v>80</v>
      </c>
      <c r="AH1471">
        <v>0</v>
      </c>
      <c r="AI1471">
        <v>4</v>
      </c>
      <c r="AJ1471">
        <v>0</v>
      </c>
      <c r="AK1471" s="1" t="s">
        <v>136</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D4D62-7174-43AF-9A85-4E06E870D000}">
  <dimension ref="A1:D113"/>
  <sheetViews>
    <sheetView topLeftCell="A2" workbookViewId="0">
      <selection sqref="A1:D113"/>
    </sheetView>
  </sheetViews>
  <sheetFormatPr defaultRowHeight="15" x14ac:dyDescent="0.25"/>
  <cols>
    <col min="1" max="1" width="25" bestFit="1" customWidth="1"/>
    <col min="2" max="2" width="10.85546875" bestFit="1" customWidth="1"/>
    <col min="3" max="3" width="17.5703125" bestFit="1" customWidth="1"/>
    <col min="4" max="4" width="16.42578125" bestFit="1" customWidth="1"/>
  </cols>
  <sheetData>
    <row r="1" spans="1:4" x14ac:dyDescent="0.25">
      <c r="A1" t="s">
        <v>41</v>
      </c>
      <c r="B1" t="s">
        <v>120</v>
      </c>
      <c r="C1" t="s">
        <v>146</v>
      </c>
      <c r="D1" t="s">
        <v>100</v>
      </c>
    </row>
    <row r="2" spans="1:4" x14ac:dyDescent="0.25">
      <c r="A2" s="1" t="s">
        <v>8</v>
      </c>
      <c r="B2">
        <v>29</v>
      </c>
      <c r="C2">
        <v>1</v>
      </c>
      <c r="D2" s="1" t="s">
        <v>103</v>
      </c>
    </row>
    <row r="3" spans="1:4" x14ac:dyDescent="0.25">
      <c r="A3" s="1" t="s">
        <v>8</v>
      </c>
      <c r="B3">
        <v>24</v>
      </c>
      <c r="C3">
        <v>1</v>
      </c>
      <c r="D3" s="1" t="s">
        <v>103</v>
      </c>
    </row>
    <row r="4" spans="1:4" x14ac:dyDescent="0.25">
      <c r="A4" s="1" t="s">
        <v>8</v>
      </c>
      <c r="B4">
        <v>23</v>
      </c>
      <c r="C4">
        <v>1</v>
      </c>
      <c r="D4" s="1" t="s">
        <v>103</v>
      </c>
    </row>
    <row r="5" spans="1:4" x14ac:dyDescent="0.25">
      <c r="A5" s="1" t="s">
        <v>8</v>
      </c>
      <c r="B5">
        <v>21</v>
      </c>
      <c r="C5">
        <v>1</v>
      </c>
      <c r="D5" s="1" t="s">
        <v>103</v>
      </c>
    </row>
    <row r="6" spans="1:4" x14ac:dyDescent="0.25">
      <c r="A6" s="1" t="s">
        <v>8</v>
      </c>
      <c r="B6">
        <v>20</v>
      </c>
      <c r="C6">
        <v>1</v>
      </c>
      <c r="D6" s="1" t="s">
        <v>103</v>
      </c>
    </row>
    <row r="7" spans="1:4" x14ac:dyDescent="0.25">
      <c r="A7" s="1" t="s">
        <v>8</v>
      </c>
      <c r="B7">
        <v>15</v>
      </c>
      <c r="C7">
        <v>1</v>
      </c>
      <c r="D7" s="1" t="s">
        <v>102</v>
      </c>
    </row>
    <row r="8" spans="1:4" x14ac:dyDescent="0.25">
      <c r="A8" s="1" t="s">
        <v>8</v>
      </c>
      <c r="B8">
        <v>14</v>
      </c>
      <c r="C8">
        <v>1</v>
      </c>
      <c r="D8" s="1" t="s">
        <v>102</v>
      </c>
    </row>
    <row r="9" spans="1:4" x14ac:dyDescent="0.25">
      <c r="A9" s="1" t="s">
        <v>8</v>
      </c>
      <c r="B9">
        <v>11</v>
      </c>
      <c r="C9">
        <v>1</v>
      </c>
      <c r="D9" s="1" t="s">
        <v>102</v>
      </c>
    </row>
    <row r="10" spans="1:4" x14ac:dyDescent="0.25">
      <c r="A10" s="1" t="s">
        <v>8</v>
      </c>
      <c r="B10">
        <v>2</v>
      </c>
      <c r="C10">
        <v>1</v>
      </c>
      <c r="D10" s="1" t="s">
        <v>101</v>
      </c>
    </row>
    <row r="11" spans="1:4" x14ac:dyDescent="0.25">
      <c r="A11" s="1" t="s">
        <v>12</v>
      </c>
      <c r="B11">
        <v>23</v>
      </c>
      <c r="C11">
        <v>1</v>
      </c>
      <c r="D11" s="1" t="s">
        <v>103</v>
      </c>
    </row>
    <row r="12" spans="1:4" x14ac:dyDescent="0.25">
      <c r="A12" s="1" t="s">
        <v>12</v>
      </c>
      <c r="B12">
        <v>22</v>
      </c>
      <c r="C12">
        <v>2</v>
      </c>
      <c r="D12" s="1" t="s">
        <v>103</v>
      </c>
    </row>
    <row r="13" spans="1:4" x14ac:dyDescent="0.25">
      <c r="A13" s="1" t="s">
        <v>12</v>
      </c>
      <c r="B13">
        <v>20</v>
      </c>
      <c r="C13">
        <v>1</v>
      </c>
      <c r="D13" s="1" t="s">
        <v>103</v>
      </c>
    </row>
    <row r="14" spans="1:4" x14ac:dyDescent="0.25">
      <c r="A14" s="1" t="s">
        <v>12</v>
      </c>
      <c r="B14">
        <v>18</v>
      </c>
      <c r="C14">
        <v>1</v>
      </c>
      <c r="D14" s="1" t="s">
        <v>102</v>
      </c>
    </row>
    <row r="15" spans="1:4" x14ac:dyDescent="0.25">
      <c r="A15" s="1" t="s">
        <v>12</v>
      </c>
      <c r="B15">
        <v>17</v>
      </c>
      <c r="C15">
        <v>1</v>
      </c>
      <c r="D15" s="1" t="s">
        <v>102</v>
      </c>
    </row>
    <row r="16" spans="1:4" x14ac:dyDescent="0.25">
      <c r="A16" s="1" t="s">
        <v>12</v>
      </c>
      <c r="B16">
        <v>13</v>
      </c>
      <c r="C16">
        <v>1</v>
      </c>
      <c r="D16" s="1" t="s">
        <v>102</v>
      </c>
    </row>
    <row r="17" spans="1:4" x14ac:dyDescent="0.25">
      <c r="A17" s="1" t="s">
        <v>12</v>
      </c>
      <c r="B17">
        <v>9</v>
      </c>
      <c r="C17">
        <v>1</v>
      </c>
      <c r="D17" s="1" t="s">
        <v>102</v>
      </c>
    </row>
    <row r="18" spans="1:4" x14ac:dyDescent="0.25">
      <c r="A18" s="1" t="s">
        <v>12</v>
      </c>
      <c r="B18">
        <v>8</v>
      </c>
      <c r="C18">
        <v>1</v>
      </c>
      <c r="D18" s="1" t="s">
        <v>101</v>
      </c>
    </row>
    <row r="19" spans="1:4" x14ac:dyDescent="0.25">
      <c r="A19" s="1" t="s">
        <v>12</v>
      </c>
      <c r="B19">
        <v>6</v>
      </c>
      <c r="C19">
        <v>1</v>
      </c>
      <c r="D19" s="1" t="s">
        <v>101</v>
      </c>
    </row>
    <row r="20" spans="1:4" x14ac:dyDescent="0.25">
      <c r="A20" s="1" t="s">
        <v>12</v>
      </c>
      <c r="B20">
        <v>2</v>
      </c>
      <c r="C20">
        <v>1</v>
      </c>
      <c r="D20" s="1" t="s">
        <v>101</v>
      </c>
    </row>
    <row r="21" spans="1:4" x14ac:dyDescent="0.25">
      <c r="A21" s="1" t="s">
        <v>12</v>
      </c>
      <c r="B21">
        <v>1</v>
      </c>
      <c r="C21">
        <v>1</v>
      </c>
      <c r="D21" s="1" t="s">
        <v>101</v>
      </c>
    </row>
    <row r="22" spans="1:4" x14ac:dyDescent="0.25">
      <c r="A22" s="1" t="s">
        <v>6</v>
      </c>
      <c r="B22">
        <v>29</v>
      </c>
      <c r="C22">
        <v>1</v>
      </c>
      <c r="D22" s="1" t="s">
        <v>103</v>
      </c>
    </row>
    <row r="23" spans="1:4" x14ac:dyDescent="0.25">
      <c r="A23" s="1" t="s">
        <v>6</v>
      </c>
      <c r="B23">
        <v>28</v>
      </c>
      <c r="C23">
        <v>1</v>
      </c>
      <c r="D23" s="1" t="s">
        <v>103</v>
      </c>
    </row>
    <row r="24" spans="1:4" x14ac:dyDescent="0.25">
      <c r="A24" s="1" t="s">
        <v>6</v>
      </c>
      <c r="B24">
        <v>25</v>
      </c>
      <c r="C24">
        <v>2</v>
      </c>
      <c r="D24" s="1" t="s">
        <v>103</v>
      </c>
    </row>
    <row r="25" spans="1:4" x14ac:dyDescent="0.25">
      <c r="A25" s="1" t="s">
        <v>6</v>
      </c>
      <c r="B25">
        <v>24</v>
      </c>
      <c r="C25">
        <v>5</v>
      </c>
      <c r="D25" s="1" t="s">
        <v>103</v>
      </c>
    </row>
    <row r="26" spans="1:4" x14ac:dyDescent="0.25">
      <c r="A26" s="1" t="s">
        <v>6</v>
      </c>
      <c r="B26">
        <v>21</v>
      </c>
      <c r="C26">
        <v>1</v>
      </c>
      <c r="D26" s="1" t="s">
        <v>103</v>
      </c>
    </row>
    <row r="27" spans="1:4" x14ac:dyDescent="0.25">
      <c r="A27" s="1" t="s">
        <v>6</v>
      </c>
      <c r="B27">
        <v>17</v>
      </c>
      <c r="C27">
        <v>2</v>
      </c>
      <c r="D27" s="1" t="s">
        <v>102</v>
      </c>
    </row>
    <row r="28" spans="1:4" x14ac:dyDescent="0.25">
      <c r="A28" s="1" t="s">
        <v>6</v>
      </c>
      <c r="B28">
        <v>16</v>
      </c>
      <c r="C28">
        <v>2</v>
      </c>
      <c r="D28" s="1" t="s">
        <v>102</v>
      </c>
    </row>
    <row r="29" spans="1:4" x14ac:dyDescent="0.25">
      <c r="A29" s="1" t="s">
        <v>6</v>
      </c>
      <c r="B29">
        <v>15</v>
      </c>
      <c r="C29">
        <v>2</v>
      </c>
      <c r="D29" s="1" t="s">
        <v>102</v>
      </c>
    </row>
    <row r="30" spans="1:4" x14ac:dyDescent="0.25">
      <c r="A30" s="1" t="s">
        <v>6</v>
      </c>
      <c r="B30">
        <v>14</v>
      </c>
      <c r="C30">
        <v>2</v>
      </c>
      <c r="D30" s="1" t="s">
        <v>102</v>
      </c>
    </row>
    <row r="31" spans="1:4" x14ac:dyDescent="0.25">
      <c r="A31" s="1" t="s">
        <v>6</v>
      </c>
      <c r="B31">
        <v>12</v>
      </c>
      <c r="C31">
        <v>1</v>
      </c>
      <c r="D31" s="1" t="s">
        <v>102</v>
      </c>
    </row>
    <row r="32" spans="1:4" x14ac:dyDescent="0.25">
      <c r="A32" s="1" t="s">
        <v>6</v>
      </c>
      <c r="B32">
        <v>10</v>
      </c>
      <c r="C32">
        <v>3</v>
      </c>
      <c r="D32" s="1" t="s">
        <v>102</v>
      </c>
    </row>
    <row r="33" spans="1:4" x14ac:dyDescent="0.25">
      <c r="A33" s="1" t="s">
        <v>6</v>
      </c>
      <c r="B33">
        <v>9</v>
      </c>
      <c r="C33">
        <v>4</v>
      </c>
      <c r="D33" s="1" t="s">
        <v>102</v>
      </c>
    </row>
    <row r="34" spans="1:4" x14ac:dyDescent="0.25">
      <c r="A34" s="1" t="s">
        <v>6</v>
      </c>
      <c r="B34">
        <v>8</v>
      </c>
      <c r="C34">
        <v>4</v>
      </c>
      <c r="D34" s="1" t="s">
        <v>101</v>
      </c>
    </row>
    <row r="35" spans="1:4" x14ac:dyDescent="0.25">
      <c r="A35" s="1" t="s">
        <v>6</v>
      </c>
      <c r="B35">
        <v>7</v>
      </c>
      <c r="C35">
        <v>6</v>
      </c>
      <c r="D35" s="1" t="s">
        <v>101</v>
      </c>
    </row>
    <row r="36" spans="1:4" x14ac:dyDescent="0.25">
      <c r="A36" s="1" t="s">
        <v>6</v>
      </c>
      <c r="B36">
        <v>6</v>
      </c>
      <c r="C36">
        <v>3</v>
      </c>
      <c r="D36" s="1" t="s">
        <v>101</v>
      </c>
    </row>
    <row r="37" spans="1:4" x14ac:dyDescent="0.25">
      <c r="A37" s="1" t="s">
        <v>6</v>
      </c>
      <c r="B37">
        <v>5</v>
      </c>
      <c r="C37">
        <v>2</v>
      </c>
      <c r="D37" s="1" t="s">
        <v>101</v>
      </c>
    </row>
    <row r="38" spans="1:4" x14ac:dyDescent="0.25">
      <c r="A38" s="1" t="s">
        <v>6</v>
      </c>
      <c r="B38">
        <v>4</v>
      </c>
      <c r="C38">
        <v>3</v>
      </c>
      <c r="D38" s="1" t="s">
        <v>101</v>
      </c>
    </row>
    <row r="39" spans="1:4" x14ac:dyDescent="0.25">
      <c r="A39" s="1" t="s">
        <v>6</v>
      </c>
      <c r="B39">
        <v>3</v>
      </c>
      <c r="C39">
        <v>3</v>
      </c>
      <c r="D39" s="1" t="s">
        <v>101</v>
      </c>
    </row>
    <row r="40" spans="1:4" x14ac:dyDescent="0.25">
      <c r="A40" s="1" t="s">
        <v>6</v>
      </c>
      <c r="B40">
        <v>2</v>
      </c>
      <c r="C40">
        <v>11</v>
      </c>
      <c r="D40" s="1" t="s">
        <v>101</v>
      </c>
    </row>
    <row r="41" spans="1:4" x14ac:dyDescent="0.25">
      <c r="A41" s="1" t="s">
        <v>6</v>
      </c>
      <c r="B41">
        <v>1</v>
      </c>
      <c r="C41">
        <v>4</v>
      </c>
      <c r="D41" s="1" t="s">
        <v>101</v>
      </c>
    </row>
    <row r="42" spans="1:4" x14ac:dyDescent="0.25">
      <c r="A42" s="1" t="s">
        <v>9</v>
      </c>
      <c r="B42">
        <v>29</v>
      </c>
      <c r="C42">
        <v>1</v>
      </c>
      <c r="D42" s="1" t="s">
        <v>103</v>
      </c>
    </row>
    <row r="43" spans="1:4" x14ac:dyDescent="0.25">
      <c r="A43" s="1" t="s">
        <v>9</v>
      </c>
      <c r="B43">
        <v>15</v>
      </c>
      <c r="C43">
        <v>1</v>
      </c>
      <c r="D43" s="1" t="s">
        <v>102</v>
      </c>
    </row>
    <row r="44" spans="1:4" x14ac:dyDescent="0.25">
      <c r="A44" s="1" t="s">
        <v>9</v>
      </c>
      <c r="B44">
        <v>2</v>
      </c>
      <c r="C44">
        <v>3</v>
      </c>
      <c r="D44" s="1" t="s">
        <v>101</v>
      </c>
    </row>
    <row r="45" spans="1:4" x14ac:dyDescent="0.25">
      <c r="A45" s="1" t="s">
        <v>7</v>
      </c>
      <c r="B45">
        <v>23</v>
      </c>
      <c r="C45">
        <v>1</v>
      </c>
      <c r="D45" s="1" t="s">
        <v>103</v>
      </c>
    </row>
    <row r="46" spans="1:4" x14ac:dyDescent="0.25">
      <c r="A46" s="1" t="s">
        <v>7</v>
      </c>
      <c r="B46">
        <v>22</v>
      </c>
      <c r="C46">
        <v>1</v>
      </c>
      <c r="D46" s="1" t="s">
        <v>103</v>
      </c>
    </row>
    <row r="47" spans="1:4" x14ac:dyDescent="0.25">
      <c r="A47" s="1" t="s">
        <v>7</v>
      </c>
      <c r="B47">
        <v>10</v>
      </c>
      <c r="C47">
        <v>2</v>
      </c>
      <c r="D47" s="1" t="s">
        <v>102</v>
      </c>
    </row>
    <row r="48" spans="1:4" x14ac:dyDescent="0.25">
      <c r="A48" s="1" t="s">
        <v>7</v>
      </c>
      <c r="B48">
        <v>8</v>
      </c>
      <c r="C48">
        <v>1</v>
      </c>
      <c r="D48" s="1" t="s">
        <v>101</v>
      </c>
    </row>
    <row r="49" spans="1:4" x14ac:dyDescent="0.25">
      <c r="A49" s="1" t="s">
        <v>7</v>
      </c>
      <c r="B49">
        <v>7</v>
      </c>
      <c r="C49">
        <v>1</v>
      </c>
      <c r="D49" s="1" t="s">
        <v>101</v>
      </c>
    </row>
    <row r="50" spans="1:4" x14ac:dyDescent="0.25">
      <c r="A50" s="1" t="s">
        <v>7</v>
      </c>
      <c r="B50">
        <v>3</v>
      </c>
      <c r="C50">
        <v>1</v>
      </c>
      <c r="D50" s="1" t="s">
        <v>101</v>
      </c>
    </row>
    <row r="51" spans="1:4" x14ac:dyDescent="0.25">
      <c r="A51" s="1" t="s">
        <v>7</v>
      </c>
      <c r="B51">
        <v>2</v>
      </c>
      <c r="C51">
        <v>2</v>
      </c>
      <c r="D51" s="1" t="s">
        <v>101</v>
      </c>
    </row>
    <row r="52" spans="1:4" x14ac:dyDescent="0.25">
      <c r="A52" s="1" t="s">
        <v>7</v>
      </c>
      <c r="B52">
        <v>1</v>
      </c>
      <c r="C52">
        <v>1</v>
      </c>
      <c r="D52" s="1" t="s">
        <v>101</v>
      </c>
    </row>
    <row r="53" spans="1:4" x14ac:dyDescent="0.25">
      <c r="A53" s="1" t="s">
        <v>11</v>
      </c>
      <c r="B53">
        <v>12</v>
      </c>
      <c r="C53">
        <v>1</v>
      </c>
      <c r="D53" s="1" t="s">
        <v>102</v>
      </c>
    </row>
    <row r="54" spans="1:4" x14ac:dyDescent="0.25">
      <c r="A54" s="1" t="s">
        <v>11</v>
      </c>
      <c r="B54">
        <v>2</v>
      </c>
      <c r="C54">
        <v>1</v>
      </c>
      <c r="D54" s="1" t="s">
        <v>101</v>
      </c>
    </row>
    <row r="55" spans="1:4" x14ac:dyDescent="0.25">
      <c r="A55" s="1" t="s">
        <v>5</v>
      </c>
      <c r="B55">
        <v>29</v>
      </c>
      <c r="C55">
        <v>1</v>
      </c>
      <c r="D55" s="1" t="s">
        <v>103</v>
      </c>
    </row>
    <row r="56" spans="1:4" x14ac:dyDescent="0.25">
      <c r="A56" s="1" t="s">
        <v>5</v>
      </c>
      <c r="B56">
        <v>25</v>
      </c>
      <c r="C56">
        <v>3</v>
      </c>
      <c r="D56" s="1" t="s">
        <v>103</v>
      </c>
    </row>
    <row r="57" spans="1:4" x14ac:dyDescent="0.25">
      <c r="A57" s="1" t="s">
        <v>5</v>
      </c>
      <c r="B57">
        <v>24</v>
      </c>
      <c r="C57">
        <v>1</v>
      </c>
      <c r="D57" s="1" t="s">
        <v>103</v>
      </c>
    </row>
    <row r="58" spans="1:4" x14ac:dyDescent="0.25">
      <c r="A58" s="1" t="s">
        <v>5</v>
      </c>
      <c r="B58">
        <v>23</v>
      </c>
      <c r="C58">
        <v>1</v>
      </c>
      <c r="D58" s="1" t="s">
        <v>103</v>
      </c>
    </row>
    <row r="59" spans="1:4" x14ac:dyDescent="0.25">
      <c r="A59" s="1" t="s">
        <v>5</v>
      </c>
      <c r="B59">
        <v>22</v>
      </c>
      <c r="C59">
        <v>1</v>
      </c>
      <c r="D59" s="1" t="s">
        <v>103</v>
      </c>
    </row>
    <row r="60" spans="1:4" x14ac:dyDescent="0.25">
      <c r="A60" s="1" t="s">
        <v>5</v>
      </c>
      <c r="B60">
        <v>19</v>
      </c>
      <c r="C60">
        <v>1</v>
      </c>
      <c r="D60" s="1" t="s">
        <v>103</v>
      </c>
    </row>
    <row r="61" spans="1:4" x14ac:dyDescent="0.25">
      <c r="A61" s="1" t="s">
        <v>5</v>
      </c>
      <c r="B61">
        <v>18</v>
      </c>
      <c r="C61">
        <v>2</v>
      </c>
      <c r="D61" s="1" t="s">
        <v>102</v>
      </c>
    </row>
    <row r="62" spans="1:4" x14ac:dyDescent="0.25">
      <c r="A62" s="1" t="s">
        <v>5</v>
      </c>
      <c r="B62">
        <v>17</v>
      </c>
      <c r="C62">
        <v>2</v>
      </c>
      <c r="D62" s="1" t="s">
        <v>102</v>
      </c>
    </row>
    <row r="63" spans="1:4" x14ac:dyDescent="0.25">
      <c r="A63" s="1" t="s">
        <v>5</v>
      </c>
      <c r="B63">
        <v>16</v>
      </c>
      <c r="C63">
        <v>2</v>
      </c>
      <c r="D63" s="1" t="s">
        <v>102</v>
      </c>
    </row>
    <row r="64" spans="1:4" x14ac:dyDescent="0.25">
      <c r="A64" s="1" t="s">
        <v>5</v>
      </c>
      <c r="B64">
        <v>14</v>
      </c>
      <c r="C64">
        <v>1</v>
      </c>
      <c r="D64" s="1" t="s">
        <v>102</v>
      </c>
    </row>
    <row r="65" spans="1:4" x14ac:dyDescent="0.25">
      <c r="A65" s="1" t="s">
        <v>5</v>
      </c>
      <c r="B65">
        <v>11</v>
      </c>
      <c r="C65">
        <v>1</v>
      </c>
      <c r="D65" s="1" t="s">
        <v>102</v>
      </c>
    </row>
    <row r="66" spans="1:4" x14ac:dyDescent="0.25">
      <c r="A66" s="1" t="s">
        <v>5</v>
      </c>
      <c r="B66">
        <v>10</v>
      </c>
      <c r="C66">
        <v>4</v>
      </c>
      <c r="D66" s="1" t="s">
        <v>102</v>
      </c>
    </row>
    <row r="67" spans="1:4" x14ac:dyDescent="0.25">
      <c r="A67" s="1" t="s">
        <v>5</v>
      </c>
      <c r="B67">
        <v>9</v>
      </c>
      <c r="C67">
        <v>2</v>
      </c>
      <c r="D67" s="1" t="s">
        <v>102</v>
      </c>
    </row>
    <row r="68" spans="1:4" x14ac:dyDescent="0.25">
      <c r="A68" s="1" t="s">
        <v>5</v>
      </c>
      <c r="B68">
        <v>8</v>
      </c>
      <c r="C68">
        <v>2</v>
      </c>
      <c r="D68" s="1" t="s">
        <v>101</v>
      </c>
    </row>
    <row r="69" spans="1:4" x14ac:dyDescent="0.25">
      <c r="A69" s="1" t="s">
        <v>5</v>
      </c>
      <c r="B69">
        <v>7</v>
      </c>
      <c r="C69">
        <v>1</v>
      </c>
      <c r="D69" s="1" t="s">
        <v>101</v>
      </c>
    </row>
    <row r="70" spans="1:4" x14ac:dyDescent="0.25">
      <c r="A70" s="1" t="s">
        <v>5</v>
      </c>
      <c r="B70">
        <v>6</v>
      </c>
      <c r="C70">
        <v>1</v>
      </c>
      <c r="D70" s="1" t="s">
        <v>101</v>
      </c>
    </row>
    <row r="71" spans="1:4" x14ac:dyDescent="0.25">
      <c r="A71" s="1" t="s">
        <v>5</v>
      </c>
      <c r="B71">
        <v>5</v>
      </c>
      <c r="C71">
        <v>3</v>
      </c>
      <c r="D71" s="1" t="s">
        <v>101</v>
      </c>
    </row>
    <row r="72" spans="1:4" x14ac:dyDescent="0.25">
      <c r="A72" s="1" t="s">
        <v>5</v>
      </c>
      <c r="B72">
        <v>4</v>
      </c>
      <c r="C72">
        <v>2</v>
      </c>
      <c r="D72" s="1" t="s">
        <v>101</v>
      </c>
    </row>
    <row r="73" spans="1:4" x14ac:dyDescent="0.25">
      <c r="A73" s="1" t="s">
        <v>5</v>
      </c>
      <c r="B73">
        <v>3</v>
      </c>
      <c r="C73">
        <v>5</v>
      </c>
      <c r="D73" s="1" t="s">
        <v>101</v>
      </c>
    </row>
    <row r="74" spans="1:4" x14ac:dyDescent="0.25">
      <c r="A74" s="1" t="s">
        <v>5</v>
      </c>
      <c r="B74">
        <v>2</v>
      </c>
      <c r="C74">
        <v>4</v>
      </c>
      <c r="D74" s="1" t="s">
        <v>101</v>
      </c>
    </row>
    <row r="75" spans="1:4" x14ac:dyDescent="0.25">
      <c r="A75" s="1" t="s">
        <v>5</v>
      </c>
      <c r="B75">
        <v>1</v>
      </c>
      <c r="C75">
        <v>7</v>
      </c>
      <c r="D75" s="1" t="s">
        <v>101</v>
      </c>
    </row>
    <row r="76" spans="1:4" x14ac:dyDescent="0.25">
      <c r="A76" s="1" t="s">
        <v>4</v>
      </c>
      <c r="B76">
        <v>29</v>
      </c>
      <c r="C76">
        <v>1</v>
      </c>
      <c r="D76" s="1" t="s">
        <v>103</v>
      </c>
    </row>
    <row r="77" spans="1:4" x14ac:dyDescent="0.25">
      <c r="A77" s="1" t="s">
        <v>4</v>
      </c>
      <c r="B77">
        <v>28</v>
      </c>
      <c r="C77">
        <v>1</v>
      </c>
      <c r="D77" s="1" t="s">
        <v>103</v>
      </c>
    </row>
    <row r="78" spans="1:4" x14ac:dyDescent="0.25">
      <c r="A78" s="1" t="s">
        <v>4</v>
      </c>
      <c r="B78">
        <v>27</v>
      </c>
      <c r="C78">
        <v>3</v>
      </c>
      <c r="D78" s="1" t="s">
        <v>103</v>
      </c>
    </row>
    <row r="79" spans="1:4" x14ac:dyDescent="0.25">
      <c r="A79" s="1" t="s">
        <v>4</v>
      </c>
      <c r="B79">
        <v>26</v>
      </c>
      <c r="C79">
        <v>3</v>
      </c>
      <c r="D79" s="1" t="s">
        <v>103</v>
      </c>
    </row>
    <row r="80" spans="1:4" x14ac:dyDescent="0.25">
      <c r="A80" s="1" t="s">
        <v>4</v>
      </c>
      <c r="B80">
        <v>25</v>
      </c>
      <c r="C80">
        <v>1</v>
      </c>
      <c r="D80" s="1" t="s">
        <v>103</v>
      </c>
    </row>
    <row r="81" spans="1:4" x14ac:dyDescent="0.25">
      <c r="A81" s="1" t="s">
        <v>4</v>
      </c>
      <c r="B81">
        <v>24</v>
      </c>
      <c r="C81">
        <v>3</v>
      </c>
      <c r="D81" s="1" t="s">
        <v>103</v>
      </c>
    </row>
    <row r="82" spans="1:4" x14ac:dyDescent="0.25">
      <c r="A82" s="1" t="s">
        <v>4</v>
      </c>
      <c r="B82">
        <v>23</v>
      </c>
      <c r="C82">
        <v>1</v>
      </c>
      <c r="D82" s="1" t="s">
        <v>103</v>
      </c>
    </row>
    <row r="83" spans="1:4" x14ac:dyDescent="0.25">
      <c r="A83" s="1" t="s">
        <v>4</v>
      </c>
      <c r="B83">
        <v>22</v>
      </c>
      <c r="C83">
        <v>1</v>
      </c>
      <c r="D83" s="1" t="s">
        <v>103</v>
      </c>
    </row>
    <row r="84" spans="1:4" x14ac:dyDescent="0.25">
      <c r="A84" s="1" t="s">
        <v>4</v>
      </c>
      <c r="B84">
        <v>20</v>
      </c>
      <c r="C84">
        <v>1</v>
      </c>
      <c r="D84" s="1" t="s">
        <v>103</v>
      </c>
    </row>
    <row r="85" spans="1:4" x14ac:dyDescent="0.25">
      <c r="A85" s="1" t="s">
        <v>4</v>
      </c>
      <c r="B85">
        <v>19</v>
      </c>
      <c r="C85">
        <v>1</v>
      </c>
      <c r="D85" s="1" t="s">
        <v>103</v>
      </c>
    </row>
    <row r="86" spans="1:4" x14ac:dyDescent="0.25">
      <c r="A86" s="1" t="s">
        <v>4</v>
      </c>
      <c r="B86">
        <v>18</v>
      </c>
      <c r="C86">
        <v>1</v>
      </c>
      <c r="D86" s="1" t="s">
        <v>102</v>
      </c>
    </row>
    <row r="87" spans="1:4" x14ac:dyDescent="0.25">
      <c r="A87" s="1" t="s">
        <v>4</v>
      </c>
      <c r="B87">
        <v>16</v>
      </c>
      <c r="C87">
        <v>3</v>
      </c>
      <c r="D87" s="1" t="s">
        <v>102</v>
      </c>
    </row>
    <row r="88" spans="1:4" x14ac:dyDescent="0.25">
      <c r="A88" s="1" t="s">
        <v>4</v>
      </c>
      <c r="B88">
        <v>15</v>
      </c>
      <c r="C88">
        <v>1</v>
      </c>
      <c r="D88" s="1" t="s">
        <v>102</v>
      </c>
    </row>
    <row r="89" spans="1:4" x14ac:dyDescent="0.25">
      <c r="A89" s="1" t="s">
        <v>4</v>
      </c>
      <c r="B89">
        <v>13</v>
      </c>
      <c r="C89">
        <v>5</v>
      </c>
      <c r="D89" s="1" t="s">
        <v>102</v>
      </c>
    </row>
    <row r="90" spans="1:4" x14ac:dyDescent="0.25">
      <c r="A90" s="1" t="s">
        <v>4</v>
      </c>
      <c r="B90">
        <v>12</v>
      </c>
      <c r="C90">
        <v>2</v>
      </c>
      <c r="D90" s="1" t="s">
        <v>102</v>
      </c>
    </row>
    <row r="91" spans="1:4" x14ac:dyDescent="0.25">
      <c r="A91" s="1" t="s">
        <v>4</v>
      </c>
      <c r="B91">
        <v>11</v>
      </c>
      <c r="C91">
        <v>2</v>
      </c>
      <c r="D91" s="1" t="s">
        <v>102</v>
      </c>
    </row>
    <row r="92" spans="1:4" x14ac:dyDescent="0.25">
      <c r="A92" s="1" t="s">
        <v>4</v>
      </c>
      <c r="B92">
        <v>10</v>
      </c>
      <c r="C92">
        <v>2</v>
      </c>
      <c r="D92" s="1" t="s">
        <v>102</v>
      </c>
    </row>
    <row r="93" spans="1:4" x14ac:dyDescent="0.25">
      <c r="A93" s="1" t="s">
        <v>4</v>
      </c>
      <c r="B93">
        <v>9</v>
      </c>
      <c r="C93">
        <v>5</v>
      </c>
      <c r="D93" s="1" t="s">
        <v>102</v>
      </c>
    </row>
    <row r="94" spans="1:4" x14ac:dyDescent="0.25">
      <c r="A94" s="1" t="s">
        <v>4</v>
      </c>
      <c r="B94">
        <v>8</v>
      </c>
      <c r="C94">
        <v>2</v>
      </c>
      <c r="D94" s="1" t="s">
        <v>101</v>
      </c>
    </row>
    <row r="95" spans="1:4" x14ac:dyDescent="0.25">
      <c r="A95" s="1" t="s">
        <v>4</v>
      </c>
      <c r="B95">
        <v>6</v>
      </c>
      <c r="C95">
        <v>1</v>
      </c>
      <c r="D95" s="1" t="s">
        <v>101</v>
      </c>
    </row>
    <row r="96" spans="1:4" x14ac:dyDescent="0.25">
      <c r="A96" s="1" t="s">
        <v>4</v>
      </c>
      <c r="B96">
        <v>5</v>
      </c>
      <c r="C96">
        <v>2</v>
      </c>
      <c r="D96" s="1" t="s">
        <v>101</v>
      </c>
    </row>
    <row r="97" spans="1:4" x14ac:dyDescent="0.25">
      <c r="A97" s="1" t="s">
        <v>4</v>
      </c>
      <c r="B97">
        <v>4</v>
      </c>
      <c r="C97">
        <v>4</v>
      </c>
      <c r="D97" s="1" t="s">
        <v>101</v>
      </c>
    </row>
    <row r="98" spans="1:4" x14ac:dyDescent="0.25">
      <c r="A98" s="1" t="s">
        <v>4</v>
      </c>
      <c r="B98">
        <v>3</v>
      </c>
      <c r="C98">
        <v>3</v>
      </c>
      <c r="D98" s="1" t="s">
        <v>101</v>
      </c>
    </row>
    <row r="99" spans="1:4" x14ac:dyDescent="0.25">
      <c r="A99" s="1" t="s">
        <v>4</v>
      </c>
      <c r="B99">
        <v>2</v>
      </c>
      <c r="C99">
        <v>2</v>
      </c>
      <c r="D99" s="1" t="s">
        <v>101</v>
      </c>
    </row>
    <row r="100" spans="1:4" x14ac:dyDescent="0.25">
      <c r="A100" s="1" t="s">
        <v>4</v>
      </c>
      <c r="B100">
        <v>1</v>
      </c>
      <c r="C100">
        <v>6</v>
      </c>
      <c r="D100" s="1" t="s">
        <v>101</v>
      </c>
    </row>
    <row r="101" spans="1:4" x14ac:dyDescent="0.25">
      <c r="A101" s="1" t="s">
        <v>10</v>
      </c>
      <c r="B101">
        <v>24</v>
      </c>
      <c r="C101">
        <v>2</v>
      </c>
      <c r="D101" s="1" t="s">
        <v>103</v>
      </c>
    </row>
    <row r="102" spans="1:4" x14ac:dyDescent="0.25">
      <c r="A102" s="1" t="s">
        <v>10</v>
      </c>
      <c r="B102">
        <v>22</v>
      </c>
      <c r="C102">
        <v>1</v>
      </c>
      <c r="D102" s="1" t="s">
        <v>103</v>
      </c>
    </row>
    <row r="103" spans="1:4" x14ac:dyDescent="0.25">
      <c r="A103" s="1" t="s">
        <v>10</v>
      </c>
      <c r="B103">
        <v>21</v>
      </c>
      <c r="C103">
        <v>1</v>
      </c>
      <c r="D103" s="1" t="s">
        <v>103</v>
      </c>
    </row>
    <row r="104" spans="1:4" x14ac:dyDescent="0.25">
      <c r="A104" s="1" t="s">
        <v>10</v>
      </c>
      <c r="B104">
        <v>20</v>
      </c>
      <c r="C104">
        <v>1</v>
      </c>
      <c r="D104" s="1" t="s">
        <v>103</v>
      </c>
    </row>
    <row r="105" spans="1:4" x14ac:dyDescent="0.25">
      <c r="A105" s="1" t="s">
        <v>10</v>
      </c>
      <c r="B105">
        <v>19</v>
      </c>
      <c r="C105">
        <v>1</v>
      </c>
      <c r="D105" s="1" t="s">
        <v>103</v>
      </c>
    </row>
    <row r="106" spans="1:4" x14ac:dyDescent="0.25">
      <c r="A106" s="1" t="s">
        <v>10</v>
      </c>
      <c r="B106">
        <v>12</v>
      </c>
      <c r="C106">
        <v>2</v>
      </c>
      <c r="D106" s="1" t="s">
        <v>102</v>
      </c>
    </row>
    <row r="107" spans="1:4" x14ac:dyDescent="0.25">
      <c r="A107" s="1" t="s">
        <v>10</v>
      </c>
      <c r="B107">
        <v>9</v>
      </c>
      <c r="C107">
        <v>6</v>
      </c>
      <c r="D107" s="1" t="s">
        <v>102</v>
      </c>
    </row>
    <row r="108" spans="1:4" x14ac:dyDescent="0.25">
      <c r="A108" s="1" t="s">
        <v>10</v>
      </c>
      <c r="B108">
        <v>7</v>
      </c>
      <c r="C108">
        <v>3</v>
      </c>
      <c r="D108" s="1" t="s">
        <v>101</v>
      </c>
    </row>
    <row r="109" spans="1:4" x14ac:dyDescent="0.25">
      <c r="A109" s="1" t="s">
        <v>10</v>
      </c>
      <c r="B109">
        <v>6</v>
      </c>
      <c r="C109">
        <v>1</v>
      </c>
      <c r="D109" s="1" t="s">
        <v>101</v>
      </c>
    </row>
    <row r="110" spans="1:4" x14ac:dyDescent="0.25">
      <c r="A110" s="1" t="s">
        <v>10</v>
      </c>
      <c r="B110">
        <v>5</v>
      </c>
      <c r="C110">
        <v>3</v>
      </c>
      <c r="D110" s="1" t="s">
        <v>101</v>
      </c>
    </row>
    <row r="111" spans="1:4" x14ac:dyDescent="0.25">
      <c r="A111" s="1" t="s">
        <v>10</v>
      </c>
      <c r="B111">
        <v>3</v>
      </c>
      <c r="C111">
        <v>2</v>
      </c>
      <c r="D111" s="1" t="s">
        <v>101</v>
      </c>
    </row>
    <row r="112" spans="1:4" x14ac:dyDescent="0.25">
      <c r="A112" s="1" t="s">
        <v>10</v>
      </c>
      <c r="B112">
        <v>2</v>
      </c>
      <c r="C112">
        <v>3</v>
      </c>
      <c r="D112" s="1" t="s">
        <v>101</v>
      </c>
    </row>
    <row r="113" spans="1:4" x14ac:dyDescent="0.25">
      <c r="A113" s="1" t="s">
        <v>10</v>
      </c>
      <c r="B113">
        <v>1</v>
      </c>
      <c r="C113">
        <v>7</v>
      </c>
      <c r="D113" s="1" t="s">
        <v>101</v>
      </c>
    </row>
  </sheetData>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6C394-EE95-4BF9-8664-E220415740DF}">
  <dimension ref="A1"/>
  <sheetViews>
    <sheetView workbookViewId="0"/>
  </sheetViews>
  <sheetFormatPr defaultRowHeight="15" x14ac:dyDescent="0.2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1CBC-43D8-43A9-BD43-5F6DF56D5C2C}">
  <dimension ref="A1:AU185"/>
  <sheetViews>
    <sheetView workbookViewId="0"/>
  </sheetViews>
  <sheetFormatPr defaultRowHeight="15" x14ac:dyDescent="0.25"/>
  <cols>
    <col min="1" max="1" width="13.140625" bestFit="1" customWidth="1"/>
    <col min="2" max="2" width="23.28515625" bestFit="1" customWidth="1"/>
    <col min="3" max="3" width="11.7109375" bestFit="1" customWidth="1"/>
    <col min="4" max="4" width="11.28515625" bestFit="1" customWidth="1"/>
    <col min="5" max="5" width="11.7109375" bestFit="1" customWidth="1"/>
    <col min="6" max="6" width="34" bestFit="1" customWidth="1"/>
    <col min="7" max="7" width="11.7109375" bestFit="1" customWidth="1"/>
    <col min="8" max="8" width="13.140625" bestFit="1" customWidth="1"/>
    <col min="9" max="9" width="20" bestFit="1" customWidth="1"/>
    <col min="10" max="10" width="13.140625" bestFit="1" customWidth="1"/>
    <col min="11" max="11" width="11.7109375" bestFit="1" customWidth="1"/>
    <col min="12" max="13" width="11.28515625" bestFit="1" customWidth="1"/>
    <col min="14" max="14" width="13.140625" bestFit="1" customWidth="1"/>
    <col min="15" max="15" width="11.7109375" bestFit="1" customWidth="1"/>
    <col min="20" max="20" width="23" bestFit="1" customWidth="1"/>
    <col min="21" max="21" width="16.28515625" bestFit="1" customWidth="1"/>
    <col min="22" max="22" width="5.5703125" bestFit="1" customWidth="1"/>
    <col min="23" max="23" width="11.28515625" bestFit="1" customWidth="1"/>
    <col min="24" max="24" width="10" bestFit="1" customWidth="1"/>
    <col min="25" max="25" width="7" bestFit="1" customWidth="1"/>
    <col min="26" max="26" width="11.28515625" bestFit="1" customWidth="1"/>
    <col min="29" max="29" width="13.140625" bestFit="1" customWidth="1"/>
    <col min="30" max="30" width="34" bestFit="1" customWidth="1"/>
    <col min="39" max="39" width="13.140625" bestFit="1" customWidth="1"/>
    <col min="40" max="40" width="34.85546875" bestFit="1" customWidth="1"/>
    <col min="45" max="46" width="25" bestFit="1" customWidth="1"/>
    <col min="47" max="47" width="22.140625" bestFit="1" customWidth="1"/>
    <col min="48" max="48" width="8.28515625" bestFit="1" customWidth="1"/>
    <col min="49" max="49" width="11.28515625" bestFit="1" customWidth="1"/>
  </cols>
  <sheetData>
    <row r="1" spans="1:47" x14ac:dyDescent="0.25">
      <c r="T1" s="3" t="s">
        <v>93</v>
      </c>
      <c r="U1" s="3" t="s">
        <v>21</v>
      </c>
      <c r="AM1" s="3" t="s">
        <v>13</v>
      </c>
      <c r="AN1" t="s">
        <v>144</v>
      </c>
    </row>
    <row r="2" spans="1:47" x14ac:dyDescent="0.25">
      <c r="J2" s="3" t="s">
        <v>13</v>
      </c>
      <c r="K2" t="s">
        <v>26</v>
      </c>
      <c r="N2" s="3" t="s">
        <v>13</v>
      </c>
      <c r="O2" t="s">
        <v>26</v>
      </c>
      <c r="T2" s="3" t="s">
        <v>13</v>
      </c>
      <c r="U2" t="s">
        <v>24</v>
      </c>
      <c r="V2" t="s">
        <v>25</v>
      </c>
      <c r="W2" t="s">
        <v>14</v>
      </c>
      <c r="AM2" s="4">
        <v>1</v>
      </c>
      <c r="AN2" s="1">
        <v>0.1</v>
      </c>
      <c r="AO2" cm="1">
        <f t="array" ref="AO2:AP31">AM2:AN31</f>
        <v>1</v>
      </c>
      <c r="AP2">
        <v>0.1</v>
      </c>
      <c r="AT2" s="3" t="s">
        <v>13</v>
      </c>
      <c r="AU2" t="s">
        <v>147</v>
      </c>
    </row>
    <row r="3" spans="1:47" x14ac:dyDescent="0.25">
      <c r="A3" t="s">
        <v>1</v>
      </c>
      <c r="J3" s="4" t="s">
        <v>36</v>
      </c>
      <c r="K3" s="1">
        <v>102</v>
      </c>
      <c r="N3" s="4" t="s">
        <v>80</v>
      </c>
      <c r="O3" s="1">
        <v>159</v>
      </c>
      <c r="T3" s="4" t="s">
        <v>89</v>
      </c>
      <c r="U3" s="1">
        <v>79</v>
      </c>
      <c r="V3" s="1">
        <v>131</v>
      </c>
      <c r="W3" s="1">
        <v>210</v>
      </c>
      <c r="AM3" s="4">
        <v>2</v>
      </c>
      <c r="AN3" s="1">
        <v>6.9000000000000006E-2</v>
      </c>
      <c r="AO3">
        <v>2</v>
      </c>
      <c r="AP3">
        <v>6.9000000000000006E-2</v>
      </c>
      <c r="AT3" s="4" t="s">
        <v>6</v>
      </c>
      <c r="AU3" s="1">
        <v>62</v>
      </c>
    </row>
    <row r="4" spans="1:47" x14ac:dyDescent="0.25">
      <c r="A4" s="1">
        <v>1470</v>
      </c>
      <c r="J4" s="4" t="s">
        <v>38</v>
      </c>
      <c r="K4" s="1">
        <v>60</v>
      </c>
      <c r="N4" s="4" t="s">
        <v>81</v>
      </c>
      <c r="O4" s="1">
        <v>43</v>
      </c>
      <c r="T4" s="4" t="s">
        <v>90</v>
      </c>
      <c r="U4" s="1">
        <v>249</v>
      </c>
      <c r="V4" s="1">
        <v>389</v>
      </c>
      <c r="W4" s="1">
        <v>638</v>
      </c>
      <c r="AE4" s="6"/>
      <c r="AM4" s="4">
        <v>3</v>
      </c>
      <c r="AN4" s="1">
        <v>-1.0999999999999999E-2</v>
      </c>
      <c r="AO4">
        <v>3</v>
      </c>
      <c r="AP4">
        <v>-1.0999999999999999E-2</v>
      </c>
      <c r="AT4" s="4" t="s">
        <v>4</v>
      </c>
      <c r="AU4" s="1">
        <v>57</v>
      </c>
    </row>
    <row r="5" spans="1:47" x14ac:dyDescent="0.25">
      <c r="J5" s="4" t="s">
        <v>39</v>
      </c>
      <c r="K5" s="1">
        <v>55</v>
      </c>
      <c r="N5" s="4" t="s">
        <v>82</v>
      </c>
      <c r="O5" s="1">
        <v>27</v>
      </c>
      <c r="T5" s="4" t="s">
        <v>88</v>
      </c>
      <c r="U5" s="1">
        <v>168</v>
      </c>
      <c r="V5" s="1">
        <v>238</v>
      </c>
      <c r="W5" s="1">
        <v>406</v>
      </c>
      <c r="AE5" s="6"/>
      <c r="AM5" s="4">
        <v>4</v>
      </c>
      <c r="AN5" s="1">
        <v>3.5999999999999997E-2</v>
      </c>
      <c r="AO5">
        <v>4</v>
      </c>
      <c r="AP5">
        <v>3.5999999999999997E-2</v>
      </c>
      <c r="AT5" s="4" t="s">
        <v>5</v>
      </c>
      <c r="AU5" s="1">
        <v>47</v>
      </c>
    </row>
    <row r="6" spans="1:47" x14ac:dyDescent="0.25">
      <c r="J6" s="4" t="s">
        <v>37</v>
      </c>
      <c r="K6" s="1">
        <v>20</v>
      </c>
      <c r="N6" s="4" t="s">
        <v>83</v>
      </c>
      <c r="O6" s="1">
        <v>8</v>
      </c>
      <c r="T6" s="4" t="s">
        <v>91</v>
      </c>
      <c r="U6" s="1">
        <v>78</v>
      </c>
      <c r="V6" s="1">
        <v>109</v>
      </c>
      <c r="W6" s="1">
        <v>187</v>
      </c>
      <c r="AE6" s="6"/>
      <c r="AM6" s="4">
        <v>5</v>
      </c>
      <c r="AN6" s="1">
        <v>0.01</v>
      </c>
      <c r="AO6">
        <v>5</v>
      </c>
      <c r="AP6">
        <v>0.01</v>
      </c>
      <c r="AT6" s="4" t="s">
        <v>10</v>
      </c>
      <c r="AU6" s="1">
        <v>33</v>
      </c>
    </row>
    <row r="7" spans="1:47" x14ac:dyDescent="0.25">
      <c r="J7" s="4" t="s">
        <v>14</v>
      </c>
      <c r="K7" s="1">
        <v>237</v>
      </c>
      <c r="N7" s="4" t="s">
        <v>14</v>
      </c>
      <c r="O7" s="1">
        <v>237</v>
      </c>
      <c r="T7" s="4" t="s">
        <v>92</v>
      </c>
      <c r="U7" s="1">
        <v>14</v>
      </c>
      <c r="V7" s="1">
        <v>15</v>
      </c>
      <c r="W7" s="1">
        <v>29</v>
      </c>
      <c r="AE7" s="6"/>
      <c r="AM7" s="4">
        <v>6</v>
      </c>
      <c r="AN7" s="1">
        <v>4.5999999999999999E-2</v>
      </c>
      <c r="AO7">
        <v>6</v>
      </c>
      <c r="AP7">
        <v>4.5999999999999999E-2</v>
      </c>
      <c r="AT7" s="4" t="s">
        <v>12</v>
      </c>
      <c r="AU7" s="1">
        <v>12</v>
      </c>
    </row>
    <row r="8" spans="1:47" x14ac:dyDescent="0.25">
      <c r="T8" s="4" t="s">
        <v>14</v>
      </c>
      <c r="U8" s="1">
        <v>588</v>
      </c>
      <c r="V8" s="1">
        <v>882</v>
      </c>
      <c r="W8" s="1">
        <v>1470</v>
      </c>
      <c r="AE8" s="6"/>
      <c r="AM8" s="4">
        <v>7</v>
      </c>
      <c r="AN8" s="1">
        <v>2.1999999999999999E-2</v>
      </c>
      <c r="AO8">
        <v>7</v>
      </c>
      <c r="AP8">
        <v>2.1999999999999999E-2</v>
      </c>
      <c r="AT8" s="4" t="s">
        <v>7</v>
      </c>
      <c r="AU8" s="1">
        <v>10</v>
      </c>
    </row>
    <row r="9" spans="1:47" x14ac:dyDescent="0.25">
      <c r="A9" t="s">
        <v>3</v>
      </c>
      <c r="AE9" s="6"/>
      <c r="AM9" s="4">
        <v>8</v>
      </c>
      <c r="AN9" s="1">
        <v>1.4E-2</v>
      </c>
      <c r="AO9">
        <v>8</v>
      </c>
      <c r="AP9">
        <v>1.4E-2</v>
      </c>
      <c r="AT9" s="4" t="s">
        <v>8</v>
      </c>
      <c r="AU9" s="1">
        <v>9</v>
      </c>
    </row>
    <row r="10" spans="1:47" x14ac:dyDescent="0.25">
      <c r="A10" s="6">
        <v>6502.9313000000002</v>
      </c>
      <c r="AE10" s="6"/>
      <c r="AM10" s="4">
        <v>9</v>
      </c>
      <c r="AN10" s="1">
        <v>-3.0000000000000001E-3</v>
      </c>
      <c r="AO10">
        <v>9</v>
      </c>
      <c r="AP10">
        <v>-3.0000000000000001E-3</v>
      </c>
      <c r="AT10" s="4" t="s">
        <v>9</v>
      </c>
      <c r="AU10" s="1">
        <v>5</v>
      </c>
    </row>
    <row r="11" spans="1:47" x14ac:dyDescent="0.25">
      <c r="AE11" s="6"/>
      <c r="AM11" s="4">
        <v>10</v>
      </c>
      <c r="AN11" s="1">
        <v>-8.9999999999999993E-3</v>
      </c>
      <c r="AO11">
        <v>10</v>
      </c>
      <c r="AP11">
        <v>-8.9999999999999993E-3</v>
      </c>
      <c r="AT11" s="4" t="s">
        <v>11</v>
      </c>
      <c r="AU11" s="1">
        <v>2</v>
      </c>
    </row>
    <row r="12" spans="1:47" x14ac:dyDescent="0.25">
      <c r="AE12" s="6"/>
      <c r="AM12" s="4">
        <v>11</v>
      </c>
      <c r="AN12" s="1">
        <v>-1.4E-2</v>
      </c>
      <c r="AO12">
        <v>11</v>
      </c>
      <c r="AP12">
        <v>-1.4E-2</v>
      </c>
      <c r="AT12" s="4" t="s">
        <v>14</v>
      </c>
      <c r="AU12" s="1">
        <v>237</v>
      </c>
    </row>
    <row r="13" spans="1:47" x14ac:dyDescent="0.25">
      <c r="A13" t="s">
        <v>15</v>
      </c>
      <c r="AE13" s="6"/>
      <c r="AM13" s="4">
        <v>12</v>
      </c>
      <c r="AN13" s="1">
        <v>0.13100000000000001</v>
      </c>
      <c r="AO13">
        <v>12</v>
      </c>
      <c r="AP13">
        <v>0.13100000000000001</v>
      </c>
    </row>
    <row r="14" spans="1:47" x14ac:dyDescent="0.25">
      <c r="A14" s="1">
        <v>9</v>
      </c>
      <c r="AE14" s="6"/>
      <c r="AM14" s="4">
        <v>13</v>
      </c>
      <c r="AN14" s="1">
        <v>0.19700000000000001</v>
      </c>
      <c r="AO14">
        <v>13</v>
      </c>
      <c r="AP14">
        <v>0.19700000000000001</v>
      </c>
    </row>
    <row r="15" spans="1:47" x14ac:dyDescent="0.25">
      <c r="AE15" s="6"/>
      <c r="AM15" s="4">
        <v>14</v>
      </c>
      <c r="AN15" s="1">
        <v>4.7E-2</v>
      </c>
      <c r="AO15">
        <v>14</v>
      </c>
      <c r="AP15">
        <v>4.7E-2</v>
      </c>
    </row>
    <row r="16" spans="1:47" x14ac:dyDescent="0.25">
      <c r="AE16" s="6"/>
      <c r="AM16" s="4">
        <v>15</v>
      </c>
      <c r="AN16" s="1">
        <v>6.0999999999999999E-2</v>
      </c>
      <c r="AO16">
        <v>15</v>
      </c>
      <c r="AP16">
        <v>6.0999999999999999E-2</v>
      </c>
    </row>
    <row r="17" spans="1:42" x14ac:dyDescent="0.25">
      <c r="AE17" s="6"/>
      <c r="AM17" s="4">
        <v>16</v>
      </c>
      <c r="AN17" s="1">
        <v>0.13100000000000001</v>
      </c>
      <c r="AO17">
        <v>16</v>
      </c>
      <c r="AP17">
        <v>0.13100000000000001</v>
      </c>
    </row>
    <row r="18" spans="1:42" x14ac:dyDescent="0.25">
      <c r="A18" s="3" t="s">
        <v>13</v>
      </c>
      <c r="B18" t="s">
        <v>20</v>
      </c>
      <c r="T18" s="3" t="s">
        <v>13</v>
      </c>
      <c r="U18" t="s">
        <v>26</v>
      </c>
      <c r="V18" t="s">
        <v>55</v>
      </c>
      <c r="AE18" s="6"/>
      <c r="AM18" s="4">
        <v>17</v>
      </c>
      <c r="AN18" s="1">
        <v>0.23300000000000001</v>
      </c>
      <c r="AO18">
        <v>17</v>
      </c>
      <c r="AP18">
        <v>0.23300000000000001</v>
      </c>
    </row>
    <row r="19" spans="1:42" x14ac:dyDescent="0.25">
      <c r="A19" s="4" t="s">
        <v>19</v>
      </c>
      <c r="B19" s="1">
        <v>1233</v>
      </c>
      <c r="T19" s="4" t="s">
        <v>96</v>
      </c>
      <c r="U19" s="1">
        <v>99</v>
      </c>
      <c r="V19" s="6">
        <v>4770.2424000000001</v>
      </c>
      <c r="AE19" s="6"/>
      <c r="AM19" s="4">
        <v>18</v>
      </c>
      <c r="AN19" s="1">
        <v>-2.1999999999999999E-2</v>
      </c>
      <c r="AO19">
        <v>18</v>
      </c>
      <c r="AP19">
        <v>-2.1999999999999999E-2</v>
      </c>
    </row>
    <row r="20" spans="1:42" x14ac:dyDescent="0.25">
      <c r="A20" s="4" t="s">
        <v>18</v>
      </c>
      <c r="B20" s="1">
        <v>237</v>
      </c>
      <c r="T20" s="4" t="s">
        <v>94</v>
      </c>
      <c r="U20" s="1">
        <v>31</v>
      </c>
      <c r="V20" s="6">
        <v>4360.1612999999998</v>
      </c>
      <c r="AE20" s="6"/>
      <c r="AM20" s="4">
        <v>19</v>
      </c>
      <c r="AN20" s="1">
        <v>-8.2000000000000003E-2</v>
      </c>
      <c r="AO20">
        <v>19</v>
      </c>
      <c r="AP20">
        <v>-8.2000000000000003E-2</v>
      </c>
    </row>
    <row r="21" spans="1:42" x14ac:dyDescent="0.25">
      <c r="A21" s="4" t="s">
        <v>14</v>
      </c>
      <c r="B21" s="1">
        <v>1470</v>
      </c>
      <c r="T21" s="4" t="s">
        <v>95</v>
      </c>
      <c r="U21" s="1">
        <v>44</v>
      </c>
      <c r="V21" s="6">
        <v>4282.5455000000002</v>
      </c>
      <c r="AE21" s="6"/>
      <c r="AM21" s="4">
        <v>20</v>
      </c>
      <c r="AN21" s="1">
        <v>-4.0000000000000001E-3</v>
      </c>
      <c r="AO21">
        <v>20</v>
      </c>
      <c r="AP21">
        <v>-4.0000000000000001E-3</v>
      </c>
    </row>
    <row r="22" spans="1:42" x14ac:dyDescent="0.25">
      <c r="T22" s="4" t="s">
        <v>98</v>
      </c>
      <c r="U22" s="1">
        <v>5</v>
      </c>
      <c r="V22" s="6">
        <v>5850.2</v>
      </c>
      <c r="AE22" s="6"/>
      <c r="AM22" s="4">
        <v>21</v>
      </c>
      <c r="AN22" s="1">
        <v>2.1999999999999999E-2</v>
      </c>
      <c r="AO22">
        <v>21</v>
      </c>
      <c r="AP22">
        <v>2.1999999999999999E-2</v>
      </c>
    </row>
    <row r="23" spans="1:42" x14ac:dyDescent="0.25">
      <c r="T23" s="4" t="s">
        <v>97</v>
      </c>
      <c r="U23" s="1">
        <v>58</v>
      </c>
      <c r="V23" s="6">
        <v>5335.1552000000001</v>
      </c>
      <c r="AE23" s="6"/>
      <c r="AM23" s="4">
        <v>22</v>
      </c>
      <c r="AN23" s="1">
        <v>0.66400000000000003</v>
      </c>
      <c r="AO23">
        <v>22</v>
      </c>
      <c r="AP23">
        <v>0.66400000000000003</v>
      </c>
    </row>
    <row r="24" spans="1:42" x14ac:dyDescent="0.25">
      <c r="T24" s="4" t="s">
        <v>14</v>
      </c>
      <c r="U24" s="1">
        <v>237</v>
      </c>
      <c r="V24" s="6">
        <v>24598.304400000001</v>
      </c>
      <c r="AE24" s="6"/>
      <c r="AM24" s="4">
        <v>23</v>
      </c>
      <c r="AN24" s="1">
        <v>0.111</v>
      </c>
      <c r="AO24">
        <v>23</v>
      </c>
      <c r="AP24">
        <v>0.111</v>
      </c>
    </row>
    <row r="25" spans="1:42" x14ac:dyDescent="0.25">
      <c r="AE25" s="6"/>
      <c r="AM25" s="4">
        <v>24</v>
      </c>
      <c r="AN25" s="1">
        <v>1.3280000000000001</v>
      </c>
      <c r="AO25">
        <v>24</v>
      </c>
      <c r="AP25">
        <v>1.3280000000000001</v>
      </c>
    </row>
    <row r="26" spans="1:42" x14ac:dyDescent="0.25">
      <c r="A26" s="3" t="s">
        <v>26</v>
      </c>
      <c r="B26" s="3" t="s">
        <v>21</v>
      </c>
      <c r="AE26" s="6"/>
      <c r="AM26" s="4">
        <v>25</v>
      </c>
      <c r="AN26" s="1">
        <v>0.41799999999999998</v>
      </c>
      <c r="AO26">
        <v>25</v>
      </c>
      <c r="AP26">
        <v>0.41799999999999998</v>
      </c>
    </row>
    <row r="27" spans="1:42" x14ac:dyDescent="0.25">
      <c r="A27" s="3" t="s">
        <v>13</v>
      </c>
      <c r="B27" t="s">
        <v>24</v>
      </c>
      <c r="C27" t="s">
        <v>25</v>
      </c>
      <c r="D27" t="s">
        <v>14</v>
      </c>
      <c r="AE27" s="6"/>
      <c r="AM27" s="4">
        <v>26</v>
      </c>
      <c r="AN27" s="1">
        <v>-0.23200000000000001</v>
      </c>
      <c r="AO27">
        <v>26</v>
      </c>
      <c r="AP27">
        <v>-0.23200000000000001</v>
      </c>
    </row>
    <row r="28" spans="1:42" x14ac:dyDescent="0.25">
      <c r="A28" s="4" t="s">
        <v>18</v>
      </c>
      <c r="B28" s="1">
        <v>87</v>
      </c>
      <c r="C28" s="1">
        <v>150</v>
      </c>
      <c r="D28" s="1">
        <v>237</v>
      </c>
      <c r="AE28" s="6"/>
      <c r="AM28" s="4">
        <v>27</v>
      </c>
      <c r="AN28" s="1">
        <v>0.53</v>
      </c>
      <c r="AO28">
        <v>27</v>
      </c>
      <c r="AP28">
        <v>0.53</v>
      </c>
    </row>
    <row r="29" spans="1:42" x14ac:dyDescent="0.25">
      <c r="A29" s="4" t="s">
        <v>19</v>
      </c>
      <c r="B29" s="1">
        <v>501</v>
      </c>
      <c r="C29" s="1">
        <v>732</v>
      </c>
      <c r="D29" s="1">
        <v>1233</v>
      </c>
      <c r="AE29" s="6"/>
      <c r="AM29" s="4">
        <v>28</v>
      </c>
      <c r="AN29" s="1">
        <v>-0.46899999999999997</v>
      </c>
      <c r="AO29">
        <v>28</v>
      </c>
      <c r="AP29">
        <v>-0.46899999999999997</v>
      </c>
    </row>
    <row r="30" spans="1:42" x14ac:dyDescent="0.25">
      <c r="A30" s="4" t="s">
        <v>14</v>
      </c>
      <c r="B30" s="1">
        <v>588</v>
      </c>
      <c r="C30" s="1">
        <v>882</v>
      </c>
      <c r="D30" s="1">
        <v>1470</v>
      </c>
      <c r="AE30" s="6"/>
      <c r="AM30" s="4">
        <v>29</v>
      </c>
      <c r="AN30" s="1">
        <v>0.159</v>
      </c>
      <c r="AO30">
        <v>29</v>
      </c>
      <c r="AP30">
        <v>0.159</v>
      </c>
    </row>
    <row r="31" spans="1:42" x14ac:dyDescent="0.25">
      <c r="AE31" s="6"/>
      <c r="AM31" s="4" t="s">
        <v>14</v>
      </c>
      <c r="AN31" s="1">
        <v>3.4830000000000001</v>
      </c>
      <c r="AO31" t="str">
        <v>Grand Total</v>
      </c>
      <c r="AP31">
        <v>3.4830000000000001</v>
      </c>
    </row>
    <row r="32" spans="1:42" x14ac:dyDescent="0.25">
      <c r="AE32" s="6"/>
    </row>
    <row r="33" spans="1:31" x14ac:dyDescent="0.25">
      <c r="AE33" s="6"/>
    </row>
    <row r="34" spans="1:31" x14ac:dyDescent="0.25">
      <c r="T34" s="3" t="s">
        <v>13</v>
      </c>
      <c r="U34" t="s">
        <v>26</v>
      </c>
      <c r="V34" t="s">
        <v>55</v>
      </c>
      <c r="AE34" s="6"/>
    </row>
    <row r="35" spans="1:31" x14ac:dyDescent="0.25">
      <c r="T35" s="4" t="s">
        <v>94</v>
      </c>
      <c r="U35" s="1">
        <v>31</v>
      </c>
      <c r="V35" s="6">
        <v>4360.1612999999998</v>
      </c>
      <c r="AE35" s="6"/>
    </row>
    <row r="36" spans="1:31" x14ac:dyDescent="0.25">
      <c r="T36" s="4" t="s">
        <v>95</v>
      </c>
      <c r="U36" s="1">
        <v>44</v>
      </c>
      <c r="V36" s="6">
        <v>4282.5455000000002</v>
      </c>
      <c r="AE36" s="6"/>
    </row>
    <row r="37" spans="1:31" x14ac:dyDescent="0.25">
      <c r="A37" s="3" t="s">
        <v>26</v>
      </c>
      <c r="B37" s="3" t="s">
        <v>21</v>
      </c>
      <c r="T37" s="4" t="s">
        <v>96</v>
      </c>
      <c r="U37" s="1">
        <v>99</v>
      </c>
      <c r="V37" s="6">
        <v>4770.2424000000001</v>
      </c>
      <c r="AE37" s="6"/>
    </row>
    <row r="38" spans="1:31" x14ac:dyDescent="0.25">
      <c r="A38" s="3" t="s">
        <v>13</v>
      </c>
      <c r="B38" t="s">
        <v>19</v>
      </c>
      <c r="C38" t="s">
        <v>18</v>
      </c>
      <c r="D38" t="s">
        <v>14</v>
      </c>
      <c r="T38" s="4" t="s">
        <v>97</v>
      </c>
      <c r="U38" s="1">
        <v>58</v>
      </c>
      <c r="V38" s="6">
        <v>5335.1552000000001</v>
      </c>
      <c r="AE38" s="6"/>
    </row>
    <row r="39" spans="1:31" x14ac:dyDescent="0.25">
      <c r="A39" s="4" t="s">
        <v>24</v>
      </c>
      <c r="B39" s="1">
        <v>501</v>
      </c>
      <c r="C39" s="1">
        <v>87</v>
      </c>
      <c r="D39" s="1">
        <v>588</v>
      </c>
      <c r="T39" s="4" t="s">
        <v>98</v>
      </c>
      <c r="U39" s="1">
        <v>5</v>
      </c>
      <c r="V39" s="6">
        <v>5850.2</v>
      </c>
      <c r="AE39" s="6"/>
    </row>
    <row r="40" spans="1:31" x14ac:dyDescent="0.25">
      <c r="A40" s="4" t="s">
        <v>25</v>
      </c>
      <c r="B40" s="1">
        <v>732</v>
      </c>
      <c r="C40" s="1">
        <v>150</v>
      </c>
      <c r="D40" s="1">
        <v>882</v>
      </c>
      <c r="T40" s="4" t="s">
        <v>14</v>
      </c>
      <c r="U40" s="1">
        <v>237</v>
      </c>
      <c r="V40" s="6">
        <v>24598.304400000001</v>
      </c>
      <c r="AE40" s="6"/>
    </row>
    <row r="41" spans="1:31" x14ac:dyDescent="0.25">
      <c r="A41" s="4" t="s">
        <v>14</v>
      </c>
      <c r="B41" s="1">
        <v>1233</v>
      </c>
      <c r="C41" s="1">
        <v>237</v>
      </c>
      <c r="D41" s="1">
        <v>1470</v>
      </c>
      <c r="AE41" s="6"/>
    </row>
    <row r="42" spans="1:31" x14ac:dyDescent="0.25">
      <c r="AE42" s="6"/>
    </row>
    <row r="43" spans="1:31" x14ac:dyDescent="0.25">
      <c r="AE43" s="6"/>
    </row>
    <row r="44" spans="1:31" x14ac:dyDescent="0.25">
      <c r="AE44" s="6"/>
    </row>
    <row r="45" spans="1:31" x14ac:dyDescent="0.25">
      <c r="AE45" s="6"/>
    </row>
    <row r="46" spans="1:31" x14ac:dyDescent="0.25">
      <c r="T46" s="3" t="s">
        <v>13</v>
      </c>
      <c r="U46" t="s">
        <v>93</v>
      </c>
      <c r="AE46" s="6"/>
    </row>
    <row r="47" spans="1:31" x14ac:dyDescent="0.25">
      <c r="T47" s="4" t="s">
        <v>102</v>
      </c>
      <c r="U47" s="1">
        <v>70</v>
      </c>
      <c r="AE47" s="6"/>
    </row>
    <row r="48" spans="1:31" x14ac:dyDescent="0.25">
      <c r="T48" s="4" t="s">
        <v>101</v>
      </c>
      <c r="U48" s="1">
        <v>115</v>
      </c>
      <c r="AE48" s="6"/>
    </row>
    <row r="49" spans="1:31" x14ac:dyDescent="0.25">
      <c r="A49" t="s">
        <v>34</v>
      </c>
      <c r="T49" s="4" t="s">
        <v>103</v>
      </c>
      <c r="U49" s="1">
        <v>47</v>
      </c>
      <c r="AE49" s="6"/>
    </row>
    <row r="50" spans="1:31" x14ac:dyDescent="0.25">
      <c r="A50" s="3" t="s">
        <v>26</v>
      </c>
      <c r="B50" s="3" t="s">
        <v>21</v>
      </c>
      <c r="T50" s="4" t="s">
        <v>14</v>
      </c>
      <c r="U50" s="1">
        <v>232</v>
      </c>
      <c r="AE50" s="6"/>
    </row>
    <row r="51" spans="1:31" x14ac:dyDescent="0.25">
      <c r="A51" s="3" t="s">
        <v>13</v>
      </c>
      <c r="B51" t="s">
        <v>18</v>
      </c>
      <c r="C51" t="s">
        <v>14</v>
      </c>
      <c r="AE51" s="6"/>
    </row>
    <row r="52" spans="1:31" x14ac:dyDescent="0.25">
      <c r="A52" s="4">
        <v>1</v>
      </c>
      <c r="B52" s="1">
        <v>25</v>
      </c>
      <c r="C52" s="1">
        <v>25</v>
      </c>
      <c r="AE52" s="6"/>
    </row>
    <row r="53" spans="1:31" x14ac:dyDescent="0.25">
      <c r="A53" s="4">
        <v>2</v>
      </c>
      <c r="B53" s="1">
        <v>58</v>
      </c>
      <c r="C53" s="1">
        <v>58</v>
      </c>
      <c r="AE53" s="6"/>
    </row>
    <row r="54" spans="1:31" x14ac:dyDescent="0.25">
      <c r="A54" s="4">
        <v>3</v>
      </c>
      <c r="B54" s="1">
        <v>127</v>
      </c>
      <c r="C54" s="1">
        <v>127</v>
      </c>
      <c r="AE54" s="6"/>
    </row>
    <row r="55" spans="1:31" x14ac:dyDescent="0.25">
      <c r="A55" s="4">
        <v>4</v>
      </c>
      <c r="B55" s="1">
        <v>27</v>
      </c>
      <c r="C55" s="1">
        <v>27</v>
      </c>
      <c r="AE55" s="6"/>
    </row>
    <row r="56" spans="1:31" x14ac:dyDescent="0.25">
      <c r="A56" s="4" t="s">
        <v>14</v>
      </c>
      <c r="B56" s="1">
        <v>237</v>
      </c>
      <c r="C56" s="1">
        <v>237</v>
      </c>
      <c r="AE56" s="6"/>
    </row>
    <row r="57" spans="1:31" x14ac:dyDescent="0.25">
      <c r="T57" s="3" t="s">
        <v>13</v>
      </c>
      <c r="U57" t="s">
        <v>66</v>
      </c>
      <c r="AE57" s="6"/>
    </row>
    <row r="58" spans="1:31" x14ac:dyDescent="0.25">
      <c r="T58" s="4" t="s">
        <v>32</v>
      </c>
      <c r="U58" s="7">
        <v>0.84388185654008441</v>
      </c>
      <c r="AE58" s="6"/>
    </row>
    <row r="59" spans="1:31" x14ac:dyDescent="0.25">
      <c r="T59" s="4" t="s">
        <v>107</v>
      </c>
      <c r="U59" s="7">
        <v>0.15611814345991562</v>
      </c>
      <c r="AE59" s="6"/>
    </row>
    <row r="60" spans="1:31" x14ac:dyDescent="0.25">
      <c r="A60" t="s">
        <v>33</v>
      </c>
      <c r="T60" s="4" t="s">
        <v>14</v>
      </c>
      <c r="U60" s="5">
        <v>1</v>
      </c>
      <c r="AE60" s="6"/>
    </row>
    <row r="61" spans="1:31" x14ac:dyDescent="0.25">
      <c r="A61" s="3" t="s">
        <v>26</v>
      </c>
      <c r="B61" s="3" t="s">
        <v>21</v>
      </c>
      <c r="AE61" s="6"/>
    </row>
    <row r="62" spans="1:31" x14ac:dyDescent="0.25">
      <c r="A62" s="3" t="s">
        <v>13</v>
      </c>
      <c r="B62" t="s">
        <v>18</v>
      </c>
      <c r="C62" t="s">
        <v>14</v>
      </c>
      <c r="AE62" s="6"/>
    </row>
    <row r="63" spans="1:31" x14ac:dyDescent="0.25">
      <c r="A63" s="4" t="s">
        <v>32</v>
      </c>
      <c r="B63" s="7">
        <v>0.21940928270042195</v>
      </c>
      <c r="C63" s="7">
        <v>0.21940928270042195</v>
      </c>
      <c r="AE63" s="6"/>
    </row>
    <row r="64" spans="1:31" x14ac:dyDescent="0.25">
      <c r="A64" s="4" t="s">
        <v>30</v>
      </c>
      <c r="B64" s="7">
        <v>0.47257383966244726</v>
      </c>
      <c r="C64" s="7">
        <v>0.47257383966244726</v>
      </c>
      <c r="AE64" s="6"/>
    </row>
    <row r="65" spans="1:31" x14ac:dyDescent="0.25">
      <c r="A65" s="4" t="s">
        <v>31</v>
      </c>
      <c r="B65" s="7">
        <v>0.30801687763713081</v>
      </c>
      <c r="C65" s="7">
        <v>0.30801687763713081</v>
      </c>
      <c r="AE65" s="6"/>
    </row>
    <row r="66" spans="1:31" x14ac:dyDescent="0.25">
      <c r="A66" s="4" t="s">
        <v>14</v>
      </c>
      <c r="B66" s="7">
        <v>1</v>
      </c>
      <c r="C66" s="7">
        <v>1</v>
      </c>
      <c r="AE66" s="6"/>
    </row>
    <row r="67" spans="1:31" x14ac:dyDescent="0.25">
      <c r="AE67" s="6"/>
    </row>
    <row r="68" spans="1:31" x14ac:dyDescent="0.25">
      <c r="AE68" s="6"/>
    </row>
    <row r="69" spans="1:31" x14ac:dyDescent="0.25">
      <c r="AE69" s="6"/>
    </row>
    <row r="70" spans="1:31" x14ac:dyDescent="0.25">
      <c r="AE70" s="6"/>
    </row>
    <row r="71" spans="1:31" x14ac:dyDescent="0.25">
      <c r="A71" t="s">
        <v>40</v>
      </c>
      <c r="AE71" s="6"/>
    </row>
    <row r="72" spans="1:31" x14ac:dyDescent="0.25">
      <c r="A72" s="3" t="s">
        <v>26</v>
      </c>
      <c r="B72" s="3" t="s">
        <v>21</v>
      </c>
      <c r="AE72" s="6"/>
    </row>
    <row r="73" spans="1:31" x14ac:dyDescent="0.25">
      <c r="A73" s="3" t="s">
        <v>13</v>
      </c>
      <c r="B73" t="s">
        <v>18</v>
      </c>
      <c r="C73" t="s">
        <v>14</v>
      </c>
      <c r="AE73" s="6"/>
    </row>
    <row r="74" spans="1:31" x14ac:dyDescent="0.25">
      <c r="A74" s="4" t="s">
        <v>36</v>
      </c>
      <c r="B74" s="1">
        <v>102</v>
      </c>
      <c r="C74" s="1">
        <v>102</v>
      </c>
      <c r="AE74" s="6"/>
    </row>
    <row r="75" spans="1:31" x14ac:dyDescent="0.25">
      <c r="A75" s="4" t="s">
        <v>37</v>
      </c>
      <c r="B75" s="1">
        <v>20</v>
      </c>
      <c r="C75" s="1">
        <v>20</v>
      </c>
      <c r="AE75" s="6"/>
    </row>
    <row r="76" spans="1:31" x14ac:dyDescent="0.25">
      <c r="A76" s="4" t="s">
        <v>38</v>
      </c>
      <c r="B76" s="1">
        <v>60</v>
      </c>
      <c r="C76" s="1">
        <v>60</v>
      </c>
      <c r="AE76" s="6"/>
    </row>
    <row r="77" spans="1:31" x14ac:dyDescent="0.25">
      <c r="A77" s="4" t="s">
        <v>39</v>
      </c>
      <c r="B77" s="1">
        <v>55</v>
      </c>
      <c r="C77" s="1">
        <v>55</v>
      </c>
      <c r="AE77" s="6"/>
    </row>
    <row r="78" spans="1:31" x14ac:dyDescent="0.25">
      <c r="A78" s="4" t="s">
        <v>14</v>
      </c>
      <c r="B78" s="1">
        <v>237</v>
      </c>
      <c r="C78" s="1">
        <v>237</v>
      </c>
      <c r="AE78" s="6"/>
    </row>
    <row r="79" spans="1:31" x14ac:dyDescent="0.25">
      <c r="AE79" s="6"/>
    </row>
    <row r="80" spans="1:31" x14ac:dyDescent="0.25">
      <c r="AE80" s="6"/>
    </row>
    <row r="81" spans="1:31" x14ac:dyDescent="0.25">
      <c r="AE81" s="6"/>
    </row>
    <row r="82" spans="1:31" x14ac:dyDescent="0.25">
      <c r="AE82" s="6"/>
    </row>
    <row r="83" spans="1:31" x14ac:dyDescent="0.25">
      <c r="AE83" s="6"/>
    </row>
    <row r="84" spans="1:31" x14ac:dyDescent="0.25">
      <c r="A84" t="s">
        <v>47</v>
      </c>
      <c r="AE84" s="6"/>
    </row>
    <row r="85" spans="1:31" x14ac:dyDescent="0.25">
      <c r="A85" s="3" t="s">
        <v>46</v>
      </c>
      <c r="B85" s="3" t="s">
        <v>21</v>
      </c>
      <c r="AE85" s="6"/>
    </row>
    <row r="86" spans="1:31" x14ac:dyDescent="0.25">
      <c r="A86" s="3" t="s">
        <v>13</v>
      </c>
      <c r="B86" t="s">
        <v>18</v>
      </c>
      <c r="C86" t="s">
        <v>14</v>
      </c>
      <c r="AE86" s="6"/>
    </row>
    <row r="87" spans="1:31" x14ac:dyDescent="0.25">
      <c r="A87" s="4" t="s">
        <v>8</v>
      </c>
      <c r="B87" s="1">
        <v>18</v>
      </c>
      <c r="C87" s="1">
        <v>18</v>
      </c>
      <c r="AE87" s="6"/>
    </row>
    <row r="88" spans="1:31" x14ac:dyDescent="0.25">
      <c r="A88" s="4" t="s">
        <v>12</v>
      </c>
      <c r="B88" s="1">
        <v>13</v>
      </c>
      <c r="C88" s="1">
        <v>13</v>
      </c>
      <c r="AE88" s="6"/>
    </row>
    <row r="89" spans="1:31" x14ac:dyDescent="0.25">
      <c r="A89" s="4" t="s">
        <v>6</v>
      </c>
      <c r="B89" s="1">
        <v>10</v>
      </c>
      <c r="C89" s="1">
        <v>10</v>
      </c>
      <c r="AE89" s="6"/>
    </row>
    <row r="90" spans="1:31" x14ac:dyDescent="0.25">
      <c r="A90" s="4" t="s">
        <v>9</v>
      </c>
      <c r="B90" s="1">
        <v>10</v>
      </c>
      <c r="C90" s="1">
        <v>10</v>
      </c>
      <c r="AE90" s="6"/>
    </row>
    <row r="91" spans="1:31" x14ac:dyDescent="0.25">
      <c r="A91" s="4" t="s">
        <v>7</v>
      </c>
      <c r="B91" s="1">
        <v>9</v>
      </c>
      <c r="C91" s="1">
        <v>9</v>
      </c>
      <c r="AE91" s="6"/>
    </row>
    <row r="92" spans="1:31" x14ac:dyDescent="0.25">
      <c r="A92" s="4" t="s">
        <v>11</v>
      </c>
      <c r="B92" s="1">
        <v>7</v>
      </c>
      <c r="C92" s="1">
        <v>7</v>
      </c>
      <c r="AE92" s="6"/>
    </row>
    <row r="93" spans="1:31" x14ac:dyDescent="0.25">
      <c r="A93" s="4" t="s">
        <v>5</v>
      </c>
      <c r="B93" s="1">
        <v>10</v>
      </c>
      <c r="C93" s="1">
        <v>10</v>
      </c>
      <c r="AE93" s="6"/>
    </row>
    <row r="94" spans="1:31" x14ac:dyDescent="0.25">
      <c r="A94" s="4" t="s">
        <v>4</v>
      </c>
      <c r="B94" s="1">
        <v>13</v>
      </c>
      <c r="C94" s="1">
        <v>13</v>
      </c>
      <c r="AE94" s="6"/>
    </row>
    <row r="95" spans="1:31" x14ac:dyDescent="0.25">
      <c r="A95" s="4" t="s">
        <v>10</v>
      </c>
      <c r="B95" s="1">
        <v>8</v>
      </c>
      <c r="C95" s="1">
        <v>8</v>
      </c>
      <c r="AE95" s="6"/>
    </row>
    <row r="96" spans="1:31" x14ac:dyDescent="0.25">
      <c r="A96" s="4" t="s">
        <v>14</v>
      </c>
      <c r="B96" s="1">
        <v>98</v>
      </c>
      <c r="C96" s="1">
        <v>98</v>
      </c>
      <c r="AE96" s="6"/>
    </row>
    <row r="97" spans="1:31" x14ac:dyDescent="0.25">
      <c r="AE97" s="6"/>
    </row>
    <row r="98" spans="1:31" x14ac:dyDescent="0.25">
      <c r="AE98" s="6"/>
    </row>
    <row r="99" spans="1:31" x14ac:dyDescent="0.25">
      <c r="AE99" s="6"/>
    </row>
    <row r="100" spans="1:31" x14ac:dyDescent="0.25">
      <c r="A100" t="s">
        <v>56</v>
      </c>
      <c r="AE100" s="6"/>
    </row>
    <row r="101" spans="1:31" x14ac:dyDescent="0.25">
      <c r="A101" s="3" t="s">
        <v>13</v>
      </c>
      <c r="B101" t="s">
        <v>26</v>
      </c>
      <c r="C101" t="s">
        <v>55</v>
      </c>
      <c r="AE101" s="6"/>
    </row>
    <row r="102" spans="1:31" x14ac:dyDescent="0.25">
      <c r="A102" s="4" t="s">
        <v>50</v>
      </c>
      <c r="B102" s="1">
        <v>31</v>
      </c>
      <c r="C102" s="6">
        <v>4360.1612999999998</v>
      </c>
      <c r="AE102" s="6"/>
    </row>
    <row r="103" spans="1:31" x14ac:dyDescent="0.25">
      <c r="A103" s="4" t="s">
        <v>51</v>
      </c>
      <c r="B103" s="1">
        <v>44</v>
      </c>
      <c r="C103" s="6">
        <v>4282.5455000000002</v>
      </c>
      <c r="AE103" s="6"/>
    </row>
    <row r="104" spans="1:31" x14ac:dyDescent="0.25">
      <c r="A104" s="4" t="s">
        <v>52</v>
      </c>
      <c r="B104" s="1">
        <v>99</v>
      </c>
      <c r="C104" s="6">
        <v>4770.2424000000001</v>
      </c>
      <c r="AE104" s="6"/>
    </row>
    <row r="105" spans="1:31" x14ac:dyDescent="0.25">
      <c r="A105" s="4" t="s">
        <v>53</v>
      </c>
      <c r="B105" s="1">
        <v>58</v>
      </c>
      <c r="C105" s="6">
        <v>5335.1552000000001</v>
      </c>
      <c r="AE105" s="6"/>
    </row>
    <row r="106" spans="1:31" x14ac:dyDescent="0.25">
      <c r="A106" s="4" t="s">
        <v>54</v>
      </c>
      <c r="B106" s="1">
        <v>5</v>
      </c>
      <c r="C106" s="6">
        <v>5850.2</v>
      </c>
      <c r="AE106" s="6"/>
    </row>
    <row r="107" spans="1:31" x14ac:dyDescent="0.25">
      <c r="A107" s="4" t="s">
        <v>14</v>
      </c>
      <c r="B107" s="1">
        <v>237</v>
      </c>
      <c r="C107" s="6">
        <v>24598.304400000001</v>
      </c>
      <c r="AE107" s="6"/>
    </row>
    <row r="108" spans="1:31" x14ac:dyDescent="0.25">
      <c r="AE108" s="6"/>
    </row>
    <row r="109" spans="1:31" x14ac:dyDescent="0.25">
      <c r="AE109" s="6"/>
    </row>
    <row r="110" spans="1:31" x14ac:dyDescent="0.25">
      <c r="AE110" s="6"/>
    </row>
    <row r="111" spans="1:31" x14ac:dyDescent="0.25">
      <c r="AE111" s="6"/>
    </row>
    <row r="112" spans="1:31" x14ac:dyDescent="0.25">
      <c r="AE112" s="6"/>
    </row>
    <row r="113" spans="1:31" x14ac:dyDescent="0.25">
      <c r="AE113" s="6"/>
    </row>
    <row r="114" spans="1:31" x14ac:dyDescent="0.25">
      <c r="AE114" s="6"/>
    </row>
    <row r="115" spans="1:31" x14ac:dyDescent="0.25">
      <c r="AE115" s="6"/>
    </row>
    <row r="116" spans="1:31" x14ac:dyDescent="0.25">
      <c r="I116" t="s">
        <v>148</v>
      </c>
      <c r="AE116" s="6"/>
    </row>
    <row r="117" spans="1:31" x14ac:dyDescent="0.25">
      <c r="I117" s="7">
        <v>0.83879999999999999</v>
      </c>
      <c r="AE117" s="6"/>
    </row>
    <row r="118" spans="1:31" x14ac:dyDescent="0.25">
      <c r="AE118" s="6"/>
    </row>
    <row r="119" spans="1:31" x14ac:dyDescent="0.25">
      <c r="A119" s="7" t="s">
        <v>59</v>
      </c>
      <c r="AE119" s="6"/>
    </row>
    <row r="120" spans="1:31" x14ac:dyDescent="0.25">
      <c r="A120" s="7">
        <v>0.16120000000000001</v>
      </c>
      <c r="AE120" s="6"/>
    </row>
    <row r="121" spans="1:31" x14ac:dyDescent="0.25">
      <c r="AE121" s="6"/>
    </row>
    <row r="122" spans="1:31" x14ac:dyDescent="0.25">
      <c r="AE122" s="6"/>
    </row>
    <row r="123" spans="1:31" x14ac:dyDescent="0.25">
      <c r="AE123" s="6"/>
    </row>
    <row r="124" spans="1:31" x14ac:dyDescent="0.25">
      <c r="AE124" s="6"/>
    </row>
    <row r="125" spans="1:31" x14ac:dyDescent="0.25">
      <c r="AE125" s="6"/>
    </row>
    <row r="126" spans="1:31" x14ac:dyDescent="0.25">
      <c r="AE126" s="6"/>
    </row>
    <row r="127" spans="1:31" x14ac:dyDescent="0.25">
      <c r="AE127" s="6"/>
    </row>
    <row r="128" spans="1:31" x14ac:dyDescent="0.25">
      <c r="A128" t="s">
        <v>61</v>
      </c>
      <c r="AE128" s="6"/>
    </row>
    <row r="129" spans="1:31" x14ac:dyDescent="0.25">
      <c r="A129" s="6">
        <v>4787.0928000000004</v>
      </c>
      <c r="AE129" s="6"/>
    </row>
    <row r="130" spans="1:31" x14ac:dyDescent="0.25">
      <c r="AE130" s="6"/>
    </row>
    <row r="131" spans="1:31" x14ac:dyDescent="0.25">
      <c r="AE131" s="6"/>
    </row>
    <row r="132" spans="1:31" x14ac:dyDescent="0.25">
      <c r="AE132" s="6"/>
    </row>
    <row r="133" spans="1:31" x14ac:dyDescent="0.25">
      <c r="AE133" s="6"/>
    </row>
    <row r="134" spans="1:31" x14ac:dyDescent="0.25">
      <c r="A134" t="s">
        <v>62</v>
      </c>
      <c r="AE134" s="6"/>
    </row>
    <row r="135" spans="1:31" x14ac:dyDescent="0.25">
      <c r="A135" s="3" t="s">
        <v>13</v>
      </c>
      <c r="B135" t="s">
        <v>66</v>
      </c>
      <c r="AE135" s="6"/>
    </row>
    <row r="136" spans="1:31" x14ac:dyDescent="0.25">
      <c r="A136" s="4" t="s">
        <v>19</v>
      </c>
      <c r="B136" s="1">
        <v>1233</v>
      </c>
      <c r="AE136" s="6"/>
    </row>
    <row r="137" spans="1:31" x14ac:dyDescent="0.25">
      <c r="A137" s="4" t="s">
        <v>18</v>
      </c>
      <c r="B137" s="1">
        <v>237</v>
      </c>
      <c r="AE137" s="6"/>
    </row>
    <row r="138" spans="1:31" x14ac:dyDescent="0.25">
      <c r="A138" s="4" t="s">
        <v>14</v>
      </c>
      <c r="B138" s="1">
        <v>1470</v>
      </c>
      <c r="AE138" s="6"/>
    </row>
    <row r="139" spans="1:31" x14ac:dyDescent="0.25">
      <c r="AE139" s="6"/>
    </row>
    <row r="140" spans="1:31" x14ac:dyDescent="0.25">
      <c r="AE140" s="6"/>
    </row>
    <row r="141" spans="1:31" x14ac:dyDescent="0.25">
      <c r="AE141" s="6"/>
    </row>
    <row r="142" spans="1:31" x14ac:dyDescent="0.25">
      <c r="A142" s="3" t="s">
        <v>13</v>
      </c>
      <c r="B142" t="s">
        <v>72</v>
      </c>
      <c r="C142" t="s">
        <v>26</v>
      </c>
      <c r="AE142" s="6"/>
    </row>
    <row r="143" spans="1:31" x14ac:dyDescent="0.25">
      <c r="A143" s="4" t="s">
        <v>18</v>
      </c>
      <c r="B143" s="6">
        <v>14200.285100000001</v>
      </c>
      <c r="C143" s="1">
        <v>237</v>
      </c>
      <c r="AE143" s="6"/>
    </row>
    <row r="144" spans="1:31" x14ac:dyDescent="0.25">
      <c r="A144" s="4" t="s">
        <v>19</v>
      </c>
      <c r="B144" s="6">
        <v>20442.8351</v>
      </c>
      <c r="C144" s="1">
        <v>1233</v>
      </c>
      <c r="AE144" s="6"/>
    </row>
    <row r="145" spans="1:31" x14ac:dyDescent="0.25">
      <c r="A145" s="4" t="s">
        <v>14</v>
      </c>
      <c r="B145" s="6">
        <v>34643.120200000005</v>
      </c>
      <c r="C145" s="1">
        <v>1470</v>
      </c>
      <c r="AE145" s="6"/>
    </row>
    <row r="146" spans="1:31" x14ac:dyDescent="0.25">
      <c r="AE146" s="6"/>
    </row>
    <row r="147" spans="1:31" x14ac:dyDescent="0.25">
      <c r="AE147" s="6"/>
    </row>
    <row r="148" spans="1:31" x14ac:dyDescent="0.25">
      <c r="AE148" s="6"/>
    </row>
    <row r="149" spans="1:31" x14ac:dyDescent="0.25">
      <c r="AE149" s="6"/>
    </row>
    <row r="150" spans="1:31" x14ac:dyDescent="0.25">
      <c r="AE150" s="6"/>
    </row>
    <row r="151" spans="1:31" x14ac:dyDescent="0.25">
      <c r="AE151" s="6"/>
    </row>
    <row r="152" spans="1:31" x14ac:dyDescent="0.25">
      <c r="AE152" s="6"/>
    </row>
    <row r="153" spans="1:31" x14ac:dyDescent="0.25">
      <c r="AE153" s="6"/>
    </row>
    <row r="154" spans="1:31" x14ac:dyDescent="0.25">
      <c r="A154" s="3" t="s">
        <v>26</v>
      </c>
      <c r="B154" s="3" t="s">
        <v>21</v>
      </c>
      <c r="AE154" s="6"/>
    </row>
    <row r="155" spans="1:31" x14ac:dyDescent="0.25">
      <c r="A155" s="3" t="s">
        <v>13</v>
      </c>
      <c r="B155" t="s">
        <v>18</v>
      </c>
      <c r="C155" t="s">
        <v>19</v>
      </c>
      <c r="D155" t="s">
        <v>14</v>
      </c>
      <c r="AE155" s="6"/>
    </row>
    <row r="156" spans="1:31" x14ac:dyDescent="0.25">
      <c r="A156" s="4" t="s">
        <v>18</v>
      </c>
      <c r="B156" s="5">
        <v>0.53586497890295359</v>
      </c>
      <c r="C156" s="5">
        <v>0.46413502109704641</v>
      </c>
      <c r="D156" s="5">
        <v>1</v>
      </c>
      <c r="AE156" s="6"/>
    </row>
    <row r="157" spans="1:31" x14ac:dyDescent="0.25">
      <c r="A157" s="4" t="s">
        <v>14</v>
      </c>
      <c r="B157" s="5">
        <v>0.53586497890295359</v>
      </c>
      <c r="C157" s="5">
        <v>0.46413502109704641</v>
      </c>
      <c r="D157" s="5">
        <v>1</v>
      </c>
      <c r="AE157" s="6"/>
    </row>
    <row r="158" spans="1:31" x14ac:dyDescent="0.25">
      <c r="AE158" s="6"/>
    </row>
    <row r="159" spans="1:31" x14ac:dyDescent="0.25">
      <c r="AE159" s="6"/>
    </row>
    <row r="160" spans="1:31" x14ac:dyDescent="0.25">
      <c r="AE160" s="6"/>
    </row>
    <row r="161" spans="1:31" x14ac:dyDescent="0.25">
      <c r="AE161" s="6"/>
    </row>
    <row r="162" spans="1:31" x14ac:dyDescent="0.25">
      <c r="AE162" s="6"/>
    </row>
    <row r="163" spans="1:31" x14ac:dyDescent="0.25">
      <c r="AE163" s="6"/>
    </row>
    <row r="164" spans="1:31" x14ac:dyDescent="0.25">
      <c r="AE164" s="6"/>
    </row>
    <row r="165" spans="1:31" x14ac:dyDescent="0.25">
      <c r="A165" t="s">
        <v>77</v>
      </c>
      <c r="AE165" s="6"/>
    </row>
    <row r="166" spans="1:31" x14ac:dyDescent="0.25">
      <c r="A166" s="3" t="s">
        <v>26</v>
      </c>
      <c r="B166" s="3" t="s">
        <v>21</v>
      </c>
      <c r="J166" s="3" t="s">
        <v>26</v>
      </c>
      <c r="K166" s="3" t="s">
        <v>21</v>
      </c>
      <c r="AE166" s="6"/>
    </row>
    <row r="167" spans="1:31" x14ac:dyDescent="0.25">
      <c r="A167" s="3" t="s">
        <v>13</v>
      </c>
      <c r="B167" t="s">
        <v>18</v>
      </c>
      <c r="C167" t="s">
        <v>14</v>
      </c>
      <c r="J167" s="3" t="s">
        <v>13</v>
      </c>
      <c r="K167" t="s">
        <v>18</v>
      </c>
      <c r="L167" t="s">
        <v>14</v>
      </c>
      <c r="AE167" s="6"/>
    </row>
    <row r="168" spans="1:31" x14ac:dyDescent="0.25">
      <c r="A168" s="4" t="s">
        <v>32</v>
      </c>
      <c r="B168" s="1">
        <v>27</v>
      </c>
      <c r="C168" s="1">
        <v>27</v>
      </c>
      <c r="J168" s="4" t="s">
        <v>75</v>
      </c>
      <c r="K168" s="1">
        <v>25</v>
      </c>
      <c r="L168" s="1">
        <v>25</v>
      </c>
    </row>
    <row r="169" spans="1:31" x14ac:dyDescent="0.25">
      <c r="A169" s="4" t="s">
        <v>76</v>
      </c>
      <c r="B169" s="1">
        <v>58</v>
      </c>
      <c r="C169" s="1">
        <v>58</v>
      </c>
      <c r="J169" s="4" t="s">
        <v>76</v>
      </c>
      <c r="K169" s="1">
        <v>58</v>
      </c>
      <c r="L169" s="1">
        <v>58</v>
      </c>
    </row>
    <row r="170" spans="1:31" x14ac:dyDescent="0.25">
      <c r="A170" s="4" t="s">
        <v>31</v>
      </c>
      <c r="B170" s="1">
        <v>127</v>
      </c>
      <c r="C170" s="1">
        <v>127</v>
      </c>
      <c r="J170" s="4" t="s">
        <v>31</v>
      </c>
      <c r="K170" s="1">
        <v>127</v>
      </c>
      <c r="L170" s="1">
        <v>127</v>
      </c>
    </row>
    <row r="171" spans="1:31" x14ac:dyDescent="0.25">
      <c r="A171" s="4" t="s">
        <v>75</v>
      </c>
      <c r="B171" s="1">
        <v>25</v>
      </c>
      <c r="C171" s="1">
        <v>25</v>
      </c>
      <c r="J171" s="4" t="s">
        <v>32</v>
      </c>
      <c r="K171" s="1">
        <v>27</v>
      </c>
      <c r="L171" s="1">
        <v>27</v>
      </c>
    </row>
    <row r="172" spans="1:31" x14ac:dyDescent="0.25">
      <c r="A172" s="4" t="s">
        <v>14</v>
      </c>
      <c r="B172" s="1">
        <v>237</v>
      </c>
      <c r="C172" s="1">
        <v>237</v>
      </c>
      <c r="J172" s="4" t="s">
        <v>14</v>
      </c>
      <c r="K172" s="1">
        <v>237</v>
      </c>
      <c r="L172" s="1">
        <v>237</v>
      </c>
    </row>
    <row r="180" spans="1:2" x14ac:dyDescent="0.25">
      <c r="A180" s="3" t="s">
        <v>13</v>
      </c>
      <c r="B180" t="s">
        <v>26</v>
      </c>
    </row>
    <row r="181" spans="1:2" x14ac:dyDescent="0.25">
      <c r="A181" s="4" t="s">
        <v>80</v>
      </c>
      <c r="B181" s="1">
        <v>159</v>
      </c>
    </row>
    <row r="182" spans="1:2" x14ac:dyDescent="0.25">
      <c r="A182" s="4" t="s">
        <v>81</v>
      </c>
      <c r="B182" s="1">
        <v>43</v>
      </c>
    </row>
    <row r="183" spans="1:2" x14ac:dyDescent="0.25">
      <c r="A183" s="4" t="s">
        <v>82</v>
      </c>
      <c r="B183" s="1">
        <v>27</v>
      </c>
    </row>
    <row r="184" spans="1:2" x14ac:dyDescent="0.25">
      <c r="A184" s="4" t="s">
        <v>83</v>
      </c>
      <c r="B184" s="1">
        <v>8</v>
      </c>
    </row>
    <row r="185" spans="1:2" x14ac:dyDescent="0.25">
      <c r="A185" s="4" t="s">
        <v>14</v>
      </c>
      <c r="B185" s="1">
        <v>237</v>
      </c>
    </row>
  </sheetData>
  <pageMargins left="0.7" right="0.7" top="0.75" bottom="0.75" header="0.3" footer="0.3"/>
  <pageSetup orientation="portrait" r:id="rId30"/>
  <drawing r:id="rId31"/>
  <extLst>
    <ext xmlns:x14="http://schemas.microsoft.com/office/spreadsheetml/2009/9/main" uri="{A8765BA9-456A-4dab-B4F3-ACF838C121DE}">
      <x14:slicerList>
        <x14:slicer r:id="rId32"/>
      </x14:slicerList>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DE827-631E-4030-A2DA-DF48BFE04937}">
  <dimension ref="A1"/>
  <sheetViews>
    <sheetView showGridLines="0" zoomScale="97" zoomScaleNormal="97" workbookViewId="0"/>
  </sheetViews>
  <sheetFormatPr defaultRowHeight="15" x14ac:dyDescent="0.25"/>
  <cols>
    <col min="1" max="16384" width="9.140625" style="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3D938-923C-44D3-A0E3-194072D04CE4}">
  <dimension ref="A1"/>
  <sheetViews>
    <sheetView showGridLines="0" tabSelected="1" zoomScale="97" zoomScaleNormal="97" workbookViewId="0"/>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05454CB-2B09-4D95-B42F-7AB3D5C1BC7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3</vt:i4>
      </vt:variant>
    </vt:vector>
  </HeadingPairs>
  <TitlesOfParts>
    <vt:vector size="31" baseType="lpstr">
      <vt:lpstr>Average_Income</vt:lpstr>
      <vt:lpstr>Total_employees</vt:lpstr>
      <vt:lpstr>Attr_employee</vt:lpstr>
      <vt:lpstr>Gender</vt:lpstr>
      <vt:lpstr>Average_monthly income</vt:lpstr>
      <vt:lpstr>Workbalance</vt:lpstr>
      <vt:lpstr>Job_satisfication</vt:lpstr>
      <vt:lpstr>Tenure</vt:lpstr>
      <vt:lpstr>Job role vs distance</vt:lpstr>
      <vt:lpstr>Query11</vt:lpstr>
      <vt:lpstr>Attrition rate</vt:lpstr>
      <vt:lpstr>retention rate</vt:lpstr>
      <vt:lpstr>attrition avg income</vt:lpstr>
      <vt:lpstr>department</vt:lpstr>
      <vt:lpstr>martial status</vt:lpstr>
      <vt:lpstr>overtime</vt:lpstr>
      <vt:lpstr>worklife balance</vt:lpstr>
      <vt:lpstr>promotion year</vt:lpstr>
      <vt:lpstr>gender vs age group</vt:lpstr>
      <vt:lpstr>education level</vt:lpstr>
      <vt:lpstr>Query25</vt:lpstr>
      <vt:lpstr>performance rating</vt:lpstr>
      <vt:lpstr>hr_employee_attrition</vt:lpstr>
      <vt:lpstr>Query31</vt:lpstr>
      <vt:lpstr>Sheet1</vt:lpstr>
      <vt:lpstr>Pivotable</vt:lpstr>
      <vt:lpstr>DASHBOARD</vt:lpstr>
      <vt:lpstr>DASHBOARD2</vt:lpstr>
      <vt:lpstr>counte</vt:lpstr>
      <vt:lpstr>job</vt:lpstr>
      <vt:lpstr>retention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 IKWUE</dc:creator>
  <cp:lastModifiedBy>JOY IKWUE</cp:lastModifiedBy>
  <dcterms:created xsi:type="dcterms:W3CDTF">2025-11-15T18:12:13Z</dcterms:created>
  <dcterms:modified xsi:type="dcterms:W3CDTF">2025-12-07T07:12:50Z</dcterms:modified>
</cp:coreProperties>
</file>